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대시보드" sheetId="2" state="visible" r:id="rId4"/>
    <sheet name="Wellness" sheetId="3" state="visible" r:id="rId5"/>
    <sheet name="CMJ" sheetId="4" state="visible" r:id="rId6"/>
    <sheet name="선수" sheetId="5" state="visible" r:id="rId7"/>
    <sheet name="설정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WenQuanYi Zen Hei"/>
            <family val="2"/>
          </rPr>
          <t xml:space="preserve">모든 항목</t>
        </r>
        <r>
          <rPr>
            <sz val="10"/>
            <rFont val="Arial"/>
            <family val="2"/>
          </rPr>
          <t xml:space="preserve">: 1 = </t>
        </r>
        <r>
          <rPr>
            <sz val="10"/>
            <rFont val="WenQuanYi Zen Hei"/>
            <family val="2"/>
          </rPr>
          <t xml:space="preserve">매우 나쁨</t>
        </r>
        <r>
          <rPr>
            <sz val="10"/>
            <rFont val="Arial"/>
            <family val="2"/>
          </rPr>
          <t xml:space="preserve">, 5 = </t>
        </r>
        <r>
          <rPr>
            <sz val="10"/>
            <rFont val="WenQuanYi Zen Hei"/>
            <family val="2"/>
          </rPr>
          <t xml:space="preserve">매우 좋음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WenQuanYi Zen Hei"/>
            <family val="2"/>
          </rPr>
          <t xml:space="preserve">근육통 </t>
        </r>
        <r>
          <rPr>
            <sz val="10"/>
            <rFont val="Arial"/>
            <family val="2"/>
          </rPr>
          <t xml:space="preserve">5 = </t>
        </r>
        <r>
          <rPr>
            <sz val="10"/>
            <rFont val="WenQuanYi Zen Hei"/>
            <family val="2"/>
          </rPr>
          <t xml:space="preserve">전혀 없음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스트레스 </t>
        </r>
        <r>
          <rPr>
            <sz val="10"/>
            <rFont val="Arial"/>
            <family val="2"/>
          </rPr>
          <t xml:space="preserve">5 = </t>
        </r>
        <r>
          <rPr>
            <sz val="10"/>
            <rFont val="WenQuanYi Zen Hei"/>
            <family val="2"/>
          </rPr>
          <t xml:space="preserve">전혀 없음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McLean et al. 2010 IJSPP </t>
        </r>
        <r>
          <rPr>
            <sz val="10"/>
            <rFont val="WenQuanYi Zen Hei"/>
            <family val="2"/>
          </rPr>
          <t xml:space="preserve">형식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WenQuanYi Zen Hei"/>
            <family val="2"/>
          </rPr>
          <t xml:space="preserve">판정은 시도 평균값으로 한다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평균이 최고값보다 신경근 상태 변화에 더 민감 </t>
        </r>
        <r>
          <rPr>
            <sz val="10"/>
            <rFont val="Arial"/>
            <family val="2"/>
          </rPr>
          <t xml:space="preserve">(Claudino et al. 2017, J Sci Med Sport 20(4):397–402).</t>
        </r>
      </text>
    </comment>
  </commentList>
</comments>
</file>

<file path=xl/sharedStrings.xml><?xml version="1.0" encoding="utf-8"?>
<sst xmlns="http://schemas.openxmlformats.org/spreadsheetml/2006/main" count="106" uniqueCount="90">
  <si>
    <r>
      <rPr>
        <b val="true"/>
        <sz val="14"/>
        <rFont val="Arial"/>
        <family val="0"/>
        <charset val="1"/>
      </rPr>
      <t xml:space="preserve">Wellness + CMJ </t>
    </r>
    <r>
      <rPr>
        <b val="true"/>
        <sz val="14"/>
        <rFont val="WenQuanYi Zen Hei"/>
        <family val="2"/>
      </rPr>
      <t xml:space="preserve">모니터링 시트</t>
    </r>
  </si>
  <si>
    <t xml:space="preserve">AI Football Performance Department · data/ · 2026-09-23</t>
  </si>
  <si>
    <r>
      <rPr>
        <b val="true"/>
        <sz val="10"/>
        <rFont val="WenQuanYi Zen Hei"/>
        <family val="2"/>
      </rPr>
      <t xml:space="preserve">템플릿입니다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각 시트의 첫 데이터 행</t>
    </r>
    <r>
      <rPr>
        <b val="true"/>
        <sz val="10"/>
        <rFont val="Arial"/>
        <family val="0"/>
        <charset val="1"/>
      </rPr>
      <t xml:space="preserve">(P00 </t>
    </r>
    <r>
      <rPr>
        <b val="true"/>
        <sz val="10"/>
        <rFont val="WenQuanYi Zen Hei"/>
        <family val="2"/>
      </rPr>
      <t xml:space="preserve">예시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은 입력 형식을 보여주는 예시이므로 사용 전에 지우세요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</si>
  <si>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어디에 입력하나</t>
    </r>
  </si>
  <si>
    <r>
      <rPr>
        <sz val="10"/>
        <rFont val="WenQuanYi Zen Hei"/>
        <family val="2"/>
      </rPr>
      <t xml:space="preserve">• 노란 칸만 입력합니다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회색 칸은 자동 계산되므로 건드리지 않습니다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</si>
  <si>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선수 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선수 코드</t>
    </r>
    <r>
      <rPr>
        <sz val="10"/>
        <rFont val="Arial"/>
        <family val="0"/>
        <charset val="1"/>
      </rPr>
      <t xml:space="preserve">(P01, P02 …)</t>
    </r>
    <r>
      <rPr>
        <sz val="10"/>
        <rFont val="WenQuanYi Zen Hei"/>
        <family val="2"/>
      </rPr>
      <t xml:space="preserve">를 먼저 등록합니다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개인정보 보호를 위해 이름 대신 코드를 씁니다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</si>
  <si>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Wellness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매일 아침 훈련 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명당 하루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모든 항목은 </t>
    </r>
    <r>
      <rPr>
        <sz val="10"/>
        <rFont val="Arial"/>
        <family val="0"/>
        <charset val="1"/>
      </rPr>
      <t xml:space="preserve">1 = </t>
    </r>
    <r>
      <rPr>
        <sz val="10"/>
        <rFont val="WenQuanYi Zen Hei"/>
        <family val="2"/>
      </rPr>
      <t xml:space="preserve">매우 나쁨</t>
    </r>
    <r>
      <rPr>
        <sz val="10"/>
        <rFont val="Arial"/>
        <family val="0"/>
        <charset val="1"/>
      </rPr>
      <t xml:space="preserve">, 5 = </t>
    </r>
    <r>
      <rPr>
        <sz val="10"/>
        <rFont val="WenQuanYi Zen Hei"/>
        <family val="2"/>
      </rPr>
      <t xml:space="preserve">매우 좋음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근육통 </t>
    </r>
    <r>
      <rPr>
        <sz val="10"/>
        <rFont val="Arial"/>
        <family val="0"/>
        <charset val="1"/>
      </rPr>
      <t xml:space="preserve">5 = </t>
    </r>
    <r>
      <rPr>
        <sz val="10"/>
        <rFont val="WenQuanYi Zen Hei"/>
        <family val="2"/>
      </rPr>
      <t xml:space="preserve">전혀 없음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스트레스 </t>
    </r>
    <r>
      <rPr>
        <sz val="10"/>
        <rFont val="Arial"/>
        <family val="0"/>
        <charset val="1"/>
      </rPr>
      <t xml:space="preserve">5 = </t>
    </r>
    <r>
      <rPr>
        <sz val="10"/>
        <rFont val="WenQuanYi Zen Hei"/>
        <family val="2"/>
      </rPr>
      <t xml:space="preserve">전혀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</si>
  <si>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1–2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MD-4, MD+2). </t>
    </r>
    <r>
      <rPr>
        <sz val="10"/>
        <rFont val="WenQuanYi Zen Hei"/>
        <family val="2"/>
      </rPr>
      <t xml:space="preserve">같은 준비운동 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 측정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시도 사이 휴식 동일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판정은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 평균으로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</si>
  <si>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설정 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기준값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파란 숫자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팀 상황에 맞게 바꿀 수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</si>
  <si>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자동으로 계산되는 것</t>
    </r>
  </si>
  <si>
    <r>
      <rPr>
        <sz val="10"/>
        <rFont val="Arial"/>
        <family val="0"/>
        <charset val="1"/>
      </rPr>
      <t xml:space="preserve">• Wellness </t>
    </r>
    <r>
      <rPr>
        <sz val="10"/>
        <rFont val="WenQuanYi Zen Hei"/>
        <family val="2"/>
      </rPr>
      <t xml:space="preserve">합계</t>
    </r>
    <r>
      <rPr>
        <sz val="10"/>
        <rFont val="Arial"/>
        <family val="0"/>
        <charset val="1"/>
      </rPr>
      <t xml:space="preserve">(5–25) → </t>
    </r>
    <r>
      <rPr>
        <sz val="10"/>
        <rFont val="WenQuanYi Zen Hei"/>
        <family val="2"/>
      </rPr>
      <t xml:space="preserve">선수 본인의 직전 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일 평균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표준편차 → </t>
    </r>
    <r>
      <rPr>
        <sz val="10"/>
        <rFont val="Arial"/>
        <family val="0"/>
        <charset val="1"/>
      </rPr>
      <t xml:space="preserve">z-score. </t>
    </r>
    <r>
      <rPr>
        <sz val="10"/>
        <rFont val="WenQuanYi Zen Hei"/>
        <family val="2"/>
      </rPr>
      <t xml:space="preserve">기록이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미만이면 </t>
    </r>
    <r>
      <rPr>
        <sz val="10"/>
        <rFont val="Arial"/>
        <family val="0"/>
        <charset val="1"/>
      </rPr>
      <t xml:space="preserve">'baseline 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</si>
  <si>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평균 → 본인의 직전 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일 평균 대비 변화</t>
    </r>
    <r>
      <rPr>
        <sz val="10"/>
        <rFont val="Arial"/>
        <family val="0"/>
        <charset val="1"/>
      </rPr>
      <t xml:space="preserve">(%). </t>
    </r>
    <r>
      <rPr>
        <sz val="10"/>
        <rFont val="WenQuanYi Zen Hei"/>
        <family val="2"/>
      </rPr>
      <t xml:space="preserve">기록이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 미만이면 </t>
    </r>
    <r>
      <rPr>
        <sz val="10"/>
        <rFont val="Arial"/>
        <family val="0"/>
        <charset val="1"/>
      </rPr>
      <t xml:space="preserve">'baseline 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</si>
  <si>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WenQuanYi Zen Hei"/>
        <family val="2"/>
      </rPr>
      <t xml:space="preserve">• 대시보드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선수별 최근 상태와 플래그 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권고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</si>
  <si>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판정 규칙 </t>
    </r>
    <r>
      <rPr>
        <b val="true"/>
        <sz val="10"/>
        <rFont val="Arial"/>
        <family val="0"/>
        <charset val="1"/>
      </rPr>
      <t xml:space="preserve">(MVP — </t>
    </r>
    <r>
      <rPr>
        <b val="true"/>
        <sz val="10"/>
        <rFont val="WenQuanYi Zen Hei"/>
        <family val="2"/>
      </rPr>
      <t xml:space="preserve">현장 경험 기반 출발점이며 연구로 검증된 기준이 아님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</si>
  <si>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플래그 ① </t>
    </r>
    <r>
      <rPr>
        <sz val="10"/>
        <rFont val="Arial"/>
        <family val="0"/>
        <charset val="1"/>
      </rPr>
      <t xml:space="preserve">Wellness z-score ≤ −1.0   ② </t>
    </r>
    <r>
      <rPr>
        <sz val="10"/>
        <rFont val="WenQuanYi Zen Hei"/>
        <family val="2"/>
      </rPr>
      <t xml:space="preserve">피로 또는 근육통 ≤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점   ③ </t>
    </r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평균이 </t>
    </r>
    <r>
      <rPr>
        <sz val="10"/>
        <rFont val="Arial"/>
        <family val="0"/>
        <charset val="1"/>
      </rPr>
      <t xml:space="preserve">baseline</t>
    </r>
    <r>
      <rPr>
        <sz val="10"/>
        <rFont val="WenQuanYi Zen Hei"/>
        <family val="2"/>
      </rPr>
      <t xml:space="preserve">보다 </t>
    </r>
    <r>
      <rPr>
        <sz val="10"/>
        <rFont val="Arial"/>
        <family val="0"/>
        <charset val="1"/>
      </rPr>
      <t xml:space="preserve">5% </t>
    </r>
    <r>
      <rPr>
        <sz val="10"/>
        <rFont val="WenQuanYi Zen Hei"/>
        <family val="2"/>
      </rPr>
      <t xml:space="preserve">이상 낮음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일 안의 측정만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</si>
  <si>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• 플래그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 이상 → 고강도 볼륨 조정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선수와 대화   •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 → 관찰   •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개 → 계획대로</t>
    </r>
  </si>
  <si>
    <r>
      <rPr>
        <sz val="10"/>
        <rFont val="WenQuanYi Zen Hei"/>
        <family val="2"/>
      </rPr>
      <t xml:space="preserve">• 지표 하나만으로 선수 상태를 단정하지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판정은 대화를 시작하기 위한 신호입니다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</si>
  <si>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처음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주는 </t>
    </r>
    <r>
      <rPr>
        <b val="true"/>
        <sz val="10"/>
        <rFont val="Arial"/>
        <family val="0"/>
        <charset val="1"/>
      </rPr>
      <t xml:space="preserve">baseline</t>
    </r>
    <r>
      <rPr>
        <b val="true"/>
        <sz val="10"/>
        <rFont val="WenQuanYi Zen Hei"/>
        <family val="2"/>
      </rPr>
      <t xml:space="preserve">을 쌓는 기간</t>
    </r>
  </si>
  <si>
    <r>
      <rPr>
        <sz val="10"/>
        <rFont val="WenQuanYi Zen Hei"/>
        <family val="2"/>
      </rPr>
      <t xml:space="preserve">• 개인 기준이 생기기 전에는 판정이 나오지 않는 것이 정상입니다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기간에 측정 방법과 시간을 일정하게 유지하세요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</si>
  <si>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저하 기준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는 임시값입니다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휴식 상태에서 같은 날 또는 이틀 연속 반복 측정해 팀의 측정 오차</t>
    </r>
    <r>
      <rPr>
        <sz val="10"/>
        <rFont val="Arial"/>
        <family val="0"/>
        <charset val="1"/>
      </rPr>
      <t xml:space="preserve">(CV)</t>
    </r>
    <r>
      <rPr>
        <sz val="10"/>
        <rFont val="WenQuanYi Zen Hei"/>
        <family val="2"/>
      </rPr>
      <t xml:space="preserve">를 구한 뒤 설정 시트에서 바꾸세요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</si>
  <si>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5. ⚠ </t>
    </r>
    <r>
      <rPr>
        <b val="true"/>
        <sz val="10"/>
        <rFont val="WenQuanYi Zen Hei"/>
        <family val="2"/>
      </rPr>
      <t xml:space="preserve">의료진 확인이 필요한 신호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시트 판정과 별개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</si>
  <si>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부하를 줄여도 </t>
    </r>
    <r>
      <rPr>
        <sz val="10"/>
        <rFont val="Arial"/>
        <family val="0"/>
        <charset val="1"/>
      </rPr>
      <t xml:space="preserve">1–2</t>
    </r>
    <r>
      <rPr>
        <sz val="10"/>
        <rFont val="WenQuanYi Zen Hei"/>
        <family val="2"/>
      </rPr>
      <t xml:space="preserve">주 이상 지속되는 피로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수행력 저하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발열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감염 증상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극심한 근육통과 짙은 갈색 소변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국소 통증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부종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지속적 체중 감소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월경 불규칙</t>
    </r>
  </si>
  <si>
    <t xml:space="preserve">근거</t>
  </si>
  <si>
    <r>
      <rPr>
        <sz val="10"/>
        <rFont val="Arial"/>
        <family val="0"/>
        <charset val="1"/>
      </rPr>
      <t xml:space="preserve">• Wellness 5</t>
    </r>
    <r>
      <rPr>
        <sz val="10"/>
        <rFont val="WenQuanYi Zen Hei"/>
        <family val="2"/>
      </rPr>
      <t xml:space="preserve">문항 </t>
    </r>
    <r>
      <rPr>
        <sz val="10"/>
        <rFont val="Arial"/>
        <family val="0"/>
        <charset val="1"/>
      </rPr>
      <t xml:space="preserve">1–5</t>
    </r>
    <r>
      <rPr>
        <sz val="10"/>
        <rFont val="WenQuanYi Zen Hei"/>
        <family val="2"/>
      </rPr>
      <t xml:space="preserve">점 형식</t>
    </r>
    <r>
      <rPr>
        <sz val="10"/>
        <rFont val="Arial"/>
        <family val="0"/>
        <charset val="1"/>
      </rPr>
      <t xml:space="preserve">: McLean BD et al. (2010). Neuromuscular, endocrine, and perceptual fatigue responses during different length between-match microcycles in professional rugby league players. IJSPP.</t>
    </r>
  </si>
  <si>
    <r>
      <rPr>
        <sz val="10"/>
        <rFont val="Arial"/>
        <family val="0"/>
        <charset val="1"/>
      </rPr>
      <t xml:space="preserve">• CMJ </t>
    </r>
    <r>
      <rPr>
        <sz val="10"/>
        <rFont val="WenQuanYi Zen Hei"/>
        <family val="2"/>
      </rPr>
      <t xml:space="preserve">평균값 사용</t>
    </r>
    <r>
      <rPr>
        <sz val="10"/>
        <rFont val="Arial"/>
        <family val="0"/>
        <charset val="1"/>
      </rPr>
      <t xml:space="preserve">: Claudino JG et al. (2017). The countermovement jump to monitor neuromuscular status: a meta-analysis. J Sci Med Sport, 20(4), 397–402.</t>
    </r>
  </si>
  <si>
    <r>
      <rPr>
        <sz val="10"/>
        <rFont val="Arial"/>
        <family val="0"/>
        <charset val="1"/>
      </rPr>
      <t xml:space="preserve">• 72</t>
    </r>
    <r>
      <rPr>
        <sz val="10"/>
        <rFont val="WenQuanYi Zen Hei"/>
        <family val="2"/>
      </rPr>
      <t xml:space="preserve">시간 회복 경과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프로토콜</t>
    </r>
    <r>
      <rPr>
        <sz val="10"/>
        <rFont val="Arial"/>
        <family val="0"/>
        <charset val="1"/>
      </rPr>
      <t xml:space="preserve">: recovery/2026-09-23_football-recovery-evidence-and-protocol.md</t>
    </r>
  </si>
  <si>
    <r>
      <rPr>
        <i val="true"/>
        <sz val="9"/>
        <color rgb="FF555555"/>
        <rFont val="Arial"/>
        <family val="0"/>
        <charset val="1"/>
      </rPr>
      <t xml:space="preserve">Google Sheets</t>
    </r>
    <r>
      <rPr>
        <i val="true"/>
        <sz val="9"/>
        <color rgb="FF555555"/>
        <rFont val="WenQuanYi Zen Hei"/>
        <family val="2"/>
      </rPr>
      <t xml:space="preserve">에서도 열립니다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파일 → 가져오기</t>
    </r>
    <r>
      <rPr>
        <i val="true"/>
        <sz val="9"/>
        <color rgb="FF555555"/>
        <rFont val="Arial"/>
        <family val="0"/>
        <charset val="1"/>
      </rPr>
      <t xml:space="preserve">). Excel 2019 </t>
    </r>
    <r>
      <rPr>
        <i val="true"/>
        <sz val="9"/>
        <color rgb="FF555555"/>
        <rFont val="WenQuanYi Zen Hei"/>
        <family val="2"/>
      </rPr>
      <t xml:space="preserve">이상 </t>
    </r>
    <r>
      <rPr>
        <i val="true"/>
        <sz val="9"/>
        <color rgb="FF555555"/>
        <rFont val="Arial"/>
        <family val="0"/>
        <charset val="1"/>
      </rPr>
      <t xml:space="preserve">/ Microsoft 365 / LibreOffice </t>
    </r>
    <r>
      <rPr>
        <i val="true"/>
        <sz val="9"/>
        <color rgb="FF555555"/>
        <rFont val="WenQuanYi Zen Hei"/>
        <family val="2"/>
      </rPr>
      <t xml:space="preserve">호환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</si>
  <si>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선수별 최근 상태</t>
  </si>
  <si>
    <r>
      <rPr>
        <i val="true"/>
        <sz val="9"/>
        <color rgb="FF555555"/>
        <rFont val="WenQuanYi Zen Hei"/>
        <family val="2"/>
      </rPr>
      <t xml:space="preserve">각 선수의 가장 최근 </t>
    </r>
    <r>
      <rPr>
        <i val="true"/>
        <sz val="9"/>
        <color rgb="FF555555"/>
        <rFont val="Arial"/>
        <family val="0"/>
        <charset val="1"/>
      </rPr>
      <t xml:space="preserve">wellness </t>
    </r>
    <r>
      <rPr>
        <i val="true"/>
        <sz val="9"/>
        <color rgb="FF555555"/>
        <rFont val="WenQuanYi Zen Hei"/>
        <family val="2"/>
      </rPr>
      <t xml:space="preserve">기록과 </t>
    </r>
    <r>
      <rPr>
        <i val="true"/>
        <sz val="9"/>
        <color rgb="FF555555"/>
        <rFont val="Arial"/>
        <family val="0"/>
        <charset val="1"/>
      </rPr>
      <t xml:space="preserve">CMJ </t>
    </r>
    <r>
      <rPr>
        <i val="true"/>
        <sz val="9"/>
        <color rgb="FF555555"/>
        <rFont val="WenQuanYi Zen Hei"/>
        <family val="2"/>
      </rPr>
      <t xml:space="preserve">기록을 보여준다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입력은 </t>
    </r>
    <r>
      <rPr>
        <i val="true"/>
        <sz val="9"/>
        <color rgb="FF555555"/>
        <rFont val="Arial"/>
        <family val="0"/>
        <charset val="1"/>
      </rPr>
      <t xml:space="preserve">Wellness / CMJ </t>
    </r>
    <r>
      <rPr>
        <i val="true"/>
        <sz val="9"/>
        <color rgb="FF555555"/>
        <rFont val="WenQuanYi Zen Hei"/>
        <family val="2"/>
      </rPr>
      <t xml:space="preserve">시트에서만 한다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판정은 보조 정보이며 최종 결정은 코치가 한다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</si>
  <si>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선수 코드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</si>
  <si>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wellness </t>
    </r>
    <r>
      <rPr>
        <b val="true"/>
        <sz val="10"/>
        <color rgb="FFFFFFFF"/>
        <rFont val="WenQuanYi Zen Hei"/>
        <family val="2"/>
      </rPr>
      <t xml:space="preserve">날짜</t>
    </r>
  </si>
  <si>
    <t xml:space="preserve">합계</t>
  </si>
  <si>
    <t xml:space="preserve">z-score</t>
  </si>
  <si>
    <r>
      <rPr>
        <b val="true"/>
        <sz val="10"/>
        <color rgb="FFFFFFFF"/>
        <rFont val="Arial"/>
        <family val="0"/>
        <charset val="1"/>
      </rPr>
      <t xml:space="preserve">Wellness </t>
    </r>
    <r>
      <rPr>
        <b val="true"/>
        <sz val="10"/>
        <color rgb="FFFFFFFF"/>
        <rFont val="WenQuanYi Zen Hei"/>
        <family val="2"/>
      </rPr>
      <t xml:space="preserve">상태</t>
    </r>
  </si>
  <si>
    <r>
      <rPr>
        <b val="true"/>
        <sz val="10"/>
        <color rgb="FFFFFFFF"/>
        <rFont val="WenQuanYi Zen Hei"/>
        <family val="2"/>
      </rPr>
      <t xml:space="preserve">피로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근육통 낮음</t>
    </r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</si>
  <si>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CMJ </t>
    </r>
    <r>
      <rPr>
        <b val="true"/>
        <sz val="10"/>
        <color rgb="FFFFFFFF"/>
        <rFont val="WenQuanYi Zen Hei"/>
        <family val="2"/>
      </rPr>
      <t xml:space="preserve">날짜</t>
    </r>
  </si>
  <si>
    <r>
      <rPr>
        <b val="true"/>
        <sz val="10"/>
        <color rgb="FFFFFFFF"/>
        <rFont val="Arial"/>
        <family val="0"/>
        <charset val="1"/>
      </rPr>
      <t xml:space="preserve">CMJ </t>
    </r>
    <r>
      <rPr>
        <b val="true"/>
        <sz val="10"/>
        <color rgb="FFFFFFFF"/>
        <rFont val="WenQuanYi Zen Hei"/>
        <family val="2"/>
      </rPr>
      <t xml:space="preserve">변화</t>
    </r>
  </si>
  <si>
    <r>
      <rPr>
        <b val="true"/>
        <sz val="10"/>
        <color rgb="FFFFFFFF"/>
        <rFont val="Arial"/>
        <family val="0"/>
        <charset val="1"/>
      </rPr>
      <t xml:space="preserve">CMJ </t>
    </r>
    <r>
      <rPr>
        <b val="true"/>
        <sz val="10"/>
        <color rgb="FFFFFFFF"/>
        <rFont val="WenQuanYi Zen Hei"/>
        <family val="2"/>
      </rPr>
      <t xml:space="preserve">상태</t>
    </r>
  </si>
  <si>
    <t xml:space="preserve">플래그 수</t>
  </si>
  <si>
    <t xml:space="preserve">권고</t>
  </si>
  <si>
    <t xml:space="preserve">날짜</t>
  </si>
  <si>
    <r>
      <rPr>
        <b val="true"/>
        <sz val="10"/>
        <color rgb="FFFFFFFF"/>
        <rFont val="Arial"/>
        <family val="0"/>
        <charset val="1"/>
      </rPr>
      <t xml:space="preserve">MD </t>
    </r>
    <r>
      <rPr>
        <b val="true"/>
        <sz val="10"/>
        <color rgb="FFFFFFFF"/>
        <rFont val="WenQuanYi Zen Hei"/>
        <family val="2"/>
      </rPr>
      <t xml:space="preserve">코드</t>
    </r>
  </si>
  <si>
    <r>
      <rPr>
        <b val="true"/>
        <sz val="10"/>
        <color rgb="FFFFFFFF"/>
        <rFont val="WenQuanYi Zen Hei"/>
        <family val="2"/>
      </rPr>
      <t xml:space="preserve">수면 시간 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</si>
  <si>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WenQuanYi Zen Hei"/>
        <family val="2"/>
      </rPr>
      <t xml:space="preserve">수면의 질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</si>
  <si>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피로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</si>
  <si>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근육통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</si>
  <si>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기분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</si>
  <si>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스트레스 </t>
    </r>
    <r>
      <rPr>
        <b val="true"/>
        <sz val="10"/>
        <color rgb="FFFFFFFF"/>
        <rFont val="Arial"/>
        <family val="0"/>
        <charset val="1"/>
      </rPr>
      <t xml:space="preserve">(1–5)</t>
    </r>
  </si>
  <si>
    <r>
      <rPr>
        <b val="true"/>
        <sz val="10"/>
        <color rgb="FFFFFFFF"/>
        <rFont val="WenQuanYi Zen Hei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(5–25)</t>
    </r>
  </si>
  <si>
    <r>
      <rPr>
        <b val="true"/>
        <sz val="10"/>
        <color rgb="FFFFFFFF"/>
        <rFont val="Arial"/>
        <family val="0"/>
        <charset val="1"/>
      </rPr>
      <t xml:space="preserve">baseline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</si>
  <si>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baseline SD</t>
  </si>
  <si>
    <r>
      <rPr>
        <b val="true"/>
        <sz val="10"/>
        <color rgb="FFFFFFFF"/>
        <rFont val="Arial"/>
        <family val="0"/>
        <charset val="1"/>
      </rPr>
      <t xml:space="preserve">baseline </t>
    </r>
    <r>
      <rPr>
        <b val="true"/>
        <sz val="10"/>
        <color rgb="FFFFFFFF"/>
        <rFont val="WenQuanYi Zen Hei"/>
        <family val="2"/>
      </rPr>
      <t xml:space="preserve">기록 수</t>
    </r>
  </si>
  <si>
    <t xml:space="preserve">상태</t>
  </si>
  <si>
    <t xml:space="preserve">메모</t>
  </si>
  <si>
    <r>
      <rPr>
        <b val="true"/>
        <sz val="10"/>
        <color rgb="FFFFFFFF"/>
        <rFont val="Arial"/>
        <family val="0"/>
        <charset val="1"/>
      </rPr>
      <t xml:space="preserve">helper (</t>
    </r>
    <r>
      <rPr>
        <b val="true"/>
        <sz val="10"/>
        <color rgb="FFFFFFFF"/>
        <rFont val="WenQuanYi Zen Hei"/>
        <family val="2"/>
      </rPr>
      <t xml:space="preserve">합계²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</si>
  <si>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P00</t>
  </si>
  <si>
    <t xml:space="preserve">MD+2</t>
  </si>
  <si>
    <t xml:space="preserve">예시 행 — 사용 전 삭제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</si>
  <si>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</si>
  <si>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</si>
  <si>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</si>
  <si>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WenQuanYi Zen Hei"/>
        <family val="2"/>
      </rPr>
      <t xml:space="preserve">최고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</si>
  <si>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(cm) — </t>
    </r>
    <r>
      <rPr>
        <b val="true"/>
        <sz val="10"/>
        <color rgb="FFFFFFFF"/>
        <rFont val="WenQuanYi Zen Hei"/>
        <family val="2"/>
      </rPr>
      <t xml:space="preserve">판정용</t>
    </r>
  </si>
  <si>
    <r>
      <rPr>
        <b val="true"/>
        <sz val="10"/>
        <color rgb="FFFFFFFF"/>
        <rFont val="Arial"/>
        <family val="0"/>
        <charset val="1"/>
      </rPr>
      <t xml:space="preserve">baseline </t>
    </r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</si>
  <si>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WenQuanYi Zen Hei"/>
        <family val="2"/>
      </rPr>
      <t xml:space="preserve">변화 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</si>
  <si>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포지션</t>
  </si>
  <si>
    <r>
      <rPr>
        <b val="true"/>
        <sz val="10"/>
        <color rgb="FFFFFFFF"/>
        <rFont val="WenQuanYi Zen Hei"/>
        <family val="2"/>
      </rPr>
      <t xml:space="preserve">연령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팀</t>
    </r>
  </si>
  <si>
    <t xml:space="preserve">WG</t>
  </si>
  <si>
    <t xml:space="preserve">U18</t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</si>
  <si>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</si>
  <si>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</si>
  <si>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근거</t>
    </r>
  </si>
  <si>
    <r>
      <rPr>
        <sz val="10"/>
        <rFont val="Arial"/>
        <family val="0"/>
        <charset val="1"/>
      </rPr>
      <t xml:space="preserve">Wellness baseline </t>
    </r>
    <r>
      <rPr>
        <sz val="10"/>
        <rFont val="WenQuanYi Zen Hei"/>
        <family val="2"/>
      </rPr>
      <t xml:space="preserve">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</si>
  <si>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직전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일의 개인 기록으로 평균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표준편차 계산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현장 관행 기반 기본값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</si>
  <si>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Wellness baseline </t>
    </r>
    <r>
      <rPr>
        <sz val="10"/>
        <rFont val="WenQuanYi Zen Hei"/>
        <family val="2"/>
      </rPr>
      <t xml:space="preserve">최소 기록 수</t>
    </r>
  </si>
  <si>
    <r>
      <rPr>
        <sz val="10"/>
        <rFont val="WenQuanYi Zen Hei"/>
        <family val="2"/>
      </rPr>
      <t xml:space="preserve">이보다 적으면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표시하고 판정하지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</si>
  <si>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Wellness z-score </t>
    </r>
    <r>
      <rPr>
        <sz val="10"/>
        <rFont val="WenQuanYi Zen Hei"/>
        <family val="2"/>
      </rPr>
      <t xml:space="preserve">기준</t>
    </r>
  </si>
  <si>
    <r>
      <rPr>
        <sz val="10"/>
        <rFont val="WenQuanYi Zen Hei"/>
        <family val="2"/>
      </rPr>
      <t xml:space="preserve">개인 평균보다 이 표준편차 이상 낮으면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낮음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현장 관행 기반 기본값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근거로 검증된 기준 아님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</si>
  <si>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피로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근육통 낮은 점수 기준</t>
    </r>
  </si>
  <si>
    <r>
      <rPr>
        <sz val="10"/>
        <rFont val="WenQuanYi Zen Hei"/>
        <family val="2"/>
      </rPr>
      <t xml:space="preserve">피로 또는 근육통 항목이 이 점수 이하이면 선수 호소로 간주 </t>
    </r>
    <r>
      <rPr>
        <sz val="10"/>
        <rFont val="Arial"/>
        <family val="0"/>
        <charset val="1"/>
      </rPr>
      <t xml:space="preserve">(1=</t>
    </r>
    <r>
      <rPr>
        <sz val="10"/>
        <rFont val="WenQuanYi Zen Hei"/>
        <family val="2"/>
      </rPr>
      <t xml:space="preserve">매우 나쁨</t>
    </r>
    <r>
      <rPr>
        <sz val="10"/>
        <rFont val="Arial"/>
        <family val="0"/>
        <charset val="1"/>
      </rPr>
      <t xml:space="preserve">, 5=</t>
    </r>
    <r>
      <rPr>
        <sz val="10"/>
        <rFont val="WenQuanYi Zen Hei"/>
        <family val="2"/>
      </rPr>
      <t xml:space="preserve">매우 좋음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</si>
  <si>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CMJ baseline </t>
    </r>
    <r>
      <rPr>
        <sz val="10"/>
        <rFont val="WenQuanYi Zen Hei"/>
        <family val="2"/>
      </rPr>
      <t xml:space="preserve">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</si>
  <si>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직전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일의 </t>
    </r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평균값으로 </t>
    </r>
    <r>
      <rPr>
        <sz val="10"/>
        <rFont val="Arial"/>
        <family val="0"/>
        <charset val="1"/>
      </rPr>
      <t xml:space="preserve">baseline </t>
    </r>
    <r>
      <rPr>
        <sz val="10"/>
        <rFont val="WenQuanYi Zen Hei"/>
        <family val="2"/>
      </rPr>
      <t xml:space="preserve">계산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</si>
  <si>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CMJ baseline </t>
    </r>
    <r>
      <rPr>
        <sz val="10"/>
        <rFont val="WenQuanYi Zen Hei"/>
        <family val="2"/>
      </rPr>
      <t xml:space="preserve">최소 기록 수</t>
    </r>
  </si>
  <si>
    <r>
      <rPr>
        <sz val="10"/>
        <rFont val="WenQuanYi Zen Hei"/>
        <family val="2"/>
      </rPr>
      <t xml:space="preserve">이보다 적으면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수집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</si>
  <si>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저하 기준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</si>
  <si>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baseline </t>
    </r>
    <r>
      <rPr>
        <sz val="10"/>
        <rFont val="WenQuanYi Zen Hei"/>
        <family val="2"/>
      </rPr>
      <t xml:space="preserve">대비 이 비율 이상 낮으면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저하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기본값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는 임시값 — 팀이 직접 반복 측정해 구한 측정 오차</t>
    </r>
    <r>
      <rPr>
        <sz val="10"/>
        <rFont val="Arial"/>
        <family val="0"/>
        <charset val="1"/>
      </rPr>
      <t xml:space="preserve">(typical error/CV)</t>
    </r>
    <r>
      <rPr>
        <sz val="10"/>
        <rFont val="WenQuanYi Zen Hei"/>
        <family val="2"/>
      </rPr>
      <t xml:space="preserve">로 교체 권장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</si>
  <si>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CMJ </t>
    </r>
    <r>
      <rPr>
        <sz val="10"/>
        <rFont val="WenQuanYi Zen Hei"/>
        <family val="2"/>
      </rPr>
      <t xml:space="preserve">유효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</si>
  <si>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대시보드에서 최근 </t>
    </r>
    <r>
      <rPr>
        <sz val="10"/>
        <rFont val="Arial"/>
        <family val="0"/>
        <charset val="1"/>
      </rPr>
      <t xml:space="preserve">wellness </t>
    </r>
    <r>
      <rPr>
        <sz val="10"/>
        <rFont val="WenQuanYi Zen Hei"/>
        <family val="2"/>
      </rPr>
      <t xml:space="preserve">날짜 기준 이 기간 안의 </t>
    </r>
    <r>
      <rPr>
        <sz val="10"/>
        <rFont val="Arial"/>
        <family val="0"/>
        <charset val="1"/>
      </rPr>
      <t xml:space="preserve">CMJ</t>
    </r>
    <r>
      <rPr>
        <sz val="10"/>
        <rFont val="WenQuanYi Zen Hei"/>
        <family val="2"/>
      </rPr>
      <t xml:space="preserve">만 판정에 포함</t>
    </r>
    <r>
      <rPr>
        <sz val="10"/>
        <rFont val="Arial"/>
        <family val="0"/>
        <charset val="1"/>
      </rPr>
      <t xml:space="preserve">.</t>
    </r>
  </si>
  <si>
    <t xml:space="preserve">조치 기준 플래그 수</t>
  </si>
  <si>
    <r>
      <rPr>
        <sz val="10"/>
        <rFont val="WenQuanYi Zen Hei"/>
        <family val="2"/>
      </rPr>
      <t xml:space="preserve">플래그가 이 개수 이상이면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고강도 볼륨 조정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선수와 대화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회복 프로토콜 노트의 </t>
    </r>
    <r>
      <rPr>
        <sz val="10"/>
        <rFont val="Arial"/>
        <family val="0"/>
        <charset val="1"/>
      </rPr>
      <t xml:space="preserve">MVP </t>
    </r>
    <r>
      <rPr>
        <sz val="10"/>
        <rFont val="WenQuanYi Zen Hei"/>
        <family val="2"/>
      </rPr>
      <t xml:space="preserve">규칙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</si>
</sst>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General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D6"/>
        <bgColor rgb="FFEEF1F5"/>
      </patternFill>
    </fill>
    <fill>
      <patternFill patternType="solid">
        <fgColor rgb="FFEEF1F5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0CC"/>
        </patternFill>
      </fill>
    </dxf>
    <dxf>
      <fill>
        <patternFill>
          <bgColor rgb="FFFCE8B2"/>
        </patternFill>
      </fill>
    </dxf>
    <dxf>
      <fill>
        <patternFill>
          <bgColor rgb="FFD6EF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EF1F5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8"/>
      <rgbColor rgb="FFFCE8B2"/>
      <rgbColor rgb="FF99CCFF"/>
      <rgbColor rgb="FFFF99CC"/>
      <rgbColor rgb="FFCC99FF"/>
      <rgbColor rgb="FFF8D0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6" t="s">
        <v>4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6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5" t="s">
        <v>13</v>
      </c>
    </row>
    <row r="19" customFormat="false" ht="15" hidden="false" customHeight="false" outlineLevel="0" collapsed="false">
      <c r="A19" s="6" t="s">
        <v>14</v>
      </c>
    </row>
    <row r="20" customFormat="false" ht="15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5" t="s">
        <v>17</v>
      </c>
    </row>
    <row r="24" customFormat="false" ht="15" hidden="false" customHeight="false" outlineLevel="0" collapsed="false">
      <c r="A24" s="6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5" t="s">
        <v>20</v>
      </c>
    </row>
    <row r="28" customFormat="false" ht="15" hidden="false" customHeight="false" outlineLevel="0" collapsed="false">
      <c r="A28" s="6" t="s">
        <v>21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22</v>
      </c>
    </row>
    <row r="31" customFormat="false" ht="25.3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3" t="s">
        <v>25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32"/>
  </cols>
  <sheetData>
    <row r="1" customFormat="false" ht="17.35" hidden="false" customHeight="false" outlineLevel="0" collapsed="false">
      <c r="A1" s="8" t="s">
        <v>27</v>
      </c>
    </row>
    <row r="2" customFormat="false" ht="15" hidden="false" customHeight="false" outlineLevel="0" collapsed="false">
      <c r="A2" s="9" t="s">
        <v>28</v>
      </c>
    </row>
    <row r="4" customFormat="false" ht="30" hidden="false" customHeight="true" outlineLevel="0" collapsed="false">
      <c r="A4" s="10" t="s">
        <v>29</v>
      </c>
      <c r="B4" s="10" t="s">
        <v>30</v>
      </c>
      <c r="C4" s="10" t="s">
        <v>31</v>
      </c>
      <c r="D4" s="11" t="s">
        <v>32</v>
      </c>
      <c r="E4" s="11" t="s">
        <v>33</v>
      </c>
      <c r="F4" s="10" t="s">
        <v>34</v>
      </c>
      <c r="G4" s="10" t="s">
        <v>35</v>
      </c>
      <c r="H4" s="11" t="s">
        <v>36</v>
      </c>
      <c r="I4" s="11" t="s">
        <v>37</v>
      </c>
      <c r="J4" s="10" t="s">
        <v>38</v>
      </c>
      <c r="K4" s="10" t="s">
        <v>39</v>
      </c>
    </row>
    <row r="5" customFormat="false" ht="15" hidden="false" customHeight="false" outlineLevel="0" collapsed="false">
      <c r="A5" s="12" t="str">
        <f aca="false">IF(선수!A2="","",선수!A2)</f>
        <v>P00</v>
      </c>
      <c r="B5" s="13" t="n">
        <f aca="false">IF(A5="","",IF(COUNTIFS(Wellness!$B$2:$B$1001,A5,Wellness!$J$2:$J$1001,"&gt;=0")=0,"",_xlfn.MAXIFS(Wellness!$A$2:$A$1001,Wellness!$B$2:$B$1001,A5,Wellness!$J$2:$J$1001,"&gt;=0")))</f>
        <v>46286</v>
      </c>
      <c r="C5" s="12" t="n">
        <f aca="false">IF(B5="","",AVERAGEIFS(Wellness!$J$2:$J$1001,Wellness!$B$2:$B$1001,A5,Wellness!$A$2:$A$1001,B5))</f>
        <v>18</v>
      </c>
      <c r="D5" s="12" t="str">
        <f aca="false">IF(B5="","",IFERROR(ROUND(AVERAGEIFS(Wellness!$N$2:$N$1001,Wellness!$B$2:$B$1001,A5,Wellness!$A$2:$A$1001,B5),2),""))</f>
        <v/>
      </c>
      <c r="E5" s="12" t="str">
        <f aca="false">IF(B5="","",IF(COUNTIFS(Wellness!$B$2:$B$1001,A5,Wellness!$A$2:$A$1001,B5,Wellness!$P$2:$P$1001,"낮음")&gt;0,"낮음",IF(COUNTIFS(Wellness!$B$2:$B$1001,A5,Wellness!$A$2:$A$1001,B5,Wellness!$P$2:$P$1001,"baseline 수집 중")&gt;0,"baseline 수집 중","정상")))</f>
        <v>baseline 수집 중</v>
      </c>
      <c r="F5" s="12" t="str">
        <f aca="false">IF(B5="","",IF(COUNTIFS(Wellness!$B$2:$B$1001,A5,Wellness!$A$2:$A$1001,B5,Wellness!$O$2:$O$1001,"예")&gt;0,"예",""))</f>
        <v/>
      </c>
      <c r="G5" s="13" t="n">
        <f aca="false">IF(A5="","",IF(COUNTIFS(CMJ!$B$2:$B$1001,A5,CMJ!$H$2:$H$1001,"&gt;=0")=0,"",_xlfn.MAXIFS(CMJ!$A$2:$A$1001,CMJ!$B$2:$B$1001,A5,CMJ!$H$2:$H$1001,"&gt;=0")))</f>
        <v>46286</v>
      </c>
      <c r="H5" s="14" t="str">
        <f aca="false">IF(G5="","",IFERROR(AVERAGEIFS(CMJ!$K$2:$K$1001,CMJ!$B$2:$B$1001,A5,CMJ!$A$2:$A$1001,G5),""))</f>
        <v/>
      </c>
      <c r="I5" s="12" t="str">
        <f aca="false">IF(G5="","",IF(COUNTIFS(CMJ!$B$2:$B$1001,A5,CMJ!$A$2:$A$1001,G5,CMJ!$L$2:$L$1001,"저하")&gt;0,"저하",IF(COUNTIFS(CMJ!$B$2:$B$1001,A5,CMJ!$A$2:$A$1001,G5,CMJ!$L$2:$L$1001,"baseline 수집 중")&gt;0,"baseline 수집 중","정상")))</f>
        <v>baseline 수집 중</v>
      </c>
      <c r="J5" s="12" t="n">
        <f aca="false">IF(A5="","",IF(E5="낮음",1,0)+IF(F5="예",1,0)+IF(I5="저하",IF(B5="",1,IF(G5&gt;=B5-설정!$B$9,1,0)),0))</f>
        <v>0</v>
      </c>
      <c r="K5" s="15" t="str">
        <f aca="false">IF(A5="","",IF(J5&gt;=설정!$B$10,"고강도 볼륨 조정 + 선수와 대화",IF(J5&gt;=1,"관찰","계획대로")))</f>
        <v>계획대로</v>
      </c>
    </row>
    <row r="6" customFormat="false" ht="15" hidden="false" customHeight="false" outlineLevel="0" collapsed="false">
      <c r="A6" s="12" t="str">
        <f aca="false">IF(선수!A3="","",선수!A3)</f>
        <v/>
      </c>
      <c r="B6" s="13" t="str">
        <f aca="false">IF(A6="","",IF(COUNTIFS(Wellness!$B$2:$B$1001,A6,Wellness!$J$2:$J$1001,"&gt;=0")=0,"",_xlfn.MAXIFS(Wellness!$A$2:$A$1001,Wellness!$B$2:$B$1001,A6,Wellness!$J$2:$J$1001,"&gt;=0")))</f>
        <v/>
      </c>
      <c r="C6" s="12" t="str">
        <f aca="false">IF(B6="","",AVERAGEIFS(Wellness!$J$2:$J$1001,Wellness!$B$2:$B$1001,A6,Wellness!$A$2:$A$1001,B6))</f>
        <v/>
      </c>
      <c r="D6" s="12" t="str">
        <f aca="false">IF(B6="","",IFERROR(ROUND(AVERAGEIFS(Wellness!$N$2:$N$1001,Wellness!$B$2:$B$1001,A6,Wellness!$A$2:$A$1001,B6),2),""))</f>
        <v/>
      </c>
      <c r="E6" s="12" t="str">
        <f aca="false">IF(B6="","",IF(COUNTIFS(Wellness!$B$2:$B$1001,A6,Wellness!$A$2:$A$1001,B6,Wellness!$P$2:$P$1001,"낮음")&gt;0,"낮음",IF(COUNTIFS(Wellness!$B$2:$B$1001,A6,Wellness!$A$2:$A$1001,B6,Wellness!$P$2:$P$1001,"baseline 수집 중")&gt;0,"baseline 수집 중","정상")))</f>
        <v/>
      </c>
      <c r="F6" s="12" t="str">
        <f aca="false">IF(B6="","",IF(COUNTIFS(Wellness!$B$2:$B$1001,A6,Wellness!$A$2:$A$1001,B6,Wellness!$O$2:$O$1001,"예")&gt;0,"예",""))</f>
        <v/>
      </c>
      <c r="G6" s="13" t="str">
        <f aca="false">IF(A6="","",IF(COUNTIFS(CMJ!$B$2:$B$1001,A6,CMJ!$H$2:$H$1001,"&gt;=0")=0,"",_xlfn.MAXIFS(CMJ!$A$2:$A$1001,CMJ!$B$2:$B$1001,A6,CMJ!$H$2:$H$1001,"&gt;=0")))</f>
        <v/>
      </c>
      <c r="H6" s="14" t="str">
        <f aca="false">IF(G6="","",IFERROR(AVERAGEIFS(CMJ!$K$2:$K$1001,CMJ!$B$2:$B$1001,A6,CMJ!$A$2:$A$1001,G6),""))</f>
        <v/>
      </c>
      <c r="I6" s="12" t="str">
        <f aca="false">IF(G6="","",IF(COUNTIFS(CMJ!$B$2:$B$1001,A6,CMJ!$A$2:$A$1001,G6,CMJ!$L$2:$L$1001,"저하")&gt;0,"저하",IF(COUNTIFS(CMJ!$B$2:$B$1001,A6,CMJ!$A$2:$A$1001,G6,CMJ!$L$2:$L$1001,"baseline 수집 중")&gt;0,"baseline 수집 중","정상")))</f>
        <v/>
      </c>
      <c r="J6" s="12" t="str">
        <f aca="false">IF(A6="","",IF(E6="낮음",1,0)+IF(F6="예",1,0)+IF(I6="저하",IF(B6="",1,IF(G6&gt;=B6-설정!$B$9,1,0)),0))</f>
        <v/>
      </c>
      <c r="K6" s="15" t="str">
        <f aca="false">IF(A6="","",IF(J6&gt;=설정!$B$10,"고강도 볼륨 조정 + 선수와 대화",IF(J6&gt;=1,"관찰","계획대로")))</f>
        <v/>
      </c>
    </row>
    <row r="7" customFormat="false" ht="15" hidden="false" customHeight="false" outlineLevel="0" collapsed="false">
      <c r="A7" s="12" t="str">
        <f aca="false">IF(선수!A4="","",선수!A4)</f>
        <v/>
      </c>
      <c r="B7" s="13" t="str">
        <f aca="false">IF(A7="","",IF(COUNTIFS(Wellness!$B$2:$B$1001,A7,Wellness!$J$2:$J$1001,"&gt;=0")=0,"",_xlfn.MAXIFS(Wellness!$A$2:$A$1001,Wellness!$B$2:$B$1001,A7,Wellness!$J$2:$J$1001,"&gt;=0")))</f>
        <v/>
      </c>
      <c r="C7" s="12" t="str">
        <f aca="false">IF(B7="","",AVERAGEIFS(Wellness!$J$2:$J$1001,Wellness!$B$2:$B$1001,A7,Wellness!$A$2:$A$1001,B7))</f>
        <v/>
      </c>
      <c r="D7" s="12" t="str">
        <f aca="false">IF(B7="","",IFERROR(ROUND(AVERAGEIFS(Wellness!$N$2:$N$1001,Wellness!$B$2:$B$1001,A7,Wellness!$A$2:$A$1001,B7),2),""))</f>
        <v/>
      </c>
      <c r="E7" s="12" t="str">
        <f aca="false">IF(B7="","",IF(COUNTIFS(Wellness!$B$2:$B$1001,A7,Wellness!$A$2:$A$1001,B7,Wellness!$P$2:$P$1001,"낮음")&gt;0,"낮음",IF(COUNTIFS(Wellness!$B$2:$B$1001,A7,Wellness!$A$2:$A$1001,B7,Wellness!$P$2:$P$1001,"baseline 수집 중")&gt;0,"baseline 수집 중","정상")))</f>
        <v/>
      </c>
      <c r="F7" s="12" t="str">
        <f aca="false">IF(B7="","",IF(COUNTIFS(Wellness!$B$2:$B$1001,A7,Wellness!$A$2:$A$1001,B7,Wellness!$O$2:$O$1001,"예")&gt;0,"예",""))</f>
        <v/>
      </c>
      <c r="G7" s="13" t="str">
        <f aca="false">IF(A7="","",IF(COUNTIFS(CMJ!$B$2:$B$1001,A7,CMJ!$H$2:$H$1001,"&gt;=0")=0,"",_xlfn.MAXIFS(CMJ!$A$2:$A$1001,CMJ!$B$2:$B$1001,A7,CMJ!$H$2:$H$1001,"&gt;=0")))</f>
        <v/>
      </c>
      <c r="H7" s="14" t="str">
        <f aca="false">IF(G7="","",IFERROR(AVERAGEIFS(CMJ!$K$2:$K$1001,CMJ!$B$2:$B$1001,A7,CMJ!$A$2:$A$1001,G7),""))</f>
        <v/>
      </c>
      <c r="I7" s="12" t="str">
        <f aca="false">IF(G7="","",IF(COUNTIFS(CMJ!$B$2:$B$1001,A7,CMJ!$A$2:$A$1001,G7,CMJ!$L$2:$L$1001,"저하")&gt;0,"저하",IF(COUNTIFS(CMJ!$B$2:$B$1001,A7,CMJ!$A$2:$A$1001,G7,CMJ!$L$2:$L$1001,"baseline 수집 중")&gt;0,"baseline 수집 중","정상")))</f>
        <v/>
      </c>
      <c r="J7" s="12" t="str">
        <f aca="false">IF(A7="","",IF(E7="낮음",1,0)+IF(F7="예",1,0)+IF(I7="저하",IF(B7="",1,IF(G7&gt;=B7-설정!$B$9,1,0)),0))</f>
        <v/>
      </c>
      <c r="K7" s="15" t="str">
        <f aca="false">IF(A7="","",IF(J7&gt;=설정!$B$10,"고강도 볼륨 조정 + 선수와 대화",IF(J7&gt;=1,"관찰","계획대로")))</f>
        <v/>
      </c>
    </row>
    <row r="8" customFormat="false" ht="15" hidden="false" customHeight="false" outlineLevel="0" collapsed="false">
      <c r="A8" s="12" t="str">
        <f aca="false">IF(선수!A5="","",선수!A5)</f>
        <v/>
      </c>
      <c r="B8" s="13" t="str">
        <f aca="false">IF(A8="","",IF(COUNTIFS(Wellness!$B$2:$B$1001,A8,Wellness!$J$2:$J$1001,"&gt;=0")=0,"",_xlfn.MAXIFS(Wellness!$A$2:$A$1001,Wellness!$B$2:$B$1001,A8,Wellness!$J$2:$J$1001,"&gt;=0")))</f>
        <v/>
      </c>
      <c r="C8" s="12" t="str">
        <f aca="false">IF(B8="","",AVERAGEIFS(Wellness!$J$2:$J$1001,Wellness!$B$2:$B$1001,A8,Wellness!$A$2:$A$1001,B8))</f>
        <v/>
      </c>
      <c r="D8" s="12" t="str">
        <f aca="false">IF(B8="","",IFERROR(ROUND(AVERAGEIFS(Wellness!$N$2:$N$1001,Wellness!$B$2:$B$1001,A8,Wellness!$A$2:$A$1001,B8),2),""))</f>
        <v/>
      </c>
      <c r="E8" s="12" t="str">
        <f aca="false">IF(B8="","",IF(COUNTIFS(Wellness!$B$2:$B$1001,A8,Wellness!$A$2:$A$1001,B8,Wellness!$P$2:$P$1001,"낮음")&gt;0,"낮음",IF(COUNTIFS(Wellness!$B$2:$B$1001,A8,Wellness!$A$2:$A$1001,B8,Wellness!$P$2:$P$1001,"baseline 수집 중")&gt;0,"baseline 수집 중","정상")))</f>
        <v/>
      </c>
      <c r="F8" s="12" t="str">
        <f aca="false">IF(B8="","",IF(COUNTIFS(Wellness!$B$2:$B$1001,A8,Wellness!$A$2:$A$1001,B8,Wellness!$O$2:$O$1001,"예")&gt;0,"예",""))</f>
        <v/>
      </c>
      <c r="G8" s="13" t="str">
        <f aca="false">IF(A8="","",IF(COUNTIFS(CMJ!$B$2:$B$1001,A8,CMJ!$H$2:$H$1001,"&gt;=0")=0,"",_xlfn.MAXIFS(CMJ!$A$2:$A$1001,CMJ!$B$2:$B$1001,A8,CMJ!$H$2:$H$1001,"&gt;=0")))</f>
        <v/>
      </c>
      <c r="H8" s="14" t="str">
        <f aca="false">IF(G8="","",IFERROR(AVERAGEIFS(CMJ!$K$2:$K$1001,CMJ!$B$2:$B$1001,A8,CMJ!$A$2:$A$1001,G8),""))</f>
        <v/>
      </c>
      <c r="I8" s="12" t="str">
        <f aca="false">IF(G8="","",IF(COUNTIFS(CMJ!$B$2:$B$1001,A8,CMJ!$A$2:$A$1001,G8,CMJ!$L$2:$L$1001,"저하")&gt;0,"저하",IF(COUNTIFS(CMJ!$B$2:$B$1001,A8,CMJ!$A$2:$A$1001,G8,CMJ!$L$2:$L$1001,"baseline 수집 중")&gt;0,"baseline 수집 중","정상")))</f>
        <v/>
      </c>
      <c r="J8" s="12" t="str">
        <f aca="false">IF(A8="","",IF(E8="낮음",1,0)+IF(F8="예",1,0)+IF(I8="저하",IF(B8="",1,IF(G8&gt;=B8-설정!$B$9,1,0)),0))</f>
        <v/>
      </c>
      <c r="K8" s="15" t="str">
        <f aca="false">IF(A8="","",IF(J8&gt;=설정!$B$10,"고강도 볼륨 조정 + 선수와 대화",IF(J8&gt;=1,"관찰","계획대로")))</f>
        <v/>
      </c>
    </row>
    <row r="9" customFormat="false" ht="15" hidden="false" customHeight="false" outlineLevel="0" collapsed="false">
      <c r="A9" s="12" t="str">
        <f aca="false">IF(선수!A6="","",선수!A6)</f>
        <v/>
      </c>
      <c r="B9" s="13" t="str">
        <f aca="false">IF(A9="","",IF(COUNTIFS(Wellness!$B$2:$B$1001,A9,Wellness!$J$2:$J$1001,"&gt;=0")=0,"",_xlfn.MAXIFS(Wellness!$A$2:$A$1001,Wellness!$B$2:$B$1001,A9,Wellness!$J$2:$J$1001,"&gt;=0")))</f>
        <v/>
      </c>
      <c r="C9" s="12" t="str">
        <f aca="false">IF(B9="","",AVERAGEIFS(Wellness!$J$2:$J$1001,Wellness!$B$2:$B$1001,A9,Wellness!$A$2:$A$1001,B9))</f>
        <v/>
      </c>
      <c r="D9" s="12" t="str">
        <f aca="false">IF(B9="","",IFERROR(ROUND(AVERAGEIFS(Wellness!$N$2:$N$1001,Wellness!$B$2:$B$1001,A9,Wellness!$A$2:$A$1001,B9),2),""))</f>
        <v/>
      </c>
      <c r="E9" s="12" t="str">
        <f aca="false">IF(B9="","",IF(COUNTIFS(Wellness!$B$2:$B$1001,A9,Wellness!$A$2:$A$1001,B9,Wellness!$P$2:$P$1001,"낮음")&gt;0,"낮음",IF(COUNTIFS(Wellness!$B$2:$B$1001,A9,Wellness!$A$2:$A$1001,B9,Wellness!$P$2:$P$1001,"baseline 수집 중")&gt;0,"baseline 수집 중","정상")))</f>
        <v/>
      </c>
      <c r="F9" s="12" t="str">
        <f aca="false">IF(B9="","",IF(COUNTIFS(Wellness!$B$2:$B$1001,A9,Wellness!$A$2:$A$1001,B9,Wellness!$O$2:$O$1001,"예")&gt;0,"예",""))</f>
        <v/>
      </c>
      <c r="G9" s="13" t="str">
        <f aca="false">IF(A9="","",IF(COUNTIFS(CMJ!$B$2:$B$1001,A9,CMJ!$H$2:$H$1001,"&gt;=0")=0,"",_xlfn.MAXIFS(CMJ!$A$2:$A$1001,CMJ!$B$2:$B$1001,A9,CMJ!$H$2:$H$1001,"&gt;=0")))</f>
        <v/>
      </c>
      <c r="H9" s="14" t="str">
        <f aca="false">IF(G9="","",IFERROR(AVERAGEIFS(CMJ!$K$2:$K$1001,CMJ!$B$2:$B$1001,A9,CMJ!$A$2:$A$1001,G9),""))</f>
        <v/>
      </c>
      <c r="I9" s="12" t="str">
        <f aca="false">IF(G9="","",IF(COUNTIFS(CMJ!$B$2:$B$1001,A9,CMJ!$A$2:$A$1001,G9,CMJ!$L$2:$L$1001,"저하")&gt;0,"저하",IF(COUNTIFS(CMJ!$B$2:$B$1001,A9,CMJ!$A$2:$A$1001,G9,CMJ!$L$2:$L$1001,"baseline 수집 중")&gt;0,"baseline 수집 중","정상")))</f>
        <v/>
      </c>
      <c r="J9" s="12" t="str">
        <f aca="false">IF(A9="","",IF(E9="낮음",1,0)+IF(F9="예",1,0)+IF(I9="저하",IF(B9="",1,IF(G9&gt;=B9-설정!$B$9,1,0)),0))</f>
        <v/>
      </c>
      <c r="K9" s="15" t="str">
        <f aca="false">IF(A9="","",IF(J9&gt;=설정!$B$10,"고강도 볼륨 조정 + 선수와 대화",IF(J9&gt;=1,"관찰","계획대로")))</f>
        <v/>
      </c>
    </row>
    <row r="10" customFormat="false" ht="15" hidden="false" customHeight="false" outlineLevel="0" collapsed="false">
      <c r="A10" s="12" t="str">
        <f aca="false">IF(선수!A7="","",선수!A7)</f>
        <v/>
      </c>
      <c r="B10" s="13" t="str">
        <f aca="false">IF(A10="","",IF(COUNTIFS(Wellness!$B$2:$B$1001,A10,Wellness!$J$2:$J$1001,"&gt;=0")=0,"",_xlfn.MAXIFS(Wellness!$A$2:$A$1001,Wellness!$B$2:$B$1001,A10,Wellness!$J$2:$J$1001,"&gt;=0")))</f>
        <v/>
      </c>
      <c r="C10" s="12" t="str">
        <f aca="false">IF(B10="","",AVERAGEIFS(Wellness!$J$2:$J$1001,Wellness!$B$2:$B$1001,A10,Wellness!$A$2:$A$1001,B10))</f>
        <v/>
      </c>
      <c r="D10" s="12" t="str">
        <f aca="false">IF(B10="","",IFERROR(ROUND(AVERAGEIFS(Wellness!$N$2:$N$1001,Wellness!$B$2:$B$1001,A10,Wellness!$A$2:$A$1001,B10),2),""))</f>
        <v/>
      </c>
      <c r="E10" s="12" t="str">
        <f aca="false">IF(B10="","",IF(COUNTIFS(Wellness!$B$2:$B$1001,A10,Wellness!$A$2:$A$1001,B10,Wellness!$P$2:$P$1001,"낮음")&gt;0,"낮음",IF(COUNTIFS(Wellness!$B$2:$B$1001,A10,Wellness!$A$2:$A$1001,B10,Wellness!$P$2:$P$1001,"baseline 수집 중")&gt;0,"baseline 수집 중","정상")))</f>
        <v/>
      </c>
      <c r="F10" s="12" t="str">
        <f aca="false">IF(B10="","",IF(COUNTIFS(Wellness!$B$2:$B$1001,A10,Wellness!$A$2:$A$1001,B10,Wellness!$O$2:$O$1001,"예")&gt;0,"예",""))</f>
        <v/>
      </c>
      <c r="G10" s="13" t="str">
        <f aca="false">IF(A10="","",IF(COUNTIFS(CMJ!$B$2:$B$1001,A10,CMJ!$H$2:$H$1001,"&gt;=0")=0,"",_xlfn.MAXIFS(CMJ!$A$2:$A$1001,CMJ!$B$2:$B$1001,A10,CMJ!$H$2:$H$1001,"&gt;=0")))</f>
        <v/>
      </c>
      <c r="H10" s="14" t="str">
        <f aca="false">IF(G10="","",IFERROR(AVERAGEIFS(CMJ!$K$2:$K$1001,CMJ!$B$2:$B$1001,A10,CMJ!$A$2:$A$1001,G10),""))</f>
        <v/>
      </c>
      <c r="I10" s="12" t="str">
        <f aca="false">IF(G10="","",IF(COUNTIFS(CMJ!$B$2:$B$1001,A10,CMJ!$A$2:$A$1001,G10,CMJ!$L$2:$L$1001,"저하")&gt;0,"저하",IF(COUNTIFS(CMJ!$B$2:$B$1001,A10,CMJ!$A$2:$A$1001,G10,CMJ!$L$2:$L$1001,"baseline 수집 중")&gt;0,"baseline 수집 중","정상")))</f>
        <v/>
      </c>
      <c r="J10" s="12" t="str">
        <f aca="false">IF(A10="","",IF(E10="낮음",1,0)+IF(F10="예",1,0)+IF(I10="저하",IF(B10="",1,IF(G10&gt;=B10-설정!$B$9,1,0)),0))</f>
        <v/>
      </c>
      <c r="K10" s="15" t="str">
        <f aca="false">IF(A10="","",IF(J10&gt;=설정!$B$10,"고강도 볼륨 조정 + 선수와 대화",IF(J10&gt;=1,"관찰","계획대로")))</f>
        <v/>
      </c>
    </row>
    <row r="11" customFormat="false" ht="15" hidden="false" customHeight="false" outlineLevel="0" collapsed="false">
      <c r="A11" s="12" t="str">
        <f aca="false">IF(선수!A8="","",선수!A8)</f>
        <v/>
      </c>
      <c r="B11" s="13" t="str">
        <f aca="false">IF(A11="","",IF(COUNTIFS(Wellness!$B$2:$B$1001,A11,Wellness!$J$2:$J$1001,"&gt;=0")=0,"",_xlfn.MAXIFS(Wellness!$A$2:$A$1001,Wellness!$B$2:$B$1001,A11,Wellness!$J$2:$J$1001,"&gt;=0")))</f>
        <v/>
      </c>
      <c r="C11" s="12" t="str">
        <f aca="false">IF(B11="","",AVERAGEIFS(Wellness!$J$2:$J$1001,Wellness!$B$2:$B$1001,A11,Wellness!$A$2:$A$1001,B11))</f>
        <v/>
      </c>
      <c r="D11" s="12" t="str">
        <f aca="false">IF(B11="","",IFERROR(ROUND(AVERAGEIFS(Wellness!$N$2:$N$1001,Wellness!$B$2:$B$1001,A11,Wellness!$A$2:$A$1001,B11),2),""))</f>
        <v/>
      </c>
      <c r="E11" s="12" t="str">
        <f aca="false">IF(B11="","",IF(COUNTIFS(Wellness!$B$2:$B$1001,A11,Wellness!$A$2:$A$1001,B11,Wellness!$P$2:$P$1001,"낮음")&gt;0,"낮음",IF(COUNTIFS(Wellness!$B$2:$B$1001,A11,Wellness!$A$2:$A$1001,B11,Wellness!$P$2:$P$1001,"baseline 수집 중")&gt;0,"baseline 수집 중","정상")))</f>
        <v/>
      </c>
      <c r="F11" s="12" t="str">
        <f aca="false">IF(B11="","",IF(COUNTIFS(Wellness!$B$2:$B$1001,A11,Wellness!$A$2:$A$1001,B11,Wellness!$O$2:$O$1001,"예")&gt;0,"예",""))</f>
        <v/>
      </c>
      <c r="G11" s="13" t="str">
        <f aca="false">IF(A11="","",IF(COUNTIFS(CMJ!$B$2:$B$1001,A11,CMJ!$H$2:$H$1001,"&gt;=0")=0,"",_xlfn.MAXIFS(CMJ!$A$2:$A$1001,CMJ!$B$2:$B$1001,A11,CMJ!$H$2:$H$1001,"&gt;=0")))</f>
        <v/>
      </c>
      <c r="H11" s="14" t="str">
        <f aca="false">IF(G11="","",IFERROR(AVERAGEIFS(CMJ!$K$2:$K$1001,CMJ!$B$2:$B$1001,A11,CMJ!$A$2:$A$1001,G11),""))</f>
        <v/>
      </c>
      <c r="I11" s="12" t="str">
        <f aca="false">IF(G11="","",IF(COUNTIFS(CMJ!$B$2:$B$1001,A11,CMJ!$A$2:$A$1001,G11,CMJ!$L$2:$L$1001,"저하")&gt;0,"저하",IF(COUNTIFS(CMJ!$B$2:$B$1001,A11,CMJ!$A$2:$A$1001,G11,CMJ!$L$2:$L$1001,"baseline 수집 중")&gt;0,"baseline 수집 중","정상")))</f>
        <v/>
      </c>
      <c r="J11" s="12" t="str">
        <f aca="false">IF(A11="","",IF(E11="낮음",1,0)+IF(F11="예",1,0)+IF(I11="저하",IF(B11="",1,IF(G11&gt;=B11-설정!$B$9,1,0)),0))</f>
        <v/>
      </c>
      <c r="K11" s="15" t="str">
        <f aca="false">IF(A11="","",IF(J11&gt;=설정!$B$10,"고강도 볼륨 조정 + 선수와 대화",IF(J11&gt;=1,"관찰","계획대로")))</f>
        <v/>
      </c>
    </row>
    <row r="12" customFormat="false" ht="15" hidden="false" customHeight="false" outlineLevel="0" collapsed="false">
      <c r="A12" s="12" t="str">
        <f aca="false">IF(선수!A9="","",선수!A9)</f>
        <v/>
      </c>
      <c r="B12" s="13" t="str">
        <f aca="false">IF(A12="","",IF(COUNTIFS(Wellness!$B$2:$B$1001,A12,Wellness!$J$2:$J$1001,"&gt;=0")=0,"",_xlfn.MAXIFS(Wellness!$A$2:$A$1001,Wellness!$B$2:$B$1001,A12,Wellness!$J$2:$J$1001,"&gt;=0")))</f>
        <v/>
      </c>
      <c r="C12" s="12" t="str">
        <f aca="false">IF(B12="","",AVERAGEIFS(Wellness!$J$2:$J$1001,Wellness!$B$2:$B$1001,A12,Wellness!$A$2:$A$1001,B12))</f>
        <v/>
      </c>
      <c r="D12" s="12" t="str">
        <f aca="false">IF(B12="","",IFERROR(ROUND(AVERAGEIFS(Wellness!$N$2:$N$1001,Wellness!$B$2:$B$1001,A12,Wellness!$A$2:$A$1001,B12),2),""))</f>
        <v/>
      </c>
      <c r="E12" s="12" t="str">
        <f aca="false">IF(B12="","",IF(COUNTIFS(Wellness!$B$2:$B$1001,A12,Wellness!$A$2:$A$1001,B12,Wellness!$P$2:$P$1001,"낮음")&gt;0,"낮음",IF(COUNTIFS(Wellness!$B$2:$B$1001,A12,Wellness!$A$2:$A$1001,B12,Wellness!$P$2:$P$1001,"baseline 수집 중")&gt;0,"baseline 수집 중","정상")))</f>
        <v/>
      </c>
      <c r="F12" s="12" t="str">
        <f aca="false">IF(B12="","",IF(COUNTIFS(Wellness!$B$2:$B$1001,A12,Wellness!$A$2:$A$1001,B12,Wellness!$O$2:$O$1001,"예")&gt;0,"예",""))</f>
        <v/>
      </c>
      <c r="G12" s="13" t="str">
        <f aca="false">IF(A12="","",IF(COUNTIFS(CMJ!$B$2:$B$1001,A12,CMJ!$H$2:$H$1001,"&gt;=0")=0,"",_xlfn.MAXIFS(CMJ!$A$2:$A$1001,CMJ!$B$2:$B$1001,A12,CMJ!$H$2:$H$1001,"&gt;=0")))</f>
        <v/>
      </c>
      <c r="H12" s="14" t="str">
        <f aca="false">IF(G12="","",IFERROR(AVERAGEIFS(CMJ!$K$2:$K$1001,CMJ!$B$2:$B$1001,A12,CMJ!$A$2:$A$1001,G12),""))</f>
        <v/>
      </c>
      <c r="I12" s="12" t="str">
        <f aca="false">IF(G12="","",IF(COUNTIFS(CMJ!$B$2:$B$1001,A12,CMJ!$A$2:$A$1001,G12,CMJ!$L$2:$L$1001,"저하")&gt;0,"저하",IF(COUNTIFS(CMJ!$B$2:$B$1001,A12,CMJ!$A$2:$A$1001,G12,CMJ!$L$2:$L$1001,"baseline 수집 중")&gt;0,"baseline 수집 중","정상")))</f>
        <v/>
      </c>
      <c r="J12" s="12" t="str">
        <f aca="false">IF(A12="","",IF(E12="낮음",1,0)+IF(F12="예",1,0)+IF(I12="저하",IF(B12="",1,IF(G12&gt;=B12-설정!$B$9,1,0)),0))</f>
        <v/>
      </c>
      <c r="K12" s="15" t="str">
        <f aca="false">IF(A12="","",IF(J12&gt;=설정!$B$10,"고강도 볼륨 조정 + 선수와 대화",IF(J12&gt;=1,"관찰","계획대로")))</f>
        <v/>
      </c>
    </row>
    <row r="13" customFormat="false" ht="15" hidden="false" customHeight="false" outlineLevel="0" collapsed="false">
      <c r="A13" s="12" t="str">
        <f aca="false">IF(선수!A10="","",선수!A10)</f>
        <v/>
      </c>
      <c r="B13" s="13" t="str">
        <f aca="false">IF(A13="","",IF(COUNTIFS(Wellness!$B$2:$B$1001,A13,Wellness!$J$2:$J$1001,"&gt;=0")=0,"",_xlfn.MAXIFS(Wellness!$A$2:$A$1001,Wellness!$B$2:$B$1001,A13,Wellness!$J$2:$J$1001,"&gt;=0")))</f>
        <v/>
      </c>
      <c r="C13" s="12" t="str">
        <f aca="false">IF(B13="","",AVERAGEIFS(Wellness!$J$2:$J$1001,Wellness!$B$2:$B$1001,A13,Wellness!$A$2:$A$1001,B13))</f>
        <v/>
      </c>
      <c r="D13" s="12" t="str">
        <f aca="false">IF(B13="","",IFERROR(ROUND(AVERAGEIFS(Wellness!$N$2:$N$1001,Wellness!$B$2:$B$1001,A13,Wellness!$A$2:$A$1001,B13),2),""))</f>
        <v/>
      </c>
      <c r="E13" s="12" t="str">
        <f aca="false">IF(B13="","",IF(COUNTIFS(Wellness!$B$2:$B$1001,A13,Wellness!$A$2:$A$1001,B13,Wellness!$P$2:$P$1001,"낮음")&gt;0,"낮음",IF(COUNTIFS(Wellness!$B$2:$B$1001,A13,Wellness!$A$2:$A$1001,B13,Wellness!$P$2:$P$1001,"baseline 수집 중")&gt;0,"baseline 수집 중","정상")))</f>
        <v/>
      </c>
      <c r="F13" s="12" t="str">
        <f aca="false">IF(B13="","",IF(COUNTIFS(Wellness!$B$2:$B$1001,A13,Wellness!$A$2:$A$1001,B13,Wellness!$O$2:$O$1001,"예")&gt;0,"예",""))</f>
        <v/>
      </c>
      <c r="G13" s="13" t="str">
        <f aca="false">IF(A13="","",IF(COUNTIFS(CMJ!$B$2:$B$1001,A13,CMJ!$H$2:$H$1001,"&gt;=0")=0,"",_xlfn.MAXIFS(CMJ!$A$2:$A$1001,CMJ!$B$2:$B$1001,A13,CMJ!$H$2:$H$1001,"&gt;=0")))</f>
        <v/>
      </c>
      <c r="H13" s="14" t="str">
        <f aca="false">IF(G13="","",IFERROR(AVERAGEIFS(CMJ!$K$2:$K$1001,CMJ!$B$2:$B$1001,A13,CMJ!$A$2:$A$1001,G13),""))</f>
        <v/>
      </c>
      <c r="I13" s="12" t="str">
        <f aca="false">IF(G13="","",IF(COUNTIFS(CMJ!$B$2:$B$1001,A13,CMJ!$A$2:$A$1001,G13,CMJ!$L$2:$L$1001,"저하")&gt;0,"저하",IF(COUNTIFS(CMJ!$B$2:$B$1001,A13,CMJ!$A$2:$A$1001,G13,CMJ!$L$2:$L$1001,"baseline 수집 중")&gt;0,"baseline 수집 중","정상")))</f>
        <v/>
      </c>
      <c r="J13" s="12" t="str">
        <f aca="false">IF(A13="","",IF(E13="낮음",1,0)+IF(F13="예",1,0)+IF(I13="저하",IF(B13="",1,IF(G13&gt;=B13-설정!$B$9,1,0)),0))</f>
        <v/>
      </c>
      <c r="K13" s="15" t="str">
        <f aca="false">IF(A13="","",IF(J13&gt;=설정!$B$10,"고강도 볼륨 조정 + 선수와 대화",IF(J13&gt;=1,"관찰","계획대로")))</f>
        <v/>
      </c>
    </row>
    <row r="14" customFormat="false" ht="15" hidden="false" customHeight="false" outlineLevel="0" collapsed="false">
      <c r="A14" s="12" t="str">
        <f aca="false">IF(선수!A11="","",선수!A11)</f>
        <v/>
      </c>
      <c r="B14" s="13" t="str">
        <f aca="false">IF(A14="","",IF(COUNTIFS(Wellness!$B$2:$B$1001,A14,Wellness!$J$2:$J$1001,"&gt;=0")=0,"",_xlfn.MAXIFS(Wellness!$A$2:$A$1001,Wellness!$B$2:$B$1001,A14,Wellness!$J$2:$J$1001,"&gt;=0")))</f>
        <v/>
      </c>
      <c r="C14" s="12" t="str">
        <f aca="false">IF(B14="","",AVERAGEIFS(Wellness!$J$2:$J$1001,Wellness!$B$2:$B$1001,A14,Wellness!$A$2:$A$1001,B14))</f>
        <v/>
      </c>
      <c r="D14" s="12" t="str">
        <f aca="false">IF(B14="","",IFERROR(ROUND(AVERAGEIFS(Wellness!$N$2:$N$1001,Wellness!$B$2:$B$1001,A14,Wellness!$A$2:$A$1001,B14),2),""))</f>
        <v/>
      </c>
      <c r="E14" s="12" t="str">
        <f aca="false">IF(B14="","",IF(COUNTIFS(Wellness!$B$2:$B$1001,A14,Wellness!$A$2:$A$1001,B14,Wellness!$P$2:$P$1001,"낮음")&gt;0,"낮음",IF(COUNTIFS(Wellness!$B$2:$B$1001,A14,Wellness!$A$2:$A$1001,B14,Wellness!$P$2:$P$1001,"baseline 수집 중")&gt;0,"baseline 수집 중","정상")))</f>
        <v/>
      </c>
      <c r="F14" s="12" t="str">
        <f aca="false">IF(B14="","",IF(COUNTIFS(Wellness!$B$2:$B$1001,A14,Wellness!$A$2:$A$1001,B14,Wellness!$O$2:$O$1001,"예")&gt;0,"예",""))</f>
        <v/>
      </c>
      <c r="G14" s="13" t="str">
        <f aca="false">IF(A14="","",IF(COUNTIFS(CMJ!$B$2:$B$1001,A14,CMJ!$H$2:$H$1001,"&gt;=0")=0,"",_xlfn.MAXIFS(CMJ!$A$2:$A$1001,CMJ!$B$2:$B$1001,A14,CMJ!$H$2:$H$1001,"&gt;=0")))</f>
        <v/>
      </c>
      <c r="H14" s="14" t="str">
        <f aca="false">IF(G14="","",IFERROR(AVERAGEIFS(CMJ!$K$2:$K$1001,CMJ!$B$2:$B$1001,A14,CMJ!$A$2:$A$1001,G14),""))</f>
        <v/>
      </c>
      <c r="I14" s="12" t="str">
        <f aca="false">IF(G14="","",IF(COUNTIFS(CMJ!$B$2:$B$1001,A14,CMJ!$A$2:$A$1001,G14,CMJ!$L$2:$L$1001,"저하")&gt;0,"저하",IF(COUNTIFS(CMJ!$B$2:$B$1001,A14,CMJ!$A$2:$A$1001,G14,CMJ!$L$2:$L$1001,"baseline 수집 중")&gt;0,"baseline 수집 중","정상")))</f>
        <v/>
      </c>
      <c r="J14" s="12" t="str">
        <f aca="false">IF(A14="","",IF(E14="낮음",1,0)+IF(F14="예",1,0)+IF(I14="저하",IF(B14="",1,IF(G14&gt;=B14-설정!$B$9,1,0)),0))</f>
        <v/>
      </c>
      <c r="K14" s="15" t="str">
        <f aca="false">IF(A14="","",IF(J14&gt;=설정!$B$10,"고강도 볼륨 조정 + 선수와 대화",IF(J14&gt;=1,"관찰","계획대로")))</f>
        <v/>
      </c>
    </row>
    <row r="15" customFormat="false" ht="15" hidden="false" customHeight="false" outlineLevel="0" collapsed="false">
      <c r="A15" s="12" t="str">
        <f aca="false">IF(선수!A12="","",선수!A12)</f>
        <v/>
      </c>
      <c r="B15" s="13" t="str">
        <f aca="false">IF(A15="","",IF(COUNTIFS(Wellness!$B$2:$B$1001,A15,Wellness!$J$2:$J$1001,"&gt;=0")=0,"",_xlfn.MAXIFS(Wellness!$A$2:$A$1001,Wellness!$B$2:$B$1001,A15,Wellness!$J$2:$J$1001,"&gt;=0")))</f>
        <v/>
      </c>
      <c r="C15" s="12" t="str">
        <f aca="false">IF(B15="","",AVERAGEIFS(Wellness!$J$2:$J$1001,Wellness!$B$2:$B$1001,A15,Wellness!$A$2:$A$1001,B15))</f>
        <v/>
      </c>
      <c r="D15" s="12" t="str">
        <f aca="false">IF(B15="","",IFERROR(ROUND(AVERAGEIFS(Wellness!$N$2:$N$1001,Wellness!$B$2:$B$1001,A15,Wellness!$A$2:$A$1001,B15),2),""))</f>
        <v/>
      </c>
      <c r="E15" s="12" t="str">
        <f aca="false">IF(B15="","",IF(COUNTIFS(Wellness!$B$2:$B$1001,A15,Wellness!$A$2:$A$1001,B15,Wellness!$P$2:$P$1001,"낮음")&gt;0,"낮음",IF(COUNTIFS(Wellness!$B$2:$B$1001,A15,Wellness!$A$2:$A$1001,B15,Wellness!$P$2:$P$1001,"baseline 수집 중")&gt;0,"baseline 수집 중","정상")))</f>
        <v/>
      </c>
      <c r="F15" s="12" t="str">
        <f aca="false">IF(B15="","",IF(COUNTIFS(Wellness!$B$2:$B$1001,A15,Wellness!$A$2:$A$1001,B15,Wellness!$O$2:$O$1001,"예")&gt;0,"예",""))</f>
        <v/>
      </c>
      <c r="G15" s="13" t="str">
        <f aca="false">IF(A15="","",IF(COUNTIFS(CMJ!$B$2:$B$1001,A15,CMJ!$H$2:$H$1001,"&gt;=0")=0,"",_xlfn.MAXIFS(CMJ!$A$2:$A$1001,CMJ!$B$2:$B$1001,A15,CMJ!$H$2:$H$1001,"&gt;=0")))</f>
        <v/>
      </c>
      <c r="H15" s="14" t="str">
        <f aca="false">IF(G15="","",IFERROR(AVERAGEIFS(CMJ!$K$2:$K$1001,CMJ!$B$2:$B$1001,A15,CMJ!$A$2:$A$1001,G15),""))</f>
        <v/>
      </c>
      <c r="I15" s="12" t="str">
        <f aca="false">IF(G15="","",IF(COUNTIFS(CMJ!$B$2:$B$1001,A15,CMJ!$A$2:$A$1001,G15,CMJ!$L$2:$L$1001,"저하")&gt;0,"저하",IF(COUNTIFS(CMJ!$B$2:$B$1001,A15,CMJ!$A$2:$A$1001,G15,CMJ!$L$2:$L$1001,"baseline 수집 중")&gt;0,"baseline 수집 중","정상")))</f>
        <v/>
      </c>
      <c r="J15" s="12" t="str">
        <f aca="false">IF(A15="","",IF(E15="낮음",1,0)+IF(F15="예",1,0)+IF(I15="저하",IF(B15="",1,IF(G15&gt;=B15-설정!$B$9,1,0)),0))</f>
        <v/>
      </c>
      <c r="K15" s="15" t="str">
        <f aca="false">IF(A15="","",IF(J15&gt;=설정!$B$10,"고강도 볼륨 조정 + 선수와 대화",IF(J15&gt;=1,"관찰","계획대로")))</f>
        <v/>
      </c>
    </row>
    <row r="16" customFormat="false" ht="15" hidden="false" customHeight="false" outlineLevel="0" collapsed="false">
      <c r="A16" s="12" t="str">
        <f aca="false">IF(선수!A13="","",선수!A13)</f>
        <v/>
      </c>
      <c r="B16" s="13" t="str">
        <f aca="false">IF(A16="","",IF(COUNTIFS(Wellness!$B$2:$B$1001,A16,Wellness!$J$2:$J$1001,"&gt;=0")=0,"",_xlfn.MAXIFS(Wellness!$A$2:$A$1001,Wellness!$B$2:$B$1001,A16,Wellness!$J$2:$J$1001,"&gt;=0")))</f>
        <v/>
      </c>
      <c r="C16" s="12" t="str">
        <f aca="false">IF(B16="","",AVERAGEIFS(Wellness!$J$2:$J$1001,Wellness!$B$2:$B$1001,A16,Wellness!$A$2:$A$1001,B16))</f>
        <v/>
      </c>
      <c r="D16" s="12" t="str">
        <f aca="false">IF(B16="","",IFERROR(ROUND(AVERAGEIFS(Wellness!$N$2:$N$1001,Wellness!$B$2:$B$1001,A16,Wellness!$A$2:$A$1001,B16),2),""))</f>
        <v/>
      </c>
      <c r="E16" s="12" t="str">
        <f aca="false">IF(B16="","",IF(COUNTIFS(Wellness!$B$2:$B$1001,A16,Wellness!$A$2:$A$1001,B16,Wellness!$P$2:$P$1001,"낮음")&gt;0,"낮음",IF(COUNTIFS(Wellness!$B$2:$B$1001,A16,Wellness!$A$2:$A$1001,B16,Wellness!$P$2:$P$1001,"baseline 수집 중")&gt;0,"baseline 수집 중","정상")))</f>
        <v/>
      </c>
      <c r="F16" s="12" t="str">
        <f aca="false">IF(B16="","",IF(COUNTIFS(Wellness!$B$2:$B$1001,A16,Wellness!$A$2:$A$1001,B16,Wellness!$O$2:$O$1001,"예")&gt;0,"예",""))</f>
        <v/>
      </c>
      <c r="G16" s="13" t="str">
        <f aca="false">IF(A16="","",IF(COUNTIFS(CMJ!$B$2:$B$1001,A16,CMJ!$H$2:$H$1001,"&gt;=0")=0,"",_xlfn.MAXIFS(CMJ!$A$2:$A$1001,CMJ!$B$2:$B$1001,A16,CMJ!$H$2:$H$1001,"&gt;=0")))</f>
        <v/>
      </c>
      <c r="H16" s="14" t="str">
        <f aca="false">IF(G16="","",IFERROR(AVERAGEIFS(CMJ!$K$2:$K$1001,CMJ!$B$2:$B$1001,A16,CMJ!$A$2:$A$1001,G16),""))</f>
        <v/>
      </c>
      <c r="I16" s="12" t="str">
        <f aca="false">IF(G16="","",IF(COUNTIFS(CMJ!$B$2:$B$1001,A16,CMJ!$A$2:$A$1001,G16,CMJ!$L$2:$L$1001,"저하")&gt;0,"저하",IF(COUNTIFS(CMJ!$B$2:$B$1001,A16,CMJ!$A$2:$A$1001,G16,CMJ!$L$2:$L$1001,"baseline 수집 중")&gt;0,"baseline 수집 중","정상")))</f>
        <v/>
      </c>
      <c r="J16" s="12" t="str">
        <f aca="false">IF(A16="","",IF(E16="낮음",1,0)+IF(F16="예",1,0)+IF(I16="저하",IF(B16="",1,IF(G16&gt;=B16-설정!$B$9,1,0)),0))</f>
        <v/>
      </c>
      <c r="K16" s="15" t="str">
        <f aca="false">IF(A16="","",IF(J16&gt;=설정!$B$10,"고강도 볼륨 조정 + 선수와 대화",IF(J16&gt;=1,"관찰","계획대로")))</f>
        <v/>
      </c>
    </row>
    <row r="17" customFormat="false" ht="15" hidden="false" customHeight="false" outlineLevel="0" collapsed="false">
      <c r="A17" s="12" t="str">
        <f aca="false">IF(선수!A14="","",선수!A14)</f>
        <v/>
      </c>
      <c r="B17" s="13" t="str">
        <f aca="false">IF(A17="","",IF(COUNTIFS(Wellness!$B$2:$B$1001,A17,Wellness!$J$2:$J$1001,"&gt;=0")=0,"",_xlfn.MAXIFS(Wellness!$A$2:$A$1001,Wellness!$B$2:$B$1001,A17,Wellness!$J$2:$J$1001,"&gt;=0")))</f>
        <v/>
      </c>
      <c r="C17" s="12" t="str">
        <f aca="false">IF(B17="","",AVERAGEIFS(Wellness!$J$2:$J$1001,Wellness!$B$2:$B$1001,A17,Wellness!$A$2:$A$1001,B17))</f>
        <v/>
      </c>
      <c r="D17" s="12" t="str">
        <f aca="false">IF(B17="","",IFERROR(ROUND(AVERAGEIFS(Wellness!$N$2:$N$1001,Wellness!$B$2:$B$1001,A17,Wellness!$A$2:$A$1001,B17),2),""))</f>
        <v/>
      </c>
      <c r="E17" s="12" t="str">
        <f aca="false">IF(B17="","",IF(COUNTIFS(Wellness!$B$2:$B$1001,A17,Wellness!$A$2:$A$1001,B17,Wellness!$P$2:$P$1001,"낮음")&gt;0,"낮음",IF(COUNTIFS(Wellness!$B$2:$B$1001,A17,Wellness!$A$2:$A$1001,B17,Wellness!$P$2:$P$1001,"baseline 수집 중")&gt;0,"baseline 수집 중","정상")))</f>
        <v/>
      </c>
      <c r="F17" s="12" t="str">
        <f aca="false">IF(B17="","",IF(COUNTIFS(Wellness!$B$2:$B$1001,A17,Wellness!$A$2:$A$1001,B17,Wellness!$O$2:$O$1001,"예")&gt;0,"예",""))</f>
        <v/>
      </c>
      <c r="G17" s="13" t="str">
        <f aca="false">IF(A17="","",IF(COUNTIFS(CMJ!$B$2:$B$1001,A17,CMJ!$H$2:$H$1001,"&gt;=0")=0,"",_xlfn.MAXIFS(CMJ!$A$2:$A$1001,CMJ!$B$2:$B$1001,A17,CMJ!$H$2:$H$1001,"&gt;=0")))</f>
        <v/>
      </c>
      <c r="H17" s="14" t="str">
        <f aca="false">IF(G17="","",IFERROR(AVERAGEIFS(CMJ!$K$2:$K$1001,CMJ!$B$2:$B$1001,A17,CMJ!$A$2:$A$1001,G17),""))</f>
        <v/>
      </c>
      <c r="I17" s="12" t="str">
        <f aca="false">IF(G17="","",IF(COUNTIFS(CMJ!$B$2:$B$1001,A17,CMJ!$A$2:$A$1001,G17,CMJ!$L$2:$L$1001,"저하")&gt;0,"저하",IF(COUNTIFS(CMJ!$B$2:$B$1001,A17,CMJ!$A$2:$A$1001,G17,CMJ!$L$2:$L$1001,"baseline 수집 중")&gt;0,"baseline 수집 중","정상")))</f>
        <v/>
      </c>
      <c r="J17" s="12" t="str">
        <f aca="false">IF(A17="","",IF(E17="낮음",1,0)+IF(F17="예",1,0)+IF(I17="저하",IF(B17="",1,IF(G17&gt;=B17-설정!$B$9,1,0)),0))</f>
        <v/>
      </c>
      <c r="K17" s="15" t="str">
        <f aca="false">IF(A17="","",IF(J17&gt;=설정!$B$10,"고강도 볼륨 조정 + 선수와 대화",IF(J17&gt;=1,"관찰","계획대로")))</f>
        <v/>
      </c>
    </row>
    <row r="18" customFormat="false" ht="15" hidden="false" customHeight="false" outlineLevel="0" collapsed="false">
      <c r="A18" s="12" t="str">
        <f aca="false">IF(선수!A15="","",선수!A15)</f>
        <v/>
      </c>
      <c r="B18" s="13" t="str">
        <f aca="false">IF(A18="","",IF(COUNTIFS(Wellness!$B$2:$B$1001,A18,Wellness!$J$2:$J$1001,"&gt;=0")=0,"",_xlfn.MAXIFS(Wellness!$A$2:$A$1001,Wellness!$B$2:$B$1001,A18,Wellness!$J$2:$J$1001,"&gt;=0")))</f>
        <v/>
      </c>
      <c r="C18" s="12" t="str">
        <f aca="false">IF(B18="","",AVERAGEIFS(Wellness!$J$2:$J$1001,Wellness!$B$2:$B$1001,A18,Wellness!$A$2:$A$1001,B18))</f>
        <v/>
      </c>
      <c r="D18" s="12" t="str">
        <f aca="false">IF(B18="","",IFERROR(ROUND(AVERAGEIFS(Wellness!$N$2:$N$1001,Wellness!$B$2:$B$1001,A18,Wellness!$A$2:$A$1001,B18),2),""))</f>
        <v/>
      </c>
      <c r="E18" s="12" t="str">
        <f aca="false">IF(B18="","",IF(COUNTIFS(Wellness!$B$2:$B$1001,A18,Wellness!$A$2:$A$1001,B18,Wellness!$P$2:$P$1001,"낮음")&gt;0,"낮음",IF(COUNTIFS(Wellness!$B$2:$B$1001,A18,Wellness!$A$2:$A$1001,B18,Wellness!$P$2:$P$1001,"baseline 수집 중")&gt;0,"baseline 수집 중","정상")))</f>
        <v/>
      </c>
      <c r="F18" s="12" t="str">
        <f aca="false">IF(B18="","",IF(COUNTIFS(Wellness!$B$2:$B$1001,A18,Wellness!$A$2:$A$1001,B18,Wellness!$O$2:$O$1001,"예")&gt;0,"예",""))</f>
        <v/>
      </c>
      <c r="G18" s="13" t="str">
        <f aca="false">IF(A18="","",IF(COUNTIFS(CMJ!$B$2:$B$1001,A18,CMJ!$H$2:$H$1001,"&gt;=0")=0,"",_xlfn.MAXIFS(CMJ!$A$2:$A$1001,CMJ!$B$2:$B$1001,A18,CMJ!$H$2:$H$1001,"&gt;=0")))</f>
        <v/>
      </c>
      <c r="H18" s="14" t="str">
        <f aca="false">IF(G18="","",IFERROR(AVERAGEIFS(CMJ!$K$2:$K$1001,CMJ!$B$2:$B$1001,A18,CMJ!$A$2:$A$1001,G18),""))</f>
        <v/>
      </c>
      <c r="I18" s="12" t="str">
        <f aca="false">IF(G18="","",IF(COUNTIFS(CMJ!$B$2:$B$1001,A18,CMJ!$A$2:$A$1001,G18,CMJ!$L$2:$L$1001,"저하")&gt;0,"저하",IF(COUNTIFS(CMJ!$B$2:$B$1001,A18,CMJ!$A$2:$A$1001,G18,CMJ!$L$2:$L$1001,"baseline 수집 중")&gt;0,"baseline 수집 중","정상")))</f>
        <v/>
      </c>
      <c r="J18" s="12" t="str">
        <f aca="false">IF(A18="","",IF(E18="낮음",1,0)+IF(F18="예",1,0)+IF(I18="저하",IF(B18="",1,IF(G18&gt;=B18-설정!$B$9,1,0)),0))</f>
        <v/>
      </c>
      <c r="K18" s="15" t="str">
        <f aca="false">IF(A18="","",IF(J18&gt;=설정!$B$10,"고강도 볼륨 조정 + 선수와 대화",IF(J18&gt;=1,"관찰","계획대로")))</f>
        <v/>
      </c>
    </row>
    <row r="19" customFormat="false" ht="15" hidden="false" customHeight="false" outlineLevel="0" collapsed="false">
      <c r="A19" s="12" t="str">
        <f aca="false">IF(선수!A16="","",선수!A16)</f>
        <v/>
      </c>
      <c r="B19" s="13" t="str">
        <f aca="false">IF(A19="","",IF(COUNTIFS(Wellness!$B$2:$B$1001,A19,Wellness!$J$2:$J$1001,"&gt;=0")=0,"",_xlfn.MAXIFS(Wellness!$A$2:$A$1001,Wellness!$B$2:$B$1001,A19,Wellness!$J$2:$J$1001,"&gt;=0")))</f>
        <v/>
      </c>
      <c r="C19" s="12" t="str">
        <f aca="false">IF(B19="","",AVERAGEIFS(Wellness!$J$2:$J$1001,Wellness!$B$2:$B$1001,A19,Wellness!$A$2:$A$1001,B19))</f>
        <v/>
      </c>
      <c r="D19" s="12" t="str">
        <f aca="false">IF(B19="","",IFERROR(ROUND(AVERAGEIFS(Wellness!$N$2:$N$1001,Wellness!$B$2:$B$1001,A19,Wellness!$A$2:$A$1001,B19),2),""))</f>
        <v/>
      </c>
      <c r="E19" s="12" t="str">
        <f aca="false">IF(B19="","",IF(COUNTIFS(Wellness!$B$2:$B$1001,A19,Wellness!$A$2:$A$1001,B19,Wellness!$P$2:$P$1001,"낮음")&gt;0,"낮음",IF(COUNTIFS(Wellness!$B$2:$B$1001,A19,Wellness!$A$2:$A$1001,B19,Wellness!$P$2:$P$1001,"baseline 수집 중")&gt;0,"baseline 수집 중","정상")))</f>
        <v/>
      </c>
      <c r="F19" s="12" t="str">
        <f aca="false">IF(B19="","",IF(COUNTIFS(Wellness!$B$2:$B$1001,A19,Wellness!$A$2:$A$1001,B19,Wellness!$O$2:$O$1001,"예")&gt;0,"예",""))</f>
        <v/>
      </c>
      <c r="G19" s="13" t="str">
        <f aca="false">IF(A19="","",IF(COUNTIFS(CMJ!$B$2:$B$1001,A19,CMJ!$H$2:$H$1001,"&gt;=0")=0,"",_xlfn.MAXIFS(CMJ!$A$2:$A$1001,CMJ!$B$2:$B$1001,A19,CMJ!$H$2:$H$1001,"&gt;=0")))</f>
        <v/>
      </c>
      <c r="H19" s="14" t="str">
        <f aca="false">IF(G19="","",IFERROR(AVERAGEIFS(CMJ!$K$2:$K$1001,CMJ!$B$2:$B$1001,A19,CMJ!$A$2:$A$1001,G19),""))</f>
        <v/>
      </c>
      <c r="I19" s="12" t="str">
        <f aca="false">IF(G19="","",IF(COUNTIFS(CMJ!$B$2:$B$1001,A19,CMJ!$A$2:$A$1001,G19,CMJ!$L$2:$L$1001,"저하")&gt;0,"저하",IF(COUNTIFS(CMJ!$B$2:$B$1001,A19,CMJ!$A$2:$A$1001,G19,CMJ!$L$2:$L$1001,"baseline 수집 중")&gt;0,"baseline 수집 중","정상")))</f>
        <v/>
      </c>
      <c r="J19" s="12" t="str">
        <f aca="false">IF(A19="","",IF(E19="낮음",1,0)+IF(F19="예",1,0)+IF(I19="저하",IF(B19="",1,IF(G19&gt;=B19-설정!$B$9,1,0)),0))</f>
        <v/>
      </c>
      <c r="K19" s="15" t="str">
        <f aca="false">IF(A19="","",IF(J19&gt;=설정!$B$10,"고강도 볼륨 조정 + 선수와 대화",IF(J19&gt;=1,"관찰","계획대로")))</f>
        <v/>
      </c>
    </row>
    <row r="20" customFormat="false" ht="15" hidden="false" customHeight="false" outlineLevel="0" collapsed="false">
      <c r="A20" s="12" t="str">
        <f aca="false">IF(선수!A17="","",선수!A17)</f>
        <v/>
      </c>
      <c r="B20" s="13" t="str">
        <f aca="false">IF(A20="","",IF(COUNTIFS(Wellness!$B$2:$B$1001,A20,Wellness!$J$2:$J$1001,"&gt;=0")=0,"",_xlfn.MAXIFS(Wellness!$A$2:$A$1001,Wellness!$B$2:$B$1001,A20,Wellness!$J$2:$J$1001,"&gt;=0")))</f>
        <v/>
      </c>
      <c r="C20" s="12" t="str">
        <f aca="false">IF(B20="","",AVERAGEIFS(Wellness!$J$2:$J$1001,Wellness!$B$2:$B$1001,A20,Wellness!$A$2:$A$1001,B20))</f>
        <v/>
      </c>
      <c r="D20" s="12" t="str">
        <f aca="false">IF(B20="","",IFERROR(ROUND(AVERAGEIFS(Wellness!$N$2:$N$1001,Wellness!$B$2:$B$1001,A20,Wellness!$A$2:$A$1001,B20),2),""))</f>
        <v/>
      </c>
      <c r="E20" s="12" t="str">
        <f aca="false">IF(B20="","",IF(COUNTIFS(Wellness!$B$2:$B$1001,A20,Wellness!$A$2:$A$1001,B20,Wellness!$P$2:$P$1001,"낮음")&gt;0,"낮음",IF(COUNTIFS(Wellness!$B$2:$B$1001,A20,Wellness!$A$2:$A$1001,B20,Wellness!$P$2:$P$1001,"baseline 수집 중")&gt;0,"baseline 수집 중","정상")))</f>
        <v/>
      </c>
      <c r="F20" s="12" t="str">
        <f aca="false">IF(B20="","",IF(COUNTIFS(Wellness!$B$2:$B$1001,A20,Wellness!$A$2:$A$1001,B20,Wellness!$O$2:$O$1001,"예")&gt;0,"예",""))</f>
        <v/>
      </c>
      <c r="G20" s="13" t="str">
        <f aca="false">IF(A20="","",IF(COUNTIFS(CMJ!$B$2:$B$1001,A20,CMJ!$H$2:$H$1001,"&gt;=0")=0,"",_xlfn.MAXIFS(CMJ!$A$2:$A$1001,CMJ!$B$2:$B$1001,A20,CMJ!$H$2:$H$1001,"&gt;=0")))</f>
        <v/>
      </c>
      <c r="H20" s="14" t="str">
        <f aca="false">IF(G20="","",IFERROR(AVERAGEIFS(CMJ!$K$2:$K$1001,CMJ!$B$2:$B$1001,A20,CMJ!$A$2:$A$1001,G20),""))</f>
        <v/>
      </c>
      <c r="I20" s="12" t="str">
        <f aca="false">IF(G20="","",IF(COUNTIFS(CMJ!$B$2:$B$1001,A20,CMJ!$A$2:$A$1001,G20,CMJ!$L$2:$L$1001,"저하")&gt;0,"저하",IF(COUNTIFS(CMJ!$B$2:$B$1001,A20,CMJ!$A$2:$A$1001,G20,CMJ!$L$2:$L$1001,"baseline 수집 중")&gt;0,"baseline 수집 중","정상")))</f>
        <v/>
      </c>
      <c r="J20" s="12" t="str">
        <f aca="false">IF(A20="","",IF(E20="낮음",1,0)+IF(F20="예",1,0)+IF(I20="저하",IF(B20="",1,IF(G20&gt;=B20-설정!$B$9,1,0)),0))</f>
        <v/>
      </c>
      <c r="K20" s="15" t="str">
        <f aca="false">IF(A20="","",IF(J20&gt;=설정!$B$10,"고강도 볼륨 조정 + 선수와 대화",IF(J20&gt;=1,"관찰","계획대로")))</f>
        <v/>
      </c>
    </row>
    <row r="21" customFormat="false" ht="15" hidden="false" customHeight="false" outlineLevel="0" collapsed="false">
      <c r="A21" s="12" t="str">
        <f aca="false">IF(선수!A18="","",선수!A18)</f>
        <v/>
      </c>
      <c r="B21" s="13" t="str">
        <f aca="false">IF(A21="","",IF(COUNTIFS(Wellness!$B$2:$B$1001,A21,Wellness!$J$2:$J$1001,"&gt;=0")=0,"",_xlfn.MAXIFS(Wellness!$A$2:$A$1001,Wellness!$B$2:$B$1001,A21,Wellness!$J$2:$J$1001,"&gt;=0")))</f>
        <v/>
      </c>
      <c r="C21" s="12" t="str">
        <f aca="false">IF(B21="","",AVERAGEIFS(Wellness!$J$2:$J$1001,Wellness!$B$2:$B$1001,A21,Wellness!$A$2:$A$1001,B21))</f>
        <v/>
      </c>
      <c r="D21" s="12" t="str">
        <f aca="false">IF(B21="","",IFERROR(ROUND(AVERAGEIFS(Wellness!$N$2:$N$1001,Wellness!$B$2:$B$1001,A21,Wellness!$A$2:$A$1001,B21),2),""))</f>
        <v/>
      </c>
      <c r="E21" s="12" t="str">
        <f aca="false">IF(B21="","",IF(COUNTIFS(Wellness!$B$2:$B$1001,A21,Wellness!$A$2:$A$1001,B21,Wellness!$P$2:$P$1001,"낮음")&gt;0,"낮음",IF(COUNTIFS(Wellness!$B$2:$B$1001,A21,Wellness!$A$2:$A$1001,B21,Wellness!$P$2:$P$1001,"baseline 수집 중")&gt;0,"baseline 수집 중","정상")))</f>
        <v/>
      </c>
      <c r="F21" s="12" t="str">
        <f aca="false">IF(B21="","",IF(COUNTIFS(Wellness!$B$2:$B$1001,A21,Wellness!$A$2:$A$1001,B21,Wellness!$O$2:$O$1001,"예")&gt;0,"예",""))</f>
        <v/>
      </c>
      <c r="G21" s="13" t="str">
        <f aca="false">IF(A21="","",IF(COUNTIFS(CMJ!$B$2:$B$1001,A21,CMJ!$H$2:$H$1001,"&gt;=0")=0,"",_xlfn.MAXIFS(CMJ!$A$2:$A$1001,CMJ!$B$2:$B$1001,A21,CMJ!$H$2:$H$1001,"&gt;=0")))</f>
        <v/>
      </c>
      <c r="H21" s="14" t="str">
        <f aca="false">IF(G21="","",IFERROR(AVERAGEIFS(CMJ!$K$2:$K$1001,CMJ!$B$2:$B$1001,A21,CMJ!$A$2:$A$1001,G21),""))</f>
        <v/>
      </c>
      <c r="I21" s="12" t="str">
        <f aca="false">IF(G21="","",IF(COUNTIFS(CMJ!$B$2:$B$1001,A21,CMJ!$A$2:$A$1001,G21,CMJ!$L$2:$L$1001,"저하")&gt;0,"저하",IF(COUNTIFS(CMJ!$B$2:$B$1001,A21,CMJ!$A$2:$A$1001,G21,CMJ!$L$2:$L$1001,"baseline 수집 중")&gt;0,"baseline 수집 중","정상")))</f>
        <v/>
      </c>
      <c r="J21" s="12" t="str">
        <f aca="false">IF(A21="","",IF(E21="낮음",1,0)+IF(F21="예",1,0)+IF(I21="저하",IF(B21="",1,IF(G21&gt;=B21-설정!$B$9,1,0)),0))</f>
        <v/>
      </c>
      <c r="K21" s="15" t="str">
        <f aca="false">IF(A21="","",IF(J21&gt;=설정!$B$10,"고강도 볼륨 조정 + 선수와 대화",IF(J21&gt;=1,"관찰","계획대로")))</f>
        <v/>
      </c>
    </row>
    <row r="22" customFormat="false" ht="15" hidden="false" customHeight="false" outlineLevel="0" collapsed="false">
      <c r="A22" s="12" t="str">
        <f aca="false">IF(선수!A19="","",선수!A19)</f>
        <v/>
      </c>
      <c r="B22" s="13" t="str">
        <f aca="false">IF(A22="","",IF(COUNTIFS(Wellness!$B$2:$B$1001,A22,Wellness!$J$2:$J$1001,"&gt;=0")=0,"",_xlfn.MAXIFS(Wellness!$A$2:$A$1001,Wellness!$B$2:$B$1001,A22,Wellness!$J$2:$J$1001,"&gt;=0")))</f>
        <v/>
      </c>
      <c r="C22" s="12" t="str">
        <f aca="false">IF(B22="","",AVERAGEIFS(Wellness!$J$2:$J$1001,Wellness!$B$2:$B$1001,A22,Wellness!$A$2:$A$1001,B22))</f>
        <v/>
      </c>
      <c r="D22" s="12" t="str">
        <f aca="false">IF(B22="","",IFERROR(ROUND(AVERAGEIFS(Wellness!$N$2:$N$1001,Wellness!$B$2:$B$1001,A22,Wellness!$A$2:$A$1001,B22),2),""))</f>
        <v/>
      </c>
      <c r="E22" s="12" t="str">
        <f aca="false">IF(B22="","",IF(COUNTIFS(Wellness!$B$2:$B$1001,A22,Wellness!$A$2:$A$1001,B22,Wellness!$P$2:$P$1001,"낮음")&gt;0,"낮음",IF(COUNTIFS(Wellness!$B$2:$B$1001,A22,Wellness!$A$2:$A$1001,B22,Wellness!$P$2:$P$1001,"baseline 수집 중")&gt;0,"baseline 수집 중","정상")))</f>
        <v/>
      </c>
      <c r="F22" s="12" t="str">
        <f aca="false">IF(B22="","",IF(COUNTIFS(Wellness!$B$2:$B$1001,A22,Wellness!$A$2:$A$1001,B22,Wellness!$O$2:$O$1001,"예")&gt;0,"예",""))</f>
        <v/>
      </c>
      <c r="G22" s="13" t="str">
        <f aca="false">IF(A22="","",IF(COUNTIFS(CMJ!$B$2:$B$1001,A22,CMJ!$H$2:$H$1001,"&gt;=0")=0,"",_xlfn.MAXIFS(CMJ!$A$2:$A$1001,CMJ!$B$2:$B$1001,A22,CMJ!$H$2:$H$1001,"&gt;=0")))</f>
        <v/>
      </c>
      <c r="H22" s="14" t="str">
        <f aca="false">IF(G22="","",IFERROR(AVERAGEIFS(CMJ!$K$2:$K$1001,CMJ!$B$2:$B$1001,A22,CMJ!$A$2:$A$1001,G22),""))</f>
        <v/>
      </c>
      <c r="I22" s="12" t="str">
        <f aca="false">IF(G22="","",IF(COUNTIFS(CMJ!$B$2:$B$1001,A22,CMJ!$A$2:$A$1001,G22,CMJ!$L$2:$L$1001,"저하")&gt;0,"저하",IF(COUNTIFS(CMJ!$B$2:$B$1001,A22,CMJ!$A$2:$A$1001,G22,CMJ!$L$2:$L$1001,"baseline 수집 중")&gt;0,"baseline 수집 중","정상")))</f>
        <v/>
      </c>
      <c r="J22" s="12" t="str">
        <f aca="false">IF(A22="","",IF(E22="낮음",1,0)+IF(F22="예",1,0)+IF(I22="저하",IF(B22="",1,IF(G22&gt;=B22-설정!$B$9,1,0)),0))</f>
        <v/>
      </c>
      <c r="K22" s="15" t="str">
        <f aca="false">IF(A22="","",IF(J22&gt;=설정!$B$10,"고강도 볼륨 조정 + 선수와 대화",IF(J22&gt;=1,"관찰","계획대로")))</f>
        <v/>
      </c>
    </row>
    <row r="23" customFormat="false" ht="15" hidden="false" customHeight="false" outlineLevel="0" collapsed="false">
      <c r="A23" s="12" t="str">
        <f aca="false">IF(선수!A20="","",선수!A20)</f>
        <v/>
      </c>
      <c r="B23" s="13" t="str">
        <f aca="false">IF(A23="","",IF(COUNTIFS(Wellness!$B$2:$B$1001,A23,Wellness!$J$2:$J$1001,"&gt;=0")=0,"",_xlfn.MAXIFS(Wellness!$A$2:$A$1001,Wellness!$B$2:$B$1001,A23,Wellness!$J$2:$J$1001,"&gt;=0")))</f>
        <v/>
      </c>
      <c r="C23" s="12" t="str">
        <f aca="false">IF(B23="","",AVERAGEIFS(Wellness!$J$2:$J$1001,Wellness!$B$2:$B$1001,A23,Wellness!$A$2:$A$1001,B23))</f>
        <v/>
      </c>
      <c r="D23" s="12" t="str">
        <f aca="false">IF(B23="","",IFERROR(ROUND(AVERAGEIFS(Wellness!$N$2:$N$1001,Wellness!$B$2:$B$1001,A23,Wellness!$A$2:$A$1001,B23),2),""))</f>
        <v/>
      </c>
      <c r="E23" s="12" t="str">
        <f aca="false">IF(B23="","",IF(COUNTIFS(Wellness!$B$2:$B$1001,A23,Wellness!$A$2:$A$1001,B23,Wellness!$P$2:$P$1001,"낮음")&gt;0,"낮음",IF(COUNTIFS(Wellness!$B$2:$B$1001,A23,Wellness!$A$2:$A$1001,B23,Wellness!$P$2:$P$1001,"baseline 수집 중")&gt;0,"baseline 수집 중","정상")))</f>
        <v/>
      </c>
      <c r="F23" s="12" t="str">
        <f aca="false">IF(B23="","",IF(COUNTIFS(Wellness!$B$2:$B$1001,A23,Wellness!$A$2:$A$1001,B23,Wellness!$O$2:$O$1001,"예")&gt;0,"예",""))</f>
        <v/>
      </c>
      <c r="G23" s="13" t="str">
        <f aca="false">IF(A23="","",IF(COUNTIFS(CMJ!$B$2:$B$1001,A23,CMJ!$H$2:$H$1001,"&gt;=0")=0,"",_xlfn.MAXIFS(CMJ!$A$2:$A$1001,CMJ!$B$2:$B$1001,A23,CMJ!$H$2:$H$1001,"&gt;=0")))</f>
        <v/>
      </c>
      <c r="H23" s="14" t="str">
        <f aca="false">IF(G23="","",IFERROR(AVERAGEIFS(CMJ!$K$2:$K$1001,CMJ!$B$2:$B$1001,A23,CMJ!$A$2:$A$1001,G23),""))</f>
        <v/>
      </c>
      <c r="I23" s="12" t="str">
        <f aca="false">IF(G23="","",IF(COUNTIFS(CMJ!$B$2:$B$1001,A23,CMJ!$A$2:$A$1001,G23,CMJ!$L$2:$L$1001,"저하")&gt;0,"저하",IF(COUNTIFS(CMJ!$B$2:$B$1001,A23,CMJ!$A$2:$A$1001,G23,CMJ!$L$2:$L$1001,"baseline 수집 중")&gt;0,"baseline 수집 중","정상")))</f>
        <v/>
      </c>
      <c r="J23" s="12" t="str">
        <f aca="false">IF(A23="","",IF(E23="낮음",1,0)+IF(F23="예",1,0)+IF(I23="저하",IF(B23="",1,IF(G23&gt;=B23-설정!$B$9,1,0)),0))</f>
        <v/>
      </c>
      <c r="K23" s="15" t="str">
        <f aca="false">IF(A23="","",IF(J23&gt;=설정!$B$10,"고강도 볼륨 조정 + 선수와 대화",IF(J23&gt;=1,"관찰","계획대로")))</f>
        <v/>
      </c>
    </row>
    <row r="24" customFormat="false" ht="15" hidden="false" customHeight="false" outlineLevel="0" collapsed="false">
      <c r="A24" s="12" t="str">
        <f aca="false">IF(선수!A21="","",선수!A21)</f>
        <v/>
      </c>
      <c r="B24" s="13" t="str">
        <f aca="false">IF(A24="","",IF(COUNTIFS(Wellness!$B$2:$B$1001,A24,Wellness!$J$2:$J$1001,"&gt;=0")=0,"",_xlfn.MAXIFS(Wellness!$A$2:$A$1001,Wellness!$B$2:$B$1001,A24,Wellness!$J$2:$J$1001,"&gt;=0")))</f>
        <v/>
      </c>
      <c r="C24" s="12" t="str">
        <f aca="false">IF(B24="","",AVERAGEIFS(Wellness!$J$2:$J$1001,Wellness!$B$2:$B$1001,A24,Wellness!$A$2:$A$1001,B24))</f>
        <v/>
      </c>
      <c r="D24" s="12" t="str">
        <f aca="false">IF(B24="","",IFERROR(ROUND(AVERAGEIFS(Wellness!$N$2:$N$1001,Wellness!$B$2:$B$1001,A24,Wellness!$A$2:$A$1001,B24),2),""))</f>
        <v/>
      </c>
      <c r="E24" s="12" t="str">
        <f aca="false">IF(B24="","",IF(COUNTIFS(Wellness!$B$2:$B$1001,A24,Wellness!$A$2:$A$1001,B24,Wellness!$P$2:$P$1001,"낮음")&gt;0,"낮음",IF(COUNTIFS(Wellness!$B$2:$B$1001,A24,Wellness!$A$2:$A$1001,B24,Wellness!$P$2:$P$1001,"baseline 수집 중")&gt;0,"baseline 수집 중","정상")))</f>
        <v/>
      </c>
      <c r="F24" s="12" t="str">
        <f aca="false">IF(B24="","",IF(COUNTIFS(Wellness!$B$2:$B$1001,A24,Wellness!$A$2:$A$1001,B24,Wellness!$O$2:$O$1001,"예")&gt;0,"예",""))</f>
        <v/>
      </c>
      <c r="G24" s="13" t="str">
        <f aca="false">IF(A24="","",IF(COUNTIFS(CMJ!$B$2:$B$1001,A24,CMJ!$H$2:$H$1001,"&gt;=0")=0,"",_xlfn.MAXIFS(CMJ!$A$2:$A$1001,CMJ!$B$2:$B$1001,A24,CMJ!$H$2:$H$1001,"&gt;=0")))</f>
        <v/>
      </c>
      <c r="H24" s="14" t="str">
        <f aca="false">IF(G24="","",IFERROR(AVERAGEIFS(CMJ!$K$2:$K$1001,CMJ!$B$2:$B$1001,A24,CMJ!$A$2:$A$1001,G24),""))</f>
        <v/>
      </c>
      <c r="I24" s="12" t="str">
        <f aca="false">IF(G24="","",IF(COUNTIFS(CMJ!$B$2:$B$1001,A24,CMJ!$A$2:$A$1001,G24,CMJ!$L$2:$L$1001,"저하")&gt;0,"저하",IF(COUNTIFS(CMJ!$B$2:$B$1001,A24,CMJ!$A$2:$A$1001,G24,CMJ!$L$2:$L$1001,"baseline 수집 중")&gt;0,"baseline 수집 중","정상")))</f>
        <v/>
      </c>
      <c r="J24" s="12" t="str">
        <f aca="false">IF(A24="","",IF(E24="낮음",1,0)+IF(F24="예",1,0)+IF(I24="저하",IF(B24="",1,IF(G24&gt;=B24-설정!$B$9,1,0)),0))</f>
        <v/>
      </c>
      <c r="K24" s="15" t="str">
        <f aca="false">IF(A24="","",IF(J24&gt;=설정!$B$10,"고강도 볼륨 조정 + 선수와 대화",IF(J24&gt;=1,"관찰","계획대로")))</f>
        <v/>
      </c>
    </row>
    <row r="25" customFormat="false" ht="15" hidden="false" customHeight="false" outlineLevel="0" collapsed="false">
      <c r="A25" s="12" t="str">
        <f aca="false">IF(선수!A22="","",선수!A22)</f>
        <v/>
      </c>
      <c r="B25" s="13" t="str">
        <f aca="false">IF(A25="","",IF(COUNTIFS(Wellness!$B$2:$B$1001,A25,Wellness!$J$2:$J$1001,"&gt;=0")=0,"",_xlfn.MAXIFS(Wellness!$A$2:$A$1001,Wellness!$B$2:$B$1001,A25,Wellness!$J$2:$J$1001,"&gt;=0")))</f>
        <v/>
      </c>
      <c r="C25" s="12" t="str">
        <f aca="false">IF(B25="","",AVERAGEIFS(Wellness!$J$2:$J$1001,Wellness!$B$2:$B$1001,A25,Wellness!$A$2:$A$1001,B25))</f>
        <v/>
      </c>
      <c r="D25" s="12" t="str">
        <f aca="false">IF(B25="","",IFERROR(ROUND(AVERAGEIFS(Wellness!$N$2:$N$1001,Wellness!$B$2:$B$1001,A25,Wellness!$A$2:$A$1001,B25),2),""))</f>
        <v/>
      </c>
      <c r="E25" s="12" t="str">
        <f aca="false">IF(B25="","",IF(COUNTIFS(Wellness!$B$2:$B$1001,A25,Wellness!$A$2:$A$1001,B25,Wellness!$P$2:$P$1001,"낮음")&gt;0,"낮음",IF(COUNTIFS(Wellness!$B$2:$B$1001,A25,Wellness!$A$2:$A$1001,B25,Wellness!$P$2:$P$1001,"baseline 수집 중")&gt;0,"baseline 수집 중","정상")))</f>
        <v/>
      </c>
      <c r="F25" s="12" t="str">
        <f aca="false">IF(B25="","",IF(COUNTIFS(Wellness!$B$2:$B$1001,A25,Wellness!$A$2:$A$1001,B25,Wellness!$O$2:$O$1001,"예")&gt;0,"예",""))</f>
        <v/>
      </c>
      <c r="G25" s="13" t="str">
        <f aca="false">IF(A25="","",IF(COUNTIFS(CMJ!$B$2:$B$1001,A25,CMJ!$H$2:$H$1001,"&gt;=0")=0,"",_xlfn.MAXIFS(CMJ!$A$2:$A$1001,CMJ!$B$2:$B$1001,A25,CMJ!$H$2:$H$1001,"&gt;=0")))</f>
        <v/>
      </c>
      <c r="H25" s="14" t="str">
        <f aca="false">IF(G25="","",IFERROR(AVERAGEIFS(CMJ!$K$2:$K$1001,CMJ!$B$2:$B$1001,A25,CMJ!$A$2:$A$1001,G25),""))</f>
        <v/>
      </c>
      <c r="I25" s="12" t="str">
        <f aca="false">IF(G25="","",IF(COUNTIFS(CMJ!$B$2:$B$1001,A25,CMJ!$A$2:$A$1001,G25,CMJ!$L$2:$L$1001,"저하")&gt;0,"저하",IF(COUNTIFS(CMJ!$B$2:$B$1001,A25,CMJ!$A$2:$A$1001,G25,CMJ!$L$2:$L$1001,"baseline 수집 중")&gt;0,"baseline 수집 중","정상")))</f>
        <v/>
      </c>
      <c r="J25" s="12" t="str">
        <f aca="false">IF(A25="","",IF(E25="낮음",1,0)+IF(F25="예",1,0)+IF(I25="저하",IF(B25="",1,IF(G25&gt;=B25-설정!$B$9,1,0)),0))</f>
        <v/>
      </c>
      <c r="K25" s="15" t="str">
        <f aca="false">IF(A25="","",IF(J25&gt;=설정!$B$10,"고강도 볼륨 조정 + 선수와 대화",IF(J25&gt;=1,"관찰","계획대로")))</f>
        <v/>
      </c>
    </row>
    <row r="26" customFormat="false" ht="15" hidden="false" customHeight="false" outlineLevel="0" collapsed="false">
      <c r="A26" s="12" t="str">
        <f aca="false">IF(선수!A23="","",선수!A23)</f>
        <v/>
      </c>
      <c r="B26" s="13" t="str">
        <f aca="false">IF(A26="","",IF(COUNTIFS(Wellness!$B$2:$B$1001,A26,Wellness!$J$2:$J$1001,"&gt;=0")=0,"",_xlfn.MAXIFS(Wellness!$A$2:$A$1001,Wellness!$B$2:$B$1001,A26,Wellness!$J$2:$J$1001,"&gt;=0")))</f>
        <v/>
      </c>
      <c r="C26" s="12" t="str">
        <f aca="false">IF(B26="","",AVERAGEIFS(Wellness!$J$2:$J$1001,Wellness!$B$2:$B$1001,A26,Wellness!$A$2:$A$1001,B26))</f>
        <v/>
      </c>
      <c r="D26" s="12" t="str">
        <f aca="false">IF(B26="","",IFERROR(ROUND(AVERAGEIFS(Wellness!$N$2:$N$1001,Wellness!$B$2:$B$1001,A26,Wellness!$A$2:$A$1001,B26),2),""))</f>
        <v/>
      </c>
      <c r="E26" s="12" t="str">
        <f aca="false">IF(B26="","",IF(COUNTIFS(Wellness!$B$2:$B$1001,A26,Wellness!$A$2:$A$1001,B26,Wellness!$P$2:$P$1001,"낮음")&gt;0,"낮음",IF(COUNTIFS(Wellness!$B$2:$B$1001,A26,Wellness!$A$2:$A$1001,B26,Wellness!$P$2:$P$1001,"baseline 수집 중")&gt;0,"baseline 수집 중","정상")))</f>
        <v/>
      </c>
      <c r="F26" s="12" t="str">
        <f aca="false">IF(B26="","",IF(COUNTIFS(Wellness!$B$2:$B$1001,A26,Wellness!$A$2:$A$1001,B26,Wellness!$O$2:$O$1001,"예")&gt;0,"예",""))</f>
        <v/>
      </c>
      <c r="G26" s="13" t="str">
        <f aca="false">IF(A26="","",IF(COUNTIFS(CMJ!$B$2:$B$1001,A26,CMJ!$H$2:$H$1001,"&gt;=0")=0,"",_xlfn.MAXIFS(CMJ!$A$2:$A$1001,CMJ!$B$2:$B$1001,A26,CMJ!$H$2:$H$1001,"&gt;=0")))</f>
        <v/>
      </c>
      <c r="H26" s="14" t="str">
        <f aca="false">IF(G26="","",IFERROR(AVERAGEIFS(CMJ!$K$2:$K$1001,CMJ!$B$2:$B$1001,A26,CMJ!$A$2:$A$1001,G26),""))</f>
        <v/>
      </c>
      <c r="I26" s="12" t="str">
        <f aca="false">IF(G26="","",IF(COUNTIFS(CMJ!$B$2:$B$1001,A26,CMJ!$A$2:$A$1001,G26,CMJ!$L$2:$L$1001,"저하")&gt;0,"저하",IF(COUNTIFS(CMJ!$B$2:$B$1001,A26,CMJ!$A$2:$A$1001,G26,CMJ!$L$2:$L$1001,"baseline 수집 중")&gt;0,"baseline 수집 중","정상")))</f>
        <v/>
      </c>
      <c r="J26" s="12" t="str">
        <f aca="false">IF(A26="","",IF(E26="낮음",1,0)+IF(F26="예",1,0)+IF(I26="저하",IF(B26="",1,IF(G26&gt;=B26-설정!$B$9,1,0)),0))</f>
        <v/>
      </c>
      <c r="K26" s="15" t="str">
        <f aca="false">IF(A26="","",IF(J26&gt;=설정!$B$10,"고강도 볼륨 조정 + 선수와 대화",IF(J26&gt;=1,"관찰","계획대로")))</f>
        <v/>
      </c>
    </row>
    <row r="27" customFormat="false" ht="15" hidden="false" customHeight="false" outlineLevel="0" collapsed="false">
      <c r="A27" s="12" t="str">
        <f aca="false">IF(선수!A24="","",선수!A24)</f>
        <v/>
      </c>
      <c r="B27" s="13" t="str">
        <f aca="false">IF(A27="","",IF(COUNTIFS(Wellness!$B$2:$B$1001,A27,Wellness!$J$2:$J$1001,"&gt;=0")=0,"",_xlfn.MAXIFS(Wellness!$A$2:$A$1001,Wellness!$B$2:$B$1001,A27,Wellness!$J$2:$J$1001,"&gt;=0")))</f>
        <v/>
      </c>
      <c r="C27" s="12" t="str">
        <f aca="false">IF(B27="","",AVERAGEIFS(Wellness!$J$2:$J$1001,Wellness!$B$2:$B$1001,A27,Wellness!$A$2:$A$1001,B27))</f>
        <v/>
      </c>
      <c r="D27" s="12" t="str">
        <f aca="false">IF(B27="","",IFERROR(ROUND(AVERAGEIFS(Wellness!$N$2:$N$1001,Wellness!$B$2:$B$1001,A27,Wellness!$A$2:$A$1001,B27),2),""))</f>
        <v/>
      </c>
      <c r="E27" s="12" t="str">
        <f aca="false">IF(B27="","",IF(COUNTIFS(Wellness!$B$2:$B$1001,A27,Wellness!$A$2:$A$1001,B27,Wellness!$P$2:$P$1001,"낮음")&gt;0,"낮음",IF(COUNTIFS(Wellness!$B$2:$B$1001,A27,Wellness!$A$2:$A$1001,B27,Wellness!$P$2:$P$1001,"baseline 수집 중")&gt;0,"baseline 수집 중","정상")))</f>
        <v/>
      </c>
      <c r="F27" s="12" t="str">
        <f aca="false">IF(B27="","",IF(COUNTIFS(Wellness!$B$2:$B$1001,A27,Wellness!$A$2:$A$1001,B27,Wellness!$O$2:$O$1001,"예")&gt;0,"예",""))</f>
        <v/>
      </c>
      <c r="G27" s="13" t="str">
        <f aca="false">IF(A27="","",IF(COUNTIFS(CMJ!$B$2:$B$1001,A27,CMJ!$H$2:$H$1001,"&gt;=0")=0,"",_xlfn.MAXIFS(CMJ!$A$2:$A$1001,CMJ!$B$2:$B$1001,A27,CMJ!$H$2:$H$1001,"&gt;=0")))</f>
        <v/>
      </c>
      <c r="H27" s="14" t="str">
        <f aca="false">IF(G27="","",IFERROR(AVERAGEIFS(CMJ!$K$2:$K$1001,CMJ!$B$2:$B$1001,A27,CMJ!$A$2:$A$1001,G27),""))</f>
        <v/>
      </c>
      <c r="I27" s="12" t="str">
        <f aca="false">IF(G27="","",IF(COUNTIFS(CMJ!$B$2:$B$1001,A27,CMJ!$A$2:$A$1001,G27,CMJ!$L$2:$L$1001,"저하")&gt;0,"저하",IF(COUNTIFS(CMJ!$B$2:$B$1001,A27,CMJ!$A$2:$A$1001,G27,CMJ!$L$2:$L$1001,"baseline 수집 중")&gt;0,"baseline 수집 중","정상")))</f>
        <v/>
      </c>
      <c r="J27" s="12" t="str">
        <f aca="false">IF(A27="","",IF(E27="낮음",1,0)+IF(F27="예",1,0)+IF(I27="저하",IF(B27="",1,IF(G27&gt;=B27-설정!$B$9,1,0)),0))</f>
        <v/>
      </c>
      <c r="K27" s="15" t="str">
        <f aca="false">IF(A27="","",IF(J27&gt;=설정!$B$10,"고강도 볼륨 조정 + 선수와 대화",IF(J27&gt;=1,"관찰","계획대로")))</f>
        <v/>
      </c>
    </row>
    <row r="28" customFormat="false" ht="15" hidden="false" customHeight="false" outlineLevel="0" collapsed="false">
      <c r="A28" s="12" t="str">
        <f aca="false">IF(선수!A25="","",선수!A25)</f>
        <v/>
      </c>
      <c r="B28" s="13" t="str">
        <f aca="false">IF(A28="","",IF(COUNTIFS(Wellness!$B$2:$B$1001,A28,Wellness!$J$2:$J$1001,"&gt;=0")=0,"",_xlfn.MAXIFS(Wellness!$A$2:$A$1001,Wellness!$B$2:$B$1001,A28,Wellness!$J$2:$J$1001,"&gt;=0")))</f>
        <v/>
      </c>
      <c r="C28" s="12" t="str">
        <f aca="false">IF(B28="","",AVERAGEIFS(Wellness!$J$2:$J$1001,Wellness!$B$2:$B$1001,A28,Wellness!$A$2:$A$1001,B28))</f>
        <v/>
      </c>
      <c r="D28" s="12" t="str">
        <f aca="false">IF(B28="","",IFERROR(ROUND(AVERAGEIFS(Wellness!$N$2:$N$1001,Wellness!$B$2:$B$1001,A28,Wellness!$A$2:$A$1001,B28),2),""))</f>
        <v/>
      </c>
      <c r="E28" s="12" t="str">
        <f aca="false">IF(B28="","",IF(COUNTIFS(Wellness!$B$2:$B$1001,A28,Wellness!$A$2:$A$1001,B28,Wellness!$P$2:$P$1001,"낮음")&gt;0,"낮음",IF(COUNTIFS(Wellness!$B$2:$B$1001,A28,Wellness!$A$2:$A$1001,B28,Wellness!$P$2:$P$1001,"baseline 수집 중")&gt;0,"baseline 수집 중","정상")))</f>
        <v/>
      </c>
      <c r="F28" s="12" t="str">
        <f aca="false">IF(B28="","",IF(COUNTIFS(Wellness!$B$2:$B$1001,A28,Wellness!$A$2:$A$1001,B28,Wellness!$O$2:$O$1001,"예")&gt;0,"예",""))</f>
        <v/>
      </c>
      <c r="G28" s="13" t="str">
        <f aca="false">IF(A28="","",IF(COUNTIFS(CMJ!$B$2:$B$1001,A28,CMJ!$H$2:$H$1001,"&gt;=0")=0,"",_xlfn.MAXIFS(CMJ!$A$2:$A$1001,CMJ!$B$2:$B$1001,A28,CMJ!$H$2:$H$1001,"&gt;=0")))</f>
        <v/>
      </c>
      <c r="H28" s="14" t="str">
        <f aca="false">IF(G28="","",IFERROR(AVERAGEIFS(CMJ!$K$2:$K$1001,CMJ!$B$2:$B$1001,A28,CMJ!$A$2:$A$1001,G28),""))</f>
        <v/>
      </c>
      <c r="I28" s="12" t="str">
        <f aca="false">IF(G28="","",IF(COUNTIFS(CMJ!$B$2:$B$1001,A28,CMJ!$A$2:$A$1001,G28,CMJ!$L$2:$L$1001,"저하")&gt;0,"저하",IF(COUNTIFS(CMJ!$B$2:$B$1001,A28,CMJ!$A$2:$A$1001,G28,CMJ!$L$2:$L$1001,"baseline 수집 중")&gt;0,"baseline 수집 중","정상")))</f>
        <v/>
      </c>
      <c r="J28" s="12" t="str">
        <f aca="false">IF(A28="","",IF(E28="낮음",1,0)+IF(F28="예",1,0)+IF(I28="저하",IF(B28="",1,IF(G28&gt;=B28-설정!$B$9,1,0)),0))</f>
        <v/>
      </c>
      <c r="K28" s="15" t="str">
        <f aca="false">IF(A28="","",IF(J28&gt;=설정!$B$10,"고강도 볼륨 조정 + 선수와 대화",IF(J28&gt;=1,"관찰","계획대로")))</f>
        <v/>
      </c>
    </row>
    <row r="29" customFormat="false" ht="15" hidden="false" customHeight="false" outlineLevel="0" collapsed="false">
      <c r="A29" s="12" t="str">
        <f aca="false">IF(선수!A26="","",선수!A26)</f>
        <v/>
      </c>
      <c r="B29" s="13" t="str">
        <f aca="false">IF(A29="","",IF(COUNTIFS(Wellness!$B$2:$B$1001,A29,Wellness!$J$2:$J$1001,"&gt;=0")=0,"",_xlfn.MAXIFS(Wellness!$A$2:$A$1001,Wellness!$B$2:$B$1001,A29,Wellness!$J$2:$J$1001,"&gt;=0")))</f>
        <v/>
      </c>
      <c r="C29" s="12" t="str">
        <f aca="false">IF(B29="","",AVERAGEIFS(Wellness!$J$2:$J$1001,Wellness!$B$2:$B$1001,A29,Wellness!$A$2:$A$1001,B29))</f>
        <v/>
      </c>
      <c r="D29" s="12" t="str">
        <f aca="false">IF(B29="","",IFERROR(ROUND(AVERAGEIFS(Wellness!$N$2:$N$1001,Wellness!$B$2:$B$1001,A29,Wellness!$A$2:$A$1001,B29),2),""))</f>
        <v/>
      </c>
      <c r="E29" s="12" t="str">
        <f aca="false">IF(B29="","",IF(COUNTIFS(Wellness!$B$2:$B$1001,A29,Wellness!$A$2:$A$1001,B29,Wellness!$P$2:$P$1001,"낮음")&gt;0,"낮음",IF(COUNTIFS(Wellness!$B$2:$B$1001,A29,Wellness!$A$2:$A$1001,B29,Wellness!$P$2:$P$1001,"baseline 수집 중")&gt;0,"baseline 수집 중","정상")))</f>
        <v/>
      </c>
      <c r="F29" s="12" t="str">
        <f aca="false">IF(B29="","",IF(COUNTIFS(Wellness!$B$2:$B$1001,A29,Wellness!$A$2:$A$1001,B29,Wellness!$O$2:$O$1001,"예")&gt;0,"예",""))</f>
        <v/>
      </c>
      <c r="G29" s="13" t="str">
        <f aca="false">IF(A29="","",IF(COUNTIFS(CMJ!$B$2:$B$1001,A29,CMJ!$H$2:$H$1001,"&gt;=0")=0,"",_xlfn.MAXIFS(CMJ!$A$2:$A$1001,CMJ!$B$2:$B$1001,A29,CMJ!$H$2:$H$1001,"&gt;=0")))</f>
        <v/>
      </c>
      <c r="H29" s="14" t="str">
        <f aca="false">IF(G29="","",IFERROR(AVERAGEIFS(CMJ!$K$2:$K$1001,CMJ!$B$2:$B$1001,A29,CMJ!$A$2:$A$1001,G29),""))</f>
        <v/>
      </c>
      <c r="I29" s="12" t="str">
        <f aca="false">IF(G29="","",IF(COUNTIFS(CMJ!$B$2:$B$1001,A29,CMJ!$A$2:$A$1001,G29,CMJ!$L$2:$L$1001,"저하")&gt;0,"저하",IF(COUNTIFS(CMJ!$B$2:$B$1001,A29,CMJ!$A$2:$A$1001,G29,CMJ!$L$2:$L$1001,"baseline 수집 중")&gt;0,"baseline 수집 중","정상")))</f>
        <v/>
      </c>
      <c r="J29" s="12" t="str">
        <f aca="false">IF(A29="","",IF(E29="낮음",1,0)+IF(F29="예",1,0)+IF(I29="저하",IF(B29="",1,IF(G29&gt;=B29-설정!$B$9,1,0)),0))</f>
        <v/>
      </c>
      <c r="K29" s="15" t="str">
        <f aca="false">IF(A29="","",IF(J29&gt;=설정!$B$10,"고강도 볼륨 조정 + 선수와 대화",IF(J29&gt;=1,"관찰","계획대로")))</f>
        <v/>
      </c>
    </row>
    <row r="30" customFormat="false" ht="15" hidden="false" customHeight="false" outlineLevel="0" collapsed="false">
      <c r="A30" s="12" t="str">
        <f aca="false">IF(선수!A27="","",선수!A27)</f>
        <v/>
      </c>
      <c r="B30" s="13" t="str">
        <f aca="false">IF(A30="","",IF(COUNTIFS(Wellness!$B$2:$B$1001,A30,Wellness!$J$2:$J$1001,"&gt;=0")=0,"",_xlfn.MAXIFS(Wellness!$A$2:$A$1001,Wellness!$B$2:$B$1001,A30,Wellness!$J$2:$J$1001,"&gt;=0")))</f>
        <v/>
      </c>
      <c r="C30" s="12" t="str">
        <f aca="false">IF(B30="","",AVERAGEIFS(Wellness!$J$2:$J$1001,Wellness!$B$2:$B$1001,A30,Wellness!$A$2:$A$1001,B30))</f>
        <v/>
      </c>
      <c r="D30" s="12" t="str">
        <f aca="false">IF(B30="","",IFERROR(ROUND(AVERAGEIFS(Wellness!$N$2:$N$1001,Wellness!$B$2:$B$1001,A30,Wellness!$A$2:$A$1001,B30),2),""))</f>
        <v/>
      </c>
      <c r="E30" s="12" t="str">
        <f aca="false">IF(B30="","",IF(COUNTIFS(Wellness!$B$2:$B$1001,A30,Wellness!$A$2:$A$1001,B30,Wellness!$P$2:$P$1001,"낮음")&gt;0,"낮음",IF(COUNTIFS(Wellness!$B$2:$B$1001,A30,Wellness!$A$2:$A$1001,B30,Wellness!$P$2:$P$1001,"baseline 수집 중")&gt;0,"baseline 수집 중","정상")))</f>
        <v/>
      </c>
      <c r="F30" s="12" t="str">
        <f aca="false">IF(B30="","",IF(COUNTIFS(Wellness!$B$2:$B$1001,A30,Wellness!$A$2:$A$1001,B30,Wellness!$O$2:$O$1001,"예")&gt;0,"예",""))</f>
        <v/>
      </c>
      <c r="G30" s="13" t="str">
        <f aca="false">IF(A30="","",IF(COUNTIFS(CMJ!$B$2:$B$1001,A30,CMJ!$H$2:$H$1001,"&gt;=0")=0,"",_xlfn.MAXIFS(CMJ!$A$2:$A$1001,CMJ!$B$2:$B$1001,A30,CMJ!$H$2:$H$1001,"&gt;=0")))</f>
        <v/>
      </c>
      <c r="H30" s="14" t="str">
        <f aca="false">IF(G30="","",IFERROR(AVERAGEIFS(CMJ!$K$2:$K$1001,CMJ!$B$2:$B$1001,A30,CMJ!$A$2:$A$1001,G30),""))</f>
        <v/>
      </c>
      <c r="I30" s="12" t="str">
        <f aca="false">IF(G30="","",IF(COUNTIFS(CMJ!$B$2:$B$1001,A30,CMJ!$A$2:$A$1001,G30,CMJ!$L$2:$L$1001,"저하")&gt;0,"저하",IF(COUNTIFS(CMJ!$B$2:$B$1001,A30,CMJ!$A$2:$A$1001,G30,CMJ!$L$2:$L$1001,"baseline 수집 중")&gt;0,"baseline 수집 중","정상")))</f>
        <v/>
      </c>
      <c r="J30" s="12" t="str">
        <f aca="false">IF(A30="","",IF(E30="낮음",1,0)+IF(F30="예",1,0)+IF(I30="저하",IF(B30="",1,IF(G30&gt;=B30-설정!$B$9,1,0)),0))</f>
        <v/>
      </c>
      <c r="K30" s="15" t="str">
        <f aca="false">IF(A30="","",IF(J30&gt;=설정!$B$10,"고강도 볼륨 조정 + 선수와 대화",IF(J30&gt;=1,"관찰","계획대로")))</f>
        <v/>
      </c>
    </row>
    <row r="31" customFormat="false" ht="15" hidden="false" customHeight="false" outlineLevel="0" collapsed="false">
      <c r="A31" s="12" t="str">
        <f aca="false">IF(선수!A28="","",선수!A28)</f>
        <v/>
      </c>
      <c r="B31" s="13" t="str">
        <f aca="false">IF(A31="","",IF(COUNTIFS(Wellness!$B$2:$B$1001,A31,Wellness!$J$2:$J$1001,"&gt;=0")=0,"",_xlfn.MAXIFS(Wellness!$A$2:$A$1001,Wellness!$B$2:$B$1001,A31,Wellness!$J$2:$J$1001,"&gt;=0")))</f>
        <v/>
      </c>
      <c r="C31" s="12" t="str">
        <f aca="false">IF(B31="","",AVERAGEIFS(Wellness!$J$2:$J$1001,Wellness!$B$2:$B$1001,A31,Wellness!$A$2:$A$1001,B31))</f>
        <v/>
      </c>
      <c r="D31" s="12" t="str">
        <f aca="false">IF(B31="","",IFERROR(ROUND(AVERAGEIFS(Wellness!$N$2:$N$1001,Wellness!$B$2:$B$1001,A31,Wellness!$A$2:$A$1001,B31),2),""))</f>
        <v/>
      </c>
      <c r="E31" s="12" t="str">
        <f aca="false">IF(B31="","",IF(COUNTIFS(Wellness!$B$2:$B$1001,A31,Wellness!$A$2:$A$1001,B31,Wellness!$P$2:$P$1001,"낮음")&gt;0,"낮음",IF(COUNTIFS(Wellness!$B$2:$B$1001,A31,Wellness!$A$2:$A$1001,B31,Wellness!$P$2:$P$1001,"baseline 수집 중")&gt;0,"baseline 수집 중","정상")))</f>
        <v/>
      </c>
      <c r="F31" s="12" t="str">
        <f aca="false">IF(B31="","",IF(COUNTIFS(Wellness!$B$2:$B$1001,A31,Wellness!$A$2:$A$1001,B31,Wellness!$O$2:$O$1001,"예")&gt;0,"예",""))</f>
        <v/>
      </c>
      <c r="G31" s="13" t="str">
        <f aca="false">IF(A31="","",IF(COUNTIFS(CMJ!$B$2:$B$1001,A31,CMJ!$H$2:$H$1001,"&gt;=0")=0,"",_xlfn.MAXIFS(CMJ!$A$2:$A$1001,CMJ!$B$2:$B$1001,A31,CMJ!$H$2:$H$1001,"&gt;=0")))</f>
        <v/>
      </c>
      <c r="H31" s="14" t="str">
        <f aca="false">IF(G31="","",IFERROR(AVERAGEIFS(CMJ!$K$2:$K$1001,CMJ!$B$2:$B$1001,A31,CMJ!$A$2:$A$1001,G31),""))</f>
        <v/>
      </c>
      <c r="I31" s="12" t="str">
        <f aca="false">IF(G31="","",IF(COUNTIFS(CMJ!$B$2:$B$1001,A31,CMJ!$A$2:$A$1001,G31,CMJ!$L$2:$L$1001,"저하")&gt;0,"저하",IF(COUNTIFS(CMJ!$B$2:$B$1001,A31,CMJ!$A$2:$A$1001,G31,CMJ!$L$2:$L$1001,"baseline 수집 중")&gt;0,"baseline 수집 중","정상")))</f>
        <v/>
      </c>
      <c r="J31" s="12" t="str">
        <f aca="false">IF(A31="","",IF(E31="낮음",1,0)+IF(F31="예",1,0)+IF(I31="저하",IF(B31="",1,IF(G31&gt;=B31-설정!$B$9,1,0)),0))</f>
        <v/>
      </c>
      <c r="K31" s="15" t="str">
        <f aca="false">IF(A31="","",IF(J31&gt;=설정!$B$10,"고강도 볼륨 조정 + 선수와 대화",IF(J31&gt;=1,"관찰","계획대로")))</f>
        <v/>
      </c>
    </row>
    <row r="32" customFormat="false" ht="15" hidden="false" customHeight="false" outlineLevel="0" collapsed="false">
      <c r="A32" s="12" t="str">
        <f aca="false">IF(선수!A29="","",선수!A29)</f>
        <v/>
      </c>
      <c r="B32" s="13" t="str">
        <f aca="false">IF(A32="","",IF(COUNTIFS(Wellness!$B$2:$B$1001,A32,Wellness!$J$2:$J$1001,"&gt;=0")=0,"",_xlfn.MAXIFS(Wellness!$A$2:$A$1001,Wellness!$B$2:$B$1001,A32,Wellness!$J$2:$J$1001,"&gt;=0")))</f>
        <v/>
      </c>
      <c r="C32" s="12" t="str">
        <f aca="false">IF(B32="","",AVERAGEIFS(Wellness!$J$2:$J$1001,Wellness!$B$2:$B$1001,A32,Wellness!$A$2:$A$1001,B32))</f>
        <v/>
      </c>
      <c r="D32" s="12" t="str">
        <f aca="false">IF(B32="","",IFERROR(ROUND(AVERAGEIFS(Wellness!$N$2:$N$1001,Wellness!$B$2:$B$1001,A32,Wellness!$A$2:$A$1001,B32),2),""))</f>
        <v/>
      </c>
      <c r="E32" s="12" t="str">
        <f aca="false">IF(B32="","",IF(COUNTIFS(Wellness!$B$2:$B$1001,A32,Wellness!$A$2:$A$1001,B32,Wellness!$P$2:$P$1001,"낮음")&gt;0,"낮음",IF(COUNTIFS(Wellness!$B$2:$B$1001,A32,Wellness!$A$2:$A$1001,B32,Wellness!$P$2:$P$1001,"baseline 수집 중")&gt;0,"baseline 수집 중","정상")))</f>
        <v/>
      </c>
      <c r="F32" s="12" t="str">
        <f aca="false">IF(B32="","",IF(COUNTIFS(Wellness!$B$2:$B$1001,A32,Wellness!$A$2:$A$1001,B32,Wellness!$O$2:$O$1001,"예")&gt;0,"예",""))</f>
        <v/>
      </c>
      <c r="G32" s="13" t="str">
        <f aca="false">IF(A32="","",IF(COUNTIFS(CMJ!$B$2:$B$1001,A32,CMJ!$H$2:$H$1001,"&gt;=0")=0,"",_xlfn.MAXIFS(CMJ!$A$2:$A$1001,CMJ!$B$2:$B$1001,A32,CMJ!$H$2:$H$1001,"&gt;=0")))</f>
        <v/>
      </c>
      <c r="H32" s="14" t="str">
        <f aca="false">IF(G32="","",IFERROR(AVERAGEIFS(CMJ!$K$2:$K$1001,CMJ!$B$2:$B$1001,A32,CMJ!$A$2:$A$1001,G32),""))</f>
        <v/>
      </c>
      <c r="I32" s="12" t="str">
        <f aca="false">IF(G32="","",IF(COUNTIFS(CMJ!$B$2:$B$1001,A32,CMJ!$A$2:$A$1001,G32,CMJ!$L$2:$L$1001,"저하")&gt;0,"저하",IF(COUNTIFS(CMJ!$B$2:$B$1001,A32,CMJ!$A$2:$A$1001,G32,CMJ!$L$2:$L$1001,"baseline 수집 중")&gt;0,"baseline 수집 중","정상")))</f>
        <v/>
      </c>
      <c r="J32" s="12" t="str">
        <f aca="false">IF(A32="","",IF(E32="낮음",1,0)+IF(F32="예",1,0)+IF(I32="저하",IF(B32="",1,IF(G32&gt;=B32-설정!$B$9,1,0)),0))</f>
        <v/>
      </c>
      <c r="K32" s="15" t="str">
        <f aca="false">IF(A32="","",IF(J32&gt;=설정!$B$10,"고강도 볼륨 조정 + 선수와 대화",IF(J32&gt;=1,"관찰","계획대로")))</f>
        <v/>
      </c>
    </row>
    <row r="33" customFormat="false" ht="15" hidden="false" customHeight="false" outlineLevel="0" collapsed="false">
      <c r="A33" s="12" t="str">
        <f aca="false">IF(선수!A30="","",선수!A30)</f>
        <v/>
      </c>
      <c r="B33" s="13" t="str">
        <f aca="false">IF(A33="","",IF(COUNTIFS(Wellness!$B$2:$B$1001,A33,Wellness!$J$2:$J$1001,"&gt;=0")=0,"",_xlfn.MAXIFS(Wellness!$A$2:$A$1001,Wellness!$B$2:$B$1001,A33,Wellness!$J$2:$J$1001,"&gt;=0")))</f>
        <v/>
      </c>
      <c r="C33" s="12" t="str">
        <f aca="false">IF(B33="","",AVERAGEIFS(Wellness!$J$2:$J$1001,Wellness!$B$2:$B$1001,A33,Wellness!$A$2:$A$1001,B33))</f>
        <v/>
      </c>
      <c r="D33" s="12" t="str">
        <f aca="false">IF(B33="","",IFERROR(ROUND(AVERAGEIFS(Wellness!$N$2:$N$1001,Wellness!$B$2:$B$1001,A33,Wellness!$A$2:$A$1001,B33),2),""))</f>
        <v/>
      </c>
      <c r="E33" s="12" t="str">
        <f aca="false">IF(B33="","",IF(COUNTIFS(Wellness!$B$2:$B$1001,A33,Wellness!$A$2:$A$1001,B33,Wellness!$P$2:$P$1001,"낮음")&gt;0,"낮음",IF(COUNTIFS(Wellness!$B$2:$B$1001,A33,Wellness!$A$2:$A$1001,B33,Wellness!$P$2:$P$1001,"baseline 수집 중")&gt;0,"baseline 수집 중","정상")))</f>
        <v/>
      </c>
      <c r="F33" s="12" t="str">
        <f aca="false">IF(B33="","",IF(COUNTIFS(Wellness!$B$2:$B$1001,A33,Wellness!$A$2:$A$1001,B33,Wellness!$O$2:$O$1001,"예")&gt;0,"예",""))</f>
        <v/>
      </c>
      <c r="G33" s="13" t="str">
        <f aca="false">IF(A33="","",IF(COUNTIFS(CMJ!$B$2:$B$1001,A33,CMJ!$H$2:$H$1001,"&gt;=0")=0,"",_xlfn.MAXIFS(CMJ!$A$2:$A$1001,CMJ!$B$2:$B$1001,A33,CMJ!$H$2:$H$1001,"&gt;=0")))</f>
        <v/>
      </c>
      <c r="H33" s="14" t="str">
        <f aca="false">IF(G33="","",IFERROR(AVERAGEIFS(CMJ!$K$2:$K$1001,CMJ!$B$2:$B$1001,A33,CMJ!$A$2:$A$1001,G33),""))</f>
        <v/>
      </c>
      <c r="I33" s="12" t="str">
        <f aca="false">IF(G33="","",IF(COUNTIFS(CMJ!$B$2:$B$1001,A33,CMJ!$A$2:$A$1001,G33,CMJ!$L$2:$L$1001,"저하")&gt;0,"저하",IF(COUNTIFS(CMJ!$B$2:$B$1001,A33,CMJ!$A$2:$A$1001,G33,CMJ!$L$2:$L$1001,"baseline 수집 중")&gt;0,"baseline 수집 중","정상")))</f>
        <v/>
      </c>
      <c r="J33" s="12" t="str">
        <f aca="false">IF(A33="","",IF(E33="낮음",1,0)+IF(F33="예",1,0)+IF(I33="저하",IF(B33="",1,IF(G33&gt;=B33-설정!$B$9,1,0)),0))</f>
        <v/>
      </c>
      <c r="K33" s="15" t="str">
        <f aca="false">IF(A33="","",IF(J33&gt;=설정!$B$10,"고강도 볼륨 조정 + 선수와 대화",IF(J33&gt;=1,"관찰","계획대로")))</f>
        <v/>
      </c>
    </row>
    <row r="34" customFormat="false" ht="15" hidden="false" customHeight="false" outlineLevel="0" collapsed="false">
      <c r="A34" s="12" t="str">
        <f aca="false">IF(선수!A31="","",선수!A31)</f>
        <v/>
      </c>
      <c r="B34" s="13" t="str">
        <f aca="false">IF(A34="","",IF(COUNTIFS(Wellness!$B$2:$B$1001,A34,Wellness!$J$2:$J$1001,"&gt;=0")=0,"",_xlfn.MAXIFS(Wellness!$A$2:$A$1001,Wellness!$B$2:$B$1001,A34,Wellness!$J$2:$J$1001,"&gt;=0")))</f>
        <v/>
      </c>
      <c r="C34" s="12" t="str">
        <f aca="false">IF(B34="","",AVERAGEIFS(Wellness!$J$2:$J$1001,Wellness!$B$2:$B$1001,A34,Wellness!$A$2:$A$1001,B34))</f>
        <v/>
      </c>
      <c r="D34" s="12" t="str">
        <f aca="false">IF(B34="","",IFERROR(ROUND(AVERAGEIFS(Wellness!$N$2:$N$1001,Wellness!$B$2:$B$1001,A34,Wellness!$A$2:$A$1001,B34),2),""))</f>
        <v/>
      </c>
      <c r="E34" s="12" t="str">
        <f aca="false">IF(B34="","",IF(COUNTIFS(Wellness!$B$2:$B$1001,A34,Wellness!$A$2:$A$1001,B34,Wellness!$P$2:$P$1001,"낮음")&gt;0,"낮음",IF(COUNTIFS(Wellness!$B$2:$B$1001,A34,Wellness!$A$2:$A$1001,B34,Wellness!$P$2:$P$1001,"baseline 수집 중")&gt;0,"baseline 수집 중","정상")))</f>
        <v/>
      </c>
      <c r="F34" s="12" t="str">
        <f aca="false">IF(B34="","",IF(COUNTIFS(Wellness!$B$2:$B$1001,A34,Wellness!$A$2:$A$1001,B34,Wellness!$O$2:$O$1001,"예")&gt;0,"예",""))</f>
        <v/>
      </c>
      <c r="G34" s="13" t="str">
        <f aca="false">IF(A34="","",IF(COUNTIFS(CMJ!$B$2:$B$1001,A34,CMJ!$H$2:$H$1001,"&gt;=0")=0,"",_xlfn.MAXIFS(CMJ!$A$2:$A$1001,CMJ!$B$2:$B$1001,A34,CMJ!$H$2:$H$1001,"&gt;=0")))</f>
        <v/>
      </c>
      <c r="H34" s="14" t="str">
        <f aca="false">IF(G34="","",IFERROR(AVERAGEIFS(CMJ!$K$2:$K$1001,CMJ!$B$2:$B$1001,A34,CMJ!$A$2:$A$1001,G34),""))</f>
        <v/>
      </c>
      <c r="I34" s="12" t="str">
        <f aca="false">IF(G34="","",IF(COUNTIFS(CMJ!$B$2:$B$1001,A34,CMJ!$A$2:$A$1001,G34,CMJ!$L$2:$L$1001,"저하")&gt;0,"저하",IF(COUNTIFS(CMJ!$B$2:$B$1001,A34,CMJ!$A$2:$A$1001,G34,CMJ!$L$2:$L$1001,"baseline 수집 중")&gt;0,"baseline 수집 중","정상")))</f>
        <v/>
      </c>
      <c r="J34" s="12" t="str">
        <f aca="false">IF(A34="","",IF(E34="낮음",1,0)+IF(F34="예",1,0)+IF(I34="저하",IF(B34="",1,IF(G34&gt;=B34-설정!$B$9,1,0)),0))</f>
        <v/>
      </c>
      <c r="K34" s="15" t="str">
        <f aca="false">IF(A34="","",IF(J34&gt;=설정!$B$10,"고강도 볼륨 조정 + 선수와 대화",IF(J34&gt;=1,"관찰","계획대로")))</f>
        <v/>
      </c>
    </row>
    <row r="35" customFormat="false" ht="15" hidden="false" customHeight="false" outlineLevel="0" collapsed="false">
      <c r="A35" s="12" t="str">
        <f aca="false">IF(선수!A32="","",선수!A32)</f>
        <v/>
      </c>
      <c r="B35" s="13" t="str">
        <f aca="false">IF(A35="","",IF(COUNTIFS(Wellness!$B$2:$B$1001,A35,Wellness!$J$2:$J$1001,"&gt;=0")=0,"",_xlfn.MAXIFS(Wellness!$A$2:$A$1001,Wellness!$B$2:$B$1001,A35,Wellness!$J$2:$J$1001,"&gt;=0")))</f>
        <v/>
      </c>
      <c r="C35" s="12" t="str">
        <f aca="false">IF(B35="","",AVERAGEIFS(Wellness!$J$2:$J$1001,Wellness!$B$2:$B$1001,A35,Wellness!$A$2:$A$1001,B35))</f>
        <v/>
      </c>
      <c r="D35" s="12" t="str">
        <f aca="false">IF(B35="","",IFERROR(ROUND(AVERAGEIFS(Wellness!$N$2:$N$1001,Wellness!$B$2:$B$1001,A35,Wellness!$A$2:$A$1001,B35),2),""))</f>
        <v/>
      </c>
      <c r="E35" s="12" t="str">
        <f aca="false">IF(B35="","",IF(COUNTIFS(Wellness!$B$2:$B$1001,A35,Wellness!$A$2:$A$1001,B35,Wellness!$P$2:$P$1001,"낮음")&gt;0,"낮음",IF(COUNTIFS(Wellness!$B$2:$B$1001,A35,Wellness!$A$2:$A$1001,B35,Wellness!$P$2:$P$1001,"baseline 수집 중")&gt;0,"baseline 수집 중","정상")))</f>
        <v/>
      </c>
      <c r="F35" s="12" t="str">
        <f aca="false">IF(B35="","",IF(COUNTIFS(Wellness!$B$2:$B$1001,A35,Wellness!$A$2:$A$1001,B35,Wellness!$O$2:$O$1001,"예")&gt;0,"예",""))</f>
        <v/>
      </c>
      <c r="G35" s="13" t="str">
        <f aca="false">IF(A35="","",IF(COUNTIFS(CMJ!$B$2:$B$1001,A35,CMJ!$H$2:$H$1001,"&gt;=0")=0,"",_xlfn.MAXIFS(CMJ!$A$2:$A$1001,CMJ!$B$2:$B$1001,A35,CMJ!$H$2:$H$1001,"&gt;=0")))</f>
        <v/>
      </c>
      <c r="H35" s="14" t="str">
        <f aca="false">IF(G35="","",IFERROR(AVERAGEIFS(CMJ!$K$2:$K$1001,CMJ!$B$2:$B$1001,A35,CMJ!$A$2:$A$1001,G35),""))</f>
        <v/>
      </c>
      <c r="I35" s="12" t="str">
        <f aca="false">IF(G35="","",IF(COUNTIFS(CMJ!$B$2:$B$1001,A35,CMJ!$A$2:$A$1001,G35,CMJ!$L$2:$L$1001,"저하")&gt;0,"저하",IF(COUNTIFS(CMJ!$B$2:$B$1001,A35,CMJ!$A$2:$A$1001,G35,CMJ!$L$2:$L$1001,"baseline 수집 중")&gt;0,"baseline 수집 중","정상")))</f>
        <v/>
      </c>
      <c r="J35" s="12" t="str">
        <f aca="false">IF(A35="","",IF(E35="낮음",1,0)+IF(F35="예",1,0)+IF(I35="저하",IF(B35="",1,IF(G35&gt;=B35-설정!$B$9,1,0)),0))</f>
        <v/>
      </c>
      <c r="K35" s="15" t="str">
        <f aca="false">IF(A35="","",IF(J35&gt;=설정!$B$10,"고강도 볼륨 조정 + 선수와 대화",IF(J35&gt;=1,"관찰","계획대로")))</f>
        <v/>
      </c>
    </row>
    <row r="36" customFormat="false" ht="15" hidden="false" customHeight="false" outlineLevel="0" collapsed="false">
      <c r="A36" s="12" t="str">
        <f aca="false">IF(선수!A33="","",선수!A33)</f>
        <v/>
      </c>
      <c r="B36" s="13" t="str">
        <f aca="false">IF(A36="","",IF(COUNTIFS(Wellness!$B$2:$B$1001,A36,Wellness!$J$2:$J$1001,"&gt;=0")=0,"",_xlfn.MAXIFS(Wellness!$A$2:$A$1001,Wellness!$B$2:$B$1001,A36,Wellness!$J$2:$J$1001,"&gt;=0")))</f>
        <v/>
      </c>
      <c r="C36" s="12" t="str">
        <f aca="false">IF(B36="","",AVERAGEIFS(Wellness!$J$2:$J$1001,Wellness!$B$2:$B$1001,A36,Wellness!$A$2:$A$1001,B36))</f>
        <v/>
      </c>
      <c r="D36" s="12" t="str">
        <f aca="false">IF(B36="","",IFERROR(ROUND(AVERAGEIFS(Wellness!$N$2:$N$1001,Wellness!$B$2:$B$1001,A36,Wellness!$A$2:$A$1001,B36),2),""))</f>
        <v/>
      </c>
      <c r="E36" s="12" t="str">
        <f aca="false">IF(B36="","",IF(COUNTIFS(Wellness!$B$2:$B$1001,A36,Wellness!$A$2:$A$1001,B36,Wellness!$P$2:$P$1001,"낮음")&gt;0,"낮음",IF(COUNTIFS(Wellness!$B$2:$B$1001,A36,Wellness!$A$2:$A$1001,B36,Wellness!$P$2:$P$1001,"baseline 수집 중")&gt;0,"baseline 수집 중","정상")))</f>
        <v/>
      </c>
      <c r="F36" s="12" t="str">
        <f aca="false">IF(B36="","",IF(COUNTIFS(Wellness!$B$2:$B$1001,A36,Wellness!$A$2:$A$1001,B36,Wellness!$O$2:$O$1001,"예")&gt;0,"예",""))</f>
        <v/>
      </c>
      <c r="G36" s="13" t="str">
        <f aca="false">IF(A36="","",IF(COUNTIFS(CMJ!$B$2:$B$1001,A36,CMJ!$H$2:$H$1001,"&gt;=0")=0,"",_xlfn.MAXIFS(CMJ!$A$2:$A$1001,CMJ!$B$2:$B$1001,A36,CMJ!$H$2:$H$1001,"&gt;=0")))</f>
        <v/>
      </c>
      <c r="H36" s="14" t="str">
        <f aca="false">IF(G36="","",IFERROR(AVERAGEIFS(CMJ!$K$2:$K$1001,CMJ!$B$2:$B$1001,A36,CMJ!$A$2:$A$1001,G36),""))</f>
        <v/>
      </c>
      <c r="I36" s="12" t="str">
        <f aca="false">IF(G36="","",IF(COUNTIFS(CMJ!$B$2:$B$1001,A36,CMJ!$A$2:$A$1001,G36,CMJ!$L$2:$L$1001,"저하")&gt;0,"저하",IF(COUNTIFS(CMJ!$B$2:$B$1001,A36,CMJ!$A$2:$A$1001,G36,CMJ!$L$2:$L$1001,"baseline 수집 중")&gt;0,"baseline 수집 중","정상")))</f>
        <v/>
      </c>
      <c r="J36" s="12" t="str">
        <f aca="false">IF(A36="","",IF(E36="낮음",1,0)+IF(F36="예",1,0)+IF(I36="저하",IF(B36="",1,IF(G36&gt;=B36-설정!$B$9,1,0)),0))</f>
        <v/>
      </c>
      <c r="K36" s="15" t="str">
        <f aca="false">IF(A36="","",IF(J36&gt;=설정!$B$10,"고강도 볼륨 조정 + 선수와 대화",IF(J36&gt;=1,"관찰","계획대로")))</f>
        <v/>
      </c>
    </row>
    <row r="37" customFormat="false" ht="15" hidden="false" customHeight="false" outlineLevel="0" collapsed="false">
      <c r="A37" s="12" t="str">
        <f aca="false">IF(선수!A34="","",선수!A34)</f>
        <v/>
      </c>
      <c r="B37" s="13" t="str">
        <f aca="false">IF(A37="","",IF(COUNTIFS(Wellness!$B$2:$B$1001,A37,Wellness!$J$2:$J$1001,"&gt;=0")=0,"",_xlfn.MAXIFS(Wellness!$A$2:$A$1001,Wellness!$B$2:$B$1001,A37,Wellness!$J$2:$J$1001,"&gt;=0")))</f>
        <v/>
      </c>
      <c r="C37" s="12" t="str">
        <f aca="false">IF(B37="","",AVERAGEIFS(Wellness!$J$2:$J$1001,Wellness!$B$2:$B$1001,A37,Wellness!$A$2:$A$1001,B37))</f>
        <v/>
      </c>
      <c r="D37" s="12" t="str">
        <f aca="false">IF(B37="","",IFERROR(ROUND(AVERAGEIFS(Wellness!$N$2:$N$1001,Wellness!$B$2:$B$1001,A37,Wellness!$A$2:$A$1001,B37),2),""))</f>
        <v/>
      </c>
      <c r="E37" s="12" t="str">
        <f aca="false">IF(B37="","",IF(COUNTIFS(Wellness!$B$2:$B$1001,A37,Wellness!$A$2:$A$1001,B37,Wellness!$P$2:$P$1001,"낮음")&gt;0,"낮음",IF(COUNTIFS(Wellness!$B$2:$B$1001,A37,Wellness!$A$2:$A$1001,B37,Wellness!$P$2:$P$1001,"baseline 수집 중")&gt;0,"baseline 수집 중","정상")))</f>
        <v/>
      </c>
      <c r="F37" s="12" t="str">
        <f aca="false">IF(B37="","",IF(COUNTIFS(Wellness!$B$2:$B$1001,A37,Wellness!$A$2:$A$1001,B37,Wellness!$O$2:$O$1001,"예")&gt;0,"예",""))</f>
        <v/>
      </c>
      <c r="G37" s="13" t="str">
        <f aca="false">IF(A37="","",IF(COUNTIFS(CMJ!$B$2:$B$1001,A37,CMJ!$H$2:$H$1001,"&gt;=0")=0,"",_xlfn.MAXIFS(CMJ!$A$2:$A$1001,CMJ!$B$2:$B$1001,A37,CMJ!$H$2:$H$1001,"&gt;=0")))</f>
        <v/>
      </c>
      <c r="H37" s="14" t="str">
        <f aca="false">IF(G37="","",IFERROR(AVERAGEIFS(CMJ!$K$2:$K$1001,CMJ!$B$2:$B$1001,A37,CMJ!$A$2:$A$1001,G37),""))</f>
        <v/>
      </c>
      <c r="I37" s="12" t="str">
        <f aca="false">IF(G37="","",IF(COUNTIFS(CMJ!$B$2:$B$1001,A37,CMJ!$A$2:$A$1001,G37,CMJ!$L$2:$L$1001,"저하")&gt;0,"저하",IF(COUNTIFS(CMJ!$B$2:$B$1001,A37,CMJ!$A$2:$A$1001,G37,CMJ!$L$2:$L$1001,"baseline 수집 중")&gt;0,"baseline 수집 중","정상")))</f>
        <v/>
      </c>
      <c r="J37" s="12" t="str">
        <f aca="false">IF(A37="","",IF(E37="낮음",1,0)+IF(F37="예",1,0)+IF(I37="저하",IF(B37="",1,IF(G37&gt;=B37-설정!$B$9,1,0)),0))</f>
        <v/>
      </c>
      <c r="K37" s="15" t="str">
        <f aca="false">IF(A37="","",IF(J37&gt;=설정!$B$10,"고강도 볼륨 조정 + 선수와 대화",IF(J37&gt;=1,"관찰","계획대로")))</f>
        <v/>
      </c>
    </row>
    <row r="38" customFormat="false" ht="15" hidden="false" customHeight="false" outlineLevel="0" collapsed="false">
      <c r="A38" s="12" t="str">
        <f aca="false">IF(선수!A35="","",선수!A35)</f>
        <v/>
      </c>
      <c r="B38" s="13" t="str">
        <f aca="false">IF(A38="","",IF(COUNTIFS(Wellness!$B$2:$B$1001,A38,Wellness!$J$2:$J$1001,"&gt;=0")=0,"",_xlfn.MAXIFS(Wellness!$A$2:$A$1001,Wellness!$B$2:$B$1001,A38,Wellness!$J$2:$J$1001,"&gt;=0")))</f>
        <v/>
      </c>
      <c r="C38" s="12" t="str">
        <f aca="false">IF(B38="","",AVERAGEIFS(Wellness!$J$2:$J$1001,Wellness!$B$2:$B$1001,A38,Wellness!$A$2:$A$1001,B38))</f>
        <v/>
      </c>
      <c r="D38" s="12" t="str">
        <f aca="false">IF(B38="","",IFERROR(ROUND(AVERAGEIFS(Wellness!$N$2:$N$1001,Wellness!$B$2:$B$1001,A38,Wellness!$A$2:$A$1001,B38),2),""))</f>
        <v/>
      </c>
      <c r="E38" s="12" t="str">
        <f aca="false">IF(B38="","",IF(COUNTIFS(Wellness!$B$2:$B$1001,A38,Wellness!$A$2:$A$1001,B38,Wellness!$P$2:$P$1001,"낮음")&gt;0,"낮음",IF(COUNTIFS(Wellness!$B$2:$B$1001,A38,Wellness!$A$2:$A$1001,B38,Wellness!$P$2:$P$1001,"baseline 수집 중")&gt;0,"baseline 수집 중","정상")))</f>
        <v/>
      </c>
      <c r="F38" s="12" t="str">
        <f aca="false">IF(B38="","",IF(COUNTIFS(Wellness!$B$2:$B$1001,A38,Wellness!$A$2:$A$1001,B38,Wellness!$O$2:$O$1001,"예")&gt;0,"예",""))</f>
        <v/>
      </c>
      <c r="G38" s="13" t="str">
        <f aca="false">IF(A38="","",IF(COUNTIFS(CMJ!$B$2:$B$1001,A38,CMJ!$H$2:$H$1001,"&gt;=0")=0,"",_xlfn.MAXIFS(CMJ!$A$2:$A$1001,CMJ!$B$2:$B$1001,A38,CMJ!$H$2:$H$1001,"&gt;=0")))</f>
        <v/>
      </c>
      <c r="H38" s="14" t="str">
        <f aca="false">IF(G38="","",IFERROR(AVERAGEIFS(CMJ!$K$2:$K$1001,CMJ!$B$2:$B$1001,A38,CMJ!$A$2:$A$1001,G38),""))</f>
        <v/>
      </c>
      <c r="I38" s="12" t="str">
        <f aca="false">IF(G38="","",IF(COUNTIFS(CMJ!$B$2:$B$1001,A38,CMJ!$A$2:$A$1001,G38,CMJ!$L$2:$L$1001,"저하")&gt;0,"저하",IF(COUNTIFS(CMJ!$B$2:$B$1001,A38,CMJ!$A$2:$A$1001,G38,CMJ!$L$2:$L$1001,"baseline 수집 중")&gt;0,"baseline 수집 중","정상")))</f>
        <v/>
      </c>
      <c r="J38" s="12" t="str">
        <f aca="false">IF(A38="","",IF(E38="낮음",1,0)+IF(F38="예",1,0)+IF(I38="저하",IF(B38="",1,IF(G38&gt;=B38-설정!$B$9,1,0)),0))</f>
        <v/>
      </c>
      <c r="K38" s="15" t="str">
        <f aca="false">IF(A38="","",IF(J38&gt;=설정!$B$10,"고강도 볼륨 조정 + 선수와 대화",IF(J38&gt;=1,"관찰","계획대로")))</f>
        <v/>
      </c>
    </row>
    <row r="39" customFormat="false" ht="15" hidden="false" customHeight="false" outlineLevel="0" collapsed="false">
      <c r="A39" s="12" t="str">
        <f aca="false">IF(선수!A36="","",선수!A36)</f>
        <v/>
      </c>
      <c r="B39" s="13" t="str">
        <f aca="false">IF(A39="","",IF(COUNTIFS(Wellness!$B$2:$B$1001,A39,Wellness!$J$2:$J$1001,"&gt;=0")=0,"",_xlfn.MAXIFS(Wellness!$A$2:$A$1001,Wellness!$B$2:$B$1001,A39,Wellness!$J$2:$J$1001,"&gt;=0")))</f>
        <v/>
      </c>
      <c r="C39" s="12" t="str">
        <f aca="false">IF(B39="","",AVERAGEIFS(Wellness!$J$2:$J$1001,Wellness!$B$2:$B$1001,A39,Wellness!$A$2:$A$1001,B39))</f>
        <v/>
      </c>
      <c r="D39" s="12" t="str">
        <f aca="false">IF(B39="","",IFERROR(ROUND(AVERAGEIFS(Wellness!$N$2:$N$1001,Wellness!$B$2:$B$1001,A39,Wellness!$A$2:$A$1001,B39),2),""))</f>
        <v/>
      </c>
      <c r="E39" s="12" t="str">
        <f aca="false">IF(B39="","",IF(COUNTIFS(Wellness!$B$2:$B$1001,A39,Wellness!$A$2:$A$1001,B39,Wellness!$P$2:$P$1001,"낮음")&gt;0,"낮음",IF(COUNTIFS(Wellness!$B$2:$B$1001,A39,Wellness!$A$2:$A$1001,B39,Wellness!$P$2:$P$1001,"baseline 수집 중")&gt;0,"baseline 수집 중","정상")))</f>
        <v/>
      </c>
      <c r="F39" s="12" t="str">
        <f aca="false">IF(B39="","",IF(COUNTIFS(Wellness!$B$2:$B$1001,A39,Wellness!$A$2:$A$1001,B39,Wellness!$O$2:$O$1001,"예")&gt;0,"예",""))</f>
        <v/>
      </c>
      <c r="G39" s="13" t="str">
        <f aca="false">IF(A39="","",IF(COUNTIFS(CMJ!$B$2:$B$1001,A39,CMJ!$H$2:$H$1001,"&gt;=0")=0,"",_xlfn.MAXIFS(CMJ!$A$2:$A$1001,CMJ!$B$2:$B$1001,A39,CMJ!$H$2:$H$1001,"&gt;=0")))</f>
        <v/>
      </c>
      <c r="H39" s="14" t="str">
        <f aca="false">IF(G39="","",IFERROR(AVERAGEIFS(CMJ!$K$2:$K$1001,CMJ!$B$2:$B$1001,A39,CMJ!$A$2:$A$1001,G39),""))</f>
        <v/>
      </c>
      <c r="I39" s="12" t="str">
        <f aca="false">IF(G39="","",IF(COUNTIFS(CMJ!$B$2:$B$1001,A39,CMJ!$A$2:$A$1001,G39,CMJ!$L$2:$L$1001,"저하")&gt;0,"저하",IF(COUNTIFS(CMJ!$B$2:$B$1001,A39,CMJ!$A$2:$A$1001,G39,CMJ!$L$2:$L$1001,"baseline 수집 중")&gt;0,"baseline 수집 중","정상")))</f>
        <v/>
      </c>
      <c r="J39" s="12" t="str">
        <f aca="false">IF(A39="","",IF(E39="낮음",1,0)+IF(F39="예",1,0)+IF(I39="저하",IF(B39="",1,IF(G39&gt;=B39-설정!$B$9,1,0)),0))</f>
        <v/>
      </c>
      <c r="K39" s="15" t="str">
        <f aca="false">IF(A39="","",IF(J39&gt;=설정!$B$10,"고강도 볼륨 조정 + 선수와 대화",IF(J39&gt;=1,"관찰","계획대로")))</f>
        <v/>
      </c>
    </row>
    <row r="40" customFormat="false" ht="15" hidden="false" customHeight="false" outlineLevel="0" collapsed="false">
      <c r="A40" s="12" t="str">
        <f aca="false">IF(선수!A37="","",선수!A37)</f>
        <v/>
      </c>
      <c r="B40" s="13" t="str">
        <f aca="false">IF(A40="","",IF(COUNTIFS(Wellness!$B$2:$B$1001,A40,Wellness!$J$2:$J$1001,"&gt;=0")=0,"",_xlfn.MAXIFS(Wellness!$A$2:$A$1001,Wellness!$B$2:$B$1001,A40,Wellness!$J$2:$J$1001,"&gt;=0")))</f>
        <v/>
      </c>
      <c r="C40" s="12" t="str">
        <f aca="false">IF(B40="","",AVERAGEIFS(Wellness!$J$2:$J$1001,Wellness!$B$2:$B$1001,A40,Wellness!$A$2:$A$1001,B40))</f>
        <v/>
      </c>
      <c r="D40" s="12" t="str">
        <f aca="false">IF(B40="","",IFERROR(ROUND(AVERAGEIFS(Wellness!$N$2:$N$1001,Wellness!$B$2:$B$1001,A40,Wellness!$A$2:$A$1001,B40),2),""))</f>
        <v/>
      </c>
      <c r="E40" s="12" t="str">
        <f aca="false">IF(B40="","",IF(COUNTIFS(Wellness!$B$2:$B$1001,A40,Wellness!$A$2:$A$1001,B40,Wellness!$P$2:$P$1001,"낮음")&gt;0,"낮음",IF(COUNTIFS(Wellness!$B$2:$B$1001,A40,Wellness!$A$2:$A$1001,B40,Wellness!$P$2:$P$1001,"baseline 수집 중")&gt;0,"baseline 수집 중","정상")))</f>
        <v/>
      </c>
      <c r="F40" s="12" t="str">
        <f aca="false">IF(B40="","",IF(COUNTIFS(Wellness!$B$2:$B$1001,A40,Wellness!$A$2:$A$1001,B40,Wellness!$O$2:$O$1001,"예")&gt;0,"예",""))</f>
        <v/>
      </c>
      <c r="G40" s="13" t="str">
        <f aca="false">IF(A40="","",IF(COUNTIFS(CMJ!$B$2:$B$1001,A40,CMJ!$H$2:$H$1001,"&gt;=0")=0,"",_xlfn.MAXIFS(CMJ!$A$2:$A$1001,CMJ!$B$2:$B$1001,A40,CMJ!$H$2:$H$1001,"&gt;=0")))</f>
        <v/>
      </c>
      <c r="H40" s="14" t="str">
        <f aca="false">IF(G40="","",IFERROR(AVERAGEIFS(CMJ!$K$2:$K$1001,CMJ!$B$2:$B$1001,A40,CMJ!$A$2:$A$1001,G40),""))</f>
        <v/>
      </c>
      <c r="I40" s="12" t="str">
        <f aca="false">IF(G40="","",IF(COUNTIFS(CMJ!$B$2:$B$1001,A40,CMJ!$A$2:$A$1001,G40,CMJ!$L$2:$L$1001,"저하")&gt;0,"저하",IF(COUNTIFS(CMJ!$B$2:$B$1001,A40,CMJ!$A$2:$A$1001,G40,CMJ!$L$2:$L$1001,"baseline 수집 중")&gt;0,"baseline 수집 중","정상")))</f>
        <v/>
      </c>
      <c r="J40" s="12" t="str">
        <f aca="false">IF(A40="","",IF(E40="낮음",1,0)+IF(F40="예",1,0)+IF(I40="저하",IF(B40="",1,IF(G40&gt;=B40-설정!$B$9,1,0)),0))</f>
        <v/>
      </c>
      <c r="K40" s="15" t="str">
        <f aca="false">IF(A40="","",IF(J40&gt;=설정!$B$10,"고강도 볼륨 조정 + 선수와 대화",IF(J40&gt;=1,"관찰","계획대로")))</f>
        <v/>
      </c>
    </row>
    <row r="41" customFormat="false" ht="15" hidden="false" customHeight="false" outlineLevel="0" collapsed="false">
      <c r="A41" s="12" t="str">
        <f aca="false">IF(선수!A38="","",선수!A38)</f>
        <v/>
      </c>
      <c r="B41" s="13" t="str">
        <f aca="false">IF(A41="","",IF(COUNTIFS(Wellness!$B$2:$B$1001,A41,Wellness!$J$2:$J$1001,"&gt;=0")=0,"",_xlfn.MAXIFS(Wellness!$A$2:$A$1001,Wellness!$B$2:$B$1001,A41,Wellness!$J$2:$J$1001,"&gt;=0")))</f>
        <v/>
      </c>
      <c r="C41" s="12" t="str">
        <f aca="false">IF(B41="","",AVERAGEIFS(Wellness!$J$2:$J$1001,Wellness!$B$2:$B$1001,A41,Wellness!$A$2:$A$1001,B41))</f>
        <v/>
      </c>
      <c r="D41" s="12" t="str">
        <f aca="false">IF(B41="","",IFERROR(ROUND(AVERAGEIFS(Wellness!$N$2:$N$1001,Wellness!$B$2:$B$1001,A41,Wellness!$A$2:$A$1001,B41),2),""))</f>
        <v/>
      </c>
      <c r="E41" s="12" t="str">
        <f aca="false">IF(B41="","",IF(COUNTIFS(Wellness!$B$2:$B$1001,A41,Wellness!$A$2:$A$1001,B41,Wellness!$P$2:$P$1001,"낮음")&gt;0,"낮음",IF(COUNTIFS(Wellness!$B$2:$B$1001,A41,Wellness!$A$2:$A$1001,B41,Wellness!$P$2:$P$1001,"baseline 수집 중")&gt;0,"baseline 수집 중","정상")))</f>
        <v/>
      </c>
      <c r="F41" s="12" t="str">
        <f aca="false">IF(B41="","",IF(COUNTIFS(Wellness!$B$2:$B$1001,A41,Wellness!$A$2:$A$1001,B41,Wellness!$O$2:$O$1001,"예")&gt;0,"예",""))</f>
        <v/>
      </c>
      <c r="G41" s="13" t="str">
        <f aca="false">IF(A41="","",IF(COUNTIFS(CMJ!$B$2:$B$1001,A41,CMJ!$H$2:$H$1001,"&gt;=0")=0,"",_xlfn.MAXIFS(CMJ!$A$2:$A$1001,CMJ!$B$2:$B$1001,A41,CMJ!$H$2:$H$1001,"&gt;=0")))</f>
        <v/>
      </c>
      <c r="H41" s="14" t="str">
        <f aca="false">IF(G41="","",IFERROR(AVERAGEIFS(CMJ!$K$2:$K$1001,CMJ!$B$2:$B$1001,A41,CMJ!$A$2:$A$1001,G41),""))</f>
        <v/>
      </c>
      <c r="I41" s="12" t="str">
        <f aca="false">IF(G41="","",IF(COUNTIFS(CMJ!$B$2:$B$1001,A41,CMJ!$A$2:$A$1001,G41,CMJ!$L$2:$L$1001,"저하")&gt;0,"저하",IF(COUNTIFS(CMJ!$B$2:$B$1001,A41,CMJ!$A$2:$A$1001,G41,CMJ!$L$2:$L$1001,"baseline 수집 중")&gt;0,"baseline 수집 중","정상")))</f>
        <v/>
      </c>
      <c r="J41" s="12" t="str">
        <f aca="false">IF(A41="","",IF(E41="낮음",1,0)+IF(F41="예",1,0)+IF(I41="저하",IF(B41="",1,IF(G41&gt;=B41-설정!$B$9,1,0)),0))</f>
        <v/>
      </c>
      <c r="K41" s="15" t="str">
        <f aca="false">IF(A41="","",IF(J41&gt;=설정!$B$10,"고강도 볼륨 조정 + 선수와 대화",IF(J41&gt;=1,"관찰","계획대로")))</f>
        <v/>
      </c>
    </row>
    <row r="42" customFormat="false" ht="15" hidden="false" customHeight="false" outlineLevel="0" collapsed="false">
      <c r="A42" s="12" t="str">
        <f aca="false">IF(선수!A39="","",선수!A39)</f>
        <v/>
      </c>
      <c r="B42" s="13" t="str">
        <f aca="false">IF(A42="","",IF(COUNTIFS(Wellness!$B$2:$B$1001,A42,Wellness!$J$2:$J$1001,"&gt;=0")=0,"",_xlfn.MAXIFS(Wellness!$A$2:$A$1001,Wellness!$B$2:$B$1001,A42,Wellness!$J$2:$J$1001,"&gt;=0")))</f>
        <v/>
      </c>
      <c r="C42" s="12" t="str">
        <f aca="false">IF(B42="","",AVERAGEIFS(Wellness!$J$2:$J$1001,Wellness!$B$2:$B$1001,A42,Wellness!$A$2:$A$1001,B42))</f>
        <v/>
      </c>
      <c r="D42" s="12" t="str">
        <f aca="false">IF(B42="","",IFERROR(ROUND(AVERAGEIFS(Wellness!$N$2:$N$1001,Wellness!$B$2:$B$1001,A42,Wellness!$A$2:$A$1001,B42),2),""))</f>
        <v/>
      </c>
      <c r="E42" s="12" t="str">
        <f aca="false">IF(B42="","",IF(COUNTIFS(Wellness!$B$2:$B$1001,A42,Wellness!$A$2:$A$1001,B42,Wellness!$P$2:$P$1001,"낮음")&gt;0,"낮음",IF(COUNTIFS(Wellness!$B$2:$B$1001,A42,Wellness!$A$2:$A$1001,B42,Wellness!$P$2:$P$1001,"baseline 수집 중")&gt;0,"baseline 수집 중","정상")))</f>
        <v/>
      </c>
      <c r="F42" s="12" t="str">
        <f aca="false">IF(B42="","",IF(COUNTIFS(Wellness!$B$2:$B$1001,A42,Wellness!$A$2:$A$1001,B42,Wellness!$O$2:$O$1001,"예")&gt;0,"예",""))</f>
        <v/>
      </c>
      <c r="G42" s="13" t="str">
        <f aca="false">IF(A42="","",IF(COUNTIFS(CMJ!$B$2:$B$1001,A42,CMJ!$H$2:$H$1001,"&gt;=0")=0,"",_xlfn.MAXIFS(CMJ!$A$2:$A$1001,CMJ!$B$2:$B$1001,A42,CMJ!$H$2:$H$1001,"&gt;=0")))</f>
        <v/>
      </c>
      <c r="H42" s="14" t="str">
        <f aca="false">IF(G42="","",IFERROR(AVERAGEIFS(CMJ!$K$2:$K$1001,CMJ!$B$2:$B$1001,A42,CMJ!$A$2:$A$1001,G42),""))</f>
        <v/>
      </c>
      <c r="I42" s="12" t="str">
        <f aca="false">IF(G42="","",IF(COUNTIFS(CMJ!$B$2:$B$1001,A42,CMJ!$A$2:$A$1001,G42,CMJ!$L$2:$L$1001,"저하")&gt;0,"저하",IF(COUNTIFS(CMJ!$B$2:$B$1001,A42,CMJ!$A$2:$A$1001,G42,CMJ!$L$2:$L$1001,"baseline 수집 중")&gt;0,"baseline 수집 중","정상")))</f>
        <v/>
      </c>
      <c r="J42" s="12" t="str">
        <f aca="false">IF(A42="","",IF(E42="낮음",1,0)+IF(F42="예",1,0)+IF(I42="저하",IF(B42="",1,IF(G42&gt;=B42-설정!$B$9,1,0)),0))</f>
        <v/>
      </c>
      <c r="K42" s="15" t="str">
        <f aca="false">IF(A42="","",IF(J42&gt;=설정!$B$10,"고강도 볼륨 조정 + 선수와 대화",IF(J42&gt;=1,"관찰","계획대로")))</f>
        <v/>
      </c>
    </row>
    <row r="43" customFormat="false" ht="15" hidden="false" customHeight="false" outlineLevel="0" collapsed="false">
      <c r="A43" s="12" t="str">
        <f aca="false">IF(선수!A40="","",선수!A40)</f>
        <v/>
      </c>
      <c r="B43" s="13" t="str">
        <f aca="false">IF(A43="","",IF(COUNTIFS(Wellness!$B$2:$B$1001,A43,Wellness!$J$2:$J$1001,"&gt;=0")=0,"",_xlfn.MAXIFS(Wellness!$A$2:$A$1001,Wellness!$B$2:$B$1001,A43,Wellness!$J$2:$J$1001,"&gt;=0")))</f>
        <v/>
      </c>
      <c r="C43" s="12" t="str">
        <f aca="false">IF(B43="","",AVERAGEIFS(Wellness!$J$2:$J$1001,Wellness!$B$2:$B$1001,A43,Wellness!$A$2:$A$1001,B43))</f>
        <v/>
      </c>
      <c r="D43" s="12" t="str">
        <f aca="false">IF(B43="","",IFERROR(ROUND(AVERAGEIFS(Wellness!$N$2:$N$1001,Wellness!$B$2:$B$1001,A43,Wellness!$A$2:$A$1001,B43),2),""))</f>
        <v/>
      </c>
      <c r="E43" s="12" t="str">
        <f aca="false">IF(B43="","",IF(COUNTIFS(Wellness!$B$2:$B$1001,A43,Wellness!$A$2:$A$1001,B43,Wellness!$P$2:$P$1001,"낮음")&gt;0,"낮음",IF(COUNTIFS(Wellness!$B$2:$B$1001,A43,Wellness!$A$2:$A$1001,B43,Wellness!$P$2:$P$1001,"baseline 수집 중")&gt;0,"baseline 수집 중","정상")))</f>
        <v/>
      </c>
      <c r="F43" s="12" t="str">
        <f aca="false">IF(B43="","",IF(COUNTIFS(Wellness!$B$2:$B$1001,A43,Wellness!$A$2:$A$1001,B43,Wellness!$O$2:$O$1001,"예")&gt;0,"예",""))</f>
        <v/>
      </c>
      <c r="G43" s="13" t="str">
        <f aca="false">IF(A43="","",IF(COUNTIFS(CMJ!$B$2:$B$1001,A43,CMJ!$H$2:$H$1001,"&gt;=0")=0,"",_xlfn.MAXIFS(CMJ!$A$2:$A$1001,CMJ!$B$2:$B$1001,A43,CMJ!$H$2:$H$1001,"&gt;=0")))</f>
        <v/>
      </c>
      <c r="H43" s="14" t="str">
        <f aca="false">IF(G43="","",IFERROR(AVERAGEIFS(CMJ!$K$2:$K$1001,CMJ!$B$2:$B$1001,A43,CMJ!$A$2:$A$1001,G43),""))</f>
        <v/>
      </c>
      <c r="I43" s="12" t="str">
        <f aca="false">IF(G43="","",IF(COUNTIFS(CMJ!$B$2:$B$1001,A43,CMJ!$A$2:$A$1001,G43,CMJ!$L$2:$L$1001,"저하")&gt;0,"저하",IF(COUNTIFS(CMJ!$B$2:$B$1001,A43,CMJ!$A$2:$A$1001,G43,CMJ!$L$2:$L$1001,"baseline 수집 중")&gt;0,"baseline 수집 중","정상")))</f>
        <v/>
      </c>
      <c r="J43" s="12" t="str">
        <f aca="false">IF(A43="","",IF(E43="낮음",1,0)+IF(F43="예",1,0)+IF(I43="저하",IF(B43="",1,IF(G43&gt;=B43-설정!$B$9,1,0)),0))</f>
        <v/>
      </c>
      <c r="K43" s="15" t="str">
        <f aca="false">IF(A43="","",IF(J43&gt;=설정!$B$10,"고강도 볼륨 조정 + 선수와 대화",IF(J43&gt;=1,"관찰","계획대로")))</f>
        <v/>
      </c>
    </row>
    <row r="44" customFormat="false" ht="15" hidden="false" customHeight="false" outlineLevel="0" collapsed="false">
      <c r="A44" s="12" t="str">
        <f aca="false">IF(선수!A41="","",선수!A41)</f>
        <v/>
      </c>
      <c r="B44" s="13" t="str">
        <f aca="false">IF(A44="","",IF(COUNTIFS(Wellness!$B$2:$B$1001,A44,Wellness!$J$2:$J$1001,"&gt;=0")=0,"",_xlfn.MAXIFS(Wellness!$A$2:$A$1001,Wellness!$B$2:$B$1001,A44,Wellness!$J$2:$J$1001,"&gt;=0")))</f>
        <v/>
      </c>
      <c r="C44" s="12" t="str">
        <f aca="false">IF(B44="","",AVERAGEIFS(Wellness!$J$2:$J$1001,Wellness!$B$2:$B$1001,A44,Wellness!$A$2:$A$1001,B44))</f>
        <v/>
      </c>
      <c r="D44" s="12" t="str">
        <f aca="false">IF(B44="","",IFERROR(ROUND(AVERAGEIFS(Wellness!$N$2:$N$1001,Wellness!$B$2:$B$1001,A44,Wellness!$A$2:$A$1001,B44),2),""))</f>
        <v/>
      </c>
      <c r="E44" s="12" t="str">
        <f aca="false">IF(B44="","",IF(COUNTIFS(Wellness!$B$2:$B$1001,A44,Wellness!$A$2:$A$1001,B44,Wellness!$P$2:$P$1001,"낮음")&gt;0,"낮음",IF(COUNTIFS(Wellness!$B$2:$B$1001,A44,Wellness!$A$2:$A$1001,B44,Wellness!$P$2:$P$1001,"baseline 수집 중")&gt;0,"baseline 수집 중","정상")))</f>
        <v/>
      </c>
      <c r="F44" s="12" t="str">
        <f aca="false">IF(B44="","",IF(COUNTIFS(Wellness!$B$2:$B$1001,A44,Wellness!$A$2:$A$1001,B44,Wellness!$O$2:$O$1001,"예")&gt;0,"예",""))</f>
        <v/>
      </c>
      <c r="G44" s="13" t="str">
        <f aca="false">IF(A44="","",IF(COUNTIFS(CMJ!$B$2:$B$1001,A44,CMJ!$H$2:$H$1001,"&gt;=0")=0,"",_xlfn.MAXIFS(CMJ!$A$2:$A$1001,CMJ!$B$2:$B$1001,A44,CMJ!$H$2:$H$1001,"&gt;=0")))</f>
        <v/>
      </c>
      <c r="H44" s="14" t="str">
        <f aca="false">IF(G44="","",IFERROR(AVERAGEIFS(CMJ!$K$2:$K$1001,CMJ!$B$2:$B$1001,A44,CMJ!$A$2:$A$1001,G44),""))</f>
        <v/>
      </c>
      <c r="I44" s="12" t="str">
        <f aca="false">IF(G44="","",IF(COUNTIFS(CMJ!$B$2:$B$1001,A44,CMJ!$A$2:$A$1001,G44,CMJ!$L$2:$L$1001,"저하")&gt;0,"저하",IF(COUNTIFS(CMJ!$B$2:$B$1001,A44,CMJ!$A$2:$A$1001,G44,CMJ!$L$2:$L$1001,"baseline 수집 중")&gt;0,"baseline 수집 중","정상")))</f>
        <v/>
      </c>
      <c r="J44" s="12" t="str">
        <f aca="false">IF(A44="","",IF(E44="낮음",1,0)+IF(F44="예",1,0)+IF(I44="저하",IF(B44="",1,IF(G44&gt;=B44-설정!$B$9,1,0)),0))</f>
        <v/>
      </c>
      <c r="K44" s="15" t="str">
        <f aca="false">IF(A44="","",IF(J44&gt;=설정!$B$10,"고강도 볼륨 조정 + 선수와 대화",IF(J44&gt;=1,"관찰","계획대로")))</f>
        <v/>
      </c>
    </row>
  </sheetData>
  <conditionalFormatting sqref="K5:K44">
    <cfRule type="expression" priority="2" aboveAverage="0" equalAverage="0" bottom="0" percent="0" rank="0" text="" dxfId="0">
      <formula>$J5&gt;=설정!$B$10</formula>
    </cfRule>
    <cfRule type="expression" priority="3" aboveAverage="0" equalAverage="0" bottom="0" percent="0" rank="0" text="" dxfId="1">
      <formula>$J5=1</formula>
    </cfRule>
    <cfRule type="expression" priority="4" aboveAverage="0" equalAverage="0" bottom="0" percent="0" rank="0" text="" dxfId="2">
      <formula>$K5="계획대로"</formula>
    </cfRule>
  </conditionalFormatting>
  <conditionalFormatting sqref="E5:E44">
    <cfRule type="expression" priority="5" aboveAverage="0" equalAverage="0" bottom="0" percent="0" rank="0" text="" dxfId="0">
      <formula>$E5="낮음"</formula>
    </cfRule>
  </conditionalFormatting>
  <conditionalFormatting sqref="I5:I44">
    <cfRule type="expression" priority="6" aboveAverage="0" equalAverage="0" bottom="0" percent="0" rank="0" text="" dxfId="0">
      <formula>$I5="저하"</formula>
    </cfRule>
  </conditionalFormatting>
  <conditionalFormatting sqref="F5:F44">
    <cfRule type="expression" priority="7" aboveAverage="0" equalAverage="0" bottom="0" percent="0" rank="0" text="" dxfId="1">
      <formula>$F5="예"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3" min="9" style="0" width="10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28"/>
    <col collapsed="false" customWidth="true" hidden="true" outlineLevel="0" max="18" min="18" style="0" width="8"/>
  </cols>
  <sheetData>
    <row r="1" customFormat="false" ht="33.75" hidden="false" customHeight="true" outlineLevel="0" collapsed="false">
      <c r="A1" s="10" t="s">
        <v>40</v>
      </c>
      <c r="B1" s="10" t="s">
        <v>29</v>
      </c>
      <c r="C1" s="11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1" t="s">
        <v>49</v>
      </c>
      <c r="L1" s="11" t="s">
        <v>50</v>
      </c>
      <c r="M1" s="11" t="s">
        <v>51</v>
      </c>
      <c r="N1" s="11" t="s">
        <v>32</v>
      </c>
      <c r="O1" s="10" t="s">
        <v>34</v>
      </c>
      <c r="P1" s="10" t="s">
        <v>52</v>
      </c>
      <c r="Q1" s="10" t="s">
        <v>53</v>
      </c>
      <c r="R1" s="11" t="s">
        <v>54</v>
      </c>
    </row>
    <row r="2" customFormat="false" ht="15" hidden="false" customHeight="false" outlineLevel="0" collapsed="false">
      <c r="A2" s="16" t="n">
        <v>46286</v>
      </c>
      <c r="B2" s="17" t="s">
        <v>55</v>
      </c>
      <c r="C2" s="17" t="s">
        <v>56</v>
      </c>
      <c r="D2" s="17" t="n">
        <v>7.5</v>
      </c>
      <c r="E2" s="17" t="n">
        <v>4</v>
      </c>
      <c r="F2" s="17" t="n">
        <v>3</v>
      </c>
      <c r="G2" s="17" t="n">
        <v>3</v>
      </c>
      <c r="H2" s="17" t="n">
        <v>4</v>
      </c>
      <c r="I2" s="17" t="n">
        <v>4</v>
      </c>
      <c r="J2" s="18" t="n">
        <f aca="false">IF(COUNT(E2:I2)&lt;5,"",SUM(E2:I2))</f>
        <v>18</v>
      </c>
      <c r="K2" s="18" t="str">
        <f aca="false">IF(J2="","",IF(M2&lt;설정!$B$3,"",ROUND(AVERAGEIFS($J$2:$J$1001,$B$2:$B$1001,B2,$A$2:$A$1001,"&lt;"&amp;A2,$A$2:$A$1001,"&gt;="&amp;(A2-설정!$B$2)),2)))</f>
        <v/>
      </c>
      <c r="L2" s="18" t="str">
        <f aca="false">IF(K2="","",ROUND(SQRT(MAX(0,(SUMIFS($R$2:$R$1001,$B$2:$B$1001,B2,$A$2:$A$1001,"&lt;"&amp;A2,$A$2:$A$1001,"&gt;="&amp;(A2-설정!$B$2))-M2*AVERAGEIFS($J$2:$J$1001,$B$2:$B$1001,B2,$A$2:$A$1001,"&lt;"&amp;A2,$A$2:$A$1001,"&gt;="&amp;(A2-설정!$B$2))^2)/(M2-1))),2))</f>
        <v/>
      </c>
      <c r="M2" s="18" t="n">
        <f aca="false">IF(J2="","",COUNTIFS($B$2:$B$1001,B2,$A$2:$A$1001,"&lt;"&amp;A2,$A$2:$A$1001,"&gt;="&amp;(A2-설정!$B$2),$J$2:$J$1001,"&gt;=0"))</f>
        <v>0</v>
      </c>
      <c r="N2" s="18" t="str">
        <f aca="false">IF(K2="","",IF(L2=0,"",ROUND((J2-K2)/L2,2)))</f>
        <v/>
      </c>
      <c r="O2" s="19" t="str">
        <f aca="false">IF(J2="","",IF(MIN(F2,G2)&lt;=설정!$B$5,"예",""))</f>
        <v/>
      </c>
      <c r="P2" s="19" t="str">
        <f aca="false">IF(J2="","",IF(M2&lt;설정!$B$3,"baseline 수집 중",IF(N2="","정상",IF(N2&lt;=설정!$B$4,"낮음","정상"))))</f>
        <v>baseline 수집 중</v>
      </c>
      <c r="Q2" s="20" t="s">
        <v>57</v>
      </c>
      <c r="R2" s="18" t="n">
        <f aca="false">IF(J2="","",J2^2)</f>
        <v>324</v>
      </c>
    </row>
    <row r="3" customFormat="false" ht="15" hidden="false" customHeight="false" outlineLevel="0" collapsed="false">
      <c r="A3" s="16"/>
      <c r="B3" s="17"/>
      <c r="C3" s="17"/>
      <c r="D3" s="17"/>
      <c r="E3" s="17"/>
      <c r="F3" s="17"/>
      <c r="G3" s="17"/>
      <c r="H3" s="17"/>
      <c r="I3" s="17"/>
      <c r="J3" s="18" t="str">
        <f aca="false">IF(COUNT(E3:I3)&lt;5,"",SUM(E3:I3))</f>
        <v/>
      </c>
      <c r="K3" s="18" t="str">
        <f aca="false">IF(J3="","",IF(M3&lt;설정!$B$3,"",ROUND(AVERAGEIFS($J$2:$J$1001,$B$2:$B$1001,B3,$A$2:$A$1001,"&lt;"&amp;A3,$A$2:$A$1001,"&gt;="&amp;(A3-설정!$B$2)),2)))</f>
        <v/>
      </c>
      <c r="L3" s="18" t="str">
        <f aca="false">IF(K3="","",ROUND(SQRT(MAX(0,(SUMIFS($R$2:$R$1001,$B$2:$B$1001,B3,$A$2:$A$1001,"&lt;"&amp;A3,$A$2:$A$1001,"&gt;="&amp;(A3-설정!$B$2))-M3*AVERAGEIFS($J$2:$J$1001,$B$2:$B$1001,B3,$A$2:$A$1001,"&lt;"&amp;A3,$A$2:$A$1001,"&gt;="&amp;(A3-설정!$B$2))^2)/(M3-1))),2))</f>
        <v/>
      </c>
      <c r="M3" s="18" t="str">
        <f aca="false">IF(J3="","",COUNTIFS($B$2:$B$1001,B3,$A$2:$A$1001,"&lt;"&amp;A3,$A$2:$A$1001,"&gt;="&amp;(A3-설정!$B$2),$J$2:$J$1001,"&gt;=0"))</f>
        <v/>
      </c>
      <c r="N3" s="18" t="str">
        <f aca="false">IF(K3="","",IF(L3=0,"",ROUND((J3-K3)/L3,2)))</f>
        <v/>
      </c>
      <c r="O3" s="19" t="str">
        <f aca="false">IF(J3="","",IF(MIN(F3,G3)&lt;=설정!$B$5,"예",""))</f>
        <v/>
      </c>
      <c r="P3" s="19" t="str">
        <f aca="false">IF(J3="","",IF(M3&lt;설정!$B$3,"baseline 수집 중",IF(N3="","정상",IF(N3&lt;=설정!$B$4,"낮음","정상"))))</f>
        <v/>
      </c>
      <c r="Q3" s="20"/>
      <c r="R3" s="18" t="str">
        <f aca="false">IF(J3="","",J3^2)</f>
        <v/>
      </c>
    </row>
    <row r="4" customFormat="false" ht="15" hidden="false" customHeight="false" outlineLevel="0" collapsed="false">
      <c r="A4" s="16"/>
      <c r="B4" s="17"/>
      <c r="C4" s="17"/>
      <c r="D4" s="17"/>
      <c r="E4" s="17"/>
      <c r="F4" s="17"/>
      <c r="G4" s="17"/>
      <c r="H4" s="17"/>
      <c r="I4" s="17"/>
      <c r="J4" s="18" t="str">
        <f aca="false">IF(COUNT(E4:I4)&lt;5,"",SUM(E4:I4))</f>
        <v/>
      </c>
      <c r="K4" s="18" t="str">
        <f aca="false">IF(J4="","",IF(M4&lt;설정!$B$3,"",ROUND(AVERAGEIFS($J$2:$J$1001,$B$2:$B$1001,B4,$A$2:$A$1001,"&lt;"&amp;A4,$A$2:$A$1001,"&gt;="&amp;(A4-설정!$B$2)),2)))</f>
        <v/>
      </c>
      <c r="L4" s="18" t="str">
        <f aca="false">IF(K4="","",ROUND(SQRT(MAX(0,(SUMIFS($R$2:$R$1001,$B$2:$B$1001,B4,$A$2:$A$1001,"&lt;"&amp;A4,$A$2:$A$1001,"&gt;="&amp;(A4-설정!$B$2))-M4*AVERAGEIFS($J$2:$J$1001,$B$2:$B$1001,B4,$A$2:$A$1001,"&lt;"&amp;A4,$A$2:$A$1001,"&gt;="&amp;(A4-설정!$B$2))^2)/(M4-1))),2))</f>
        <v/>
      </c>
      <c r="M4" s="18" t="str">
        <f aca="false">IF(J4="","",COUNTIFS($B$2:$B$1001,B4,$A$2:$A$1001,"&lt;"&amp;A4,$A$2:$A$1001,"&gt;="&amp;(A4-설정!$B$2),$J$2:$J$1001,"&gt;=0"))</f>
        <v/>
      </c>
      <c r="N4" s="18" t="str">
        <f aca="false">IF(K4="","",IF(L4=0,"",ROUND((J4-K4)/L4,2)))</f>
        <v/>
      </c>
      <c r="O4" s="19" t="str">
        <f aca="false">IF(J4="","",IF(MIN(F4,G4)&lt;=설정!$B$5,"예",""))</f>
        <v/>
      </c>
      <c r="P4" s="19" t="str">
        <f aca="false">IF(J4="","",IF(M4&lt;설정!$B$3,"baseline 수집 중",IF(N4="","정상",IF(N4&lt;=설정!$B$4,"낮음","정상"))))</f>
        <v/>
      </c>
      <c r="Q4" s="20"/>
      <c r="R4" s="18" t="str">
        <f aca="false">IF(J4="","",J4^2)</f>
        <v/>
      </c>
    </row>
    <row r="5" customFormat="false" ht="15" hidden="false" customHeight="false" outlineLevel="0" collapsed="false">
      <c r="A5" s="16"/>
      <c r="B5" s="17"/>
      <c r="C5" s="17"/>
      <c r="D5" s="17"/>
      <c r="E5" s="17"/>
      <c r="F5" s="17"/>
      <c r="G5" s="17"/>
      <c r="H5" s="17"/>
      <c r="I5" s="17"/>
      <c r="J5" s="18" t="str">
        <f aca="false">IF(COUNT(E5:I5)&lt;5,"",SUM(E5:I5))</f>
        <v/>
      </c>
      <c r="K5" s="18" t="str">
        <f aca="false">IF(J5="","",IF(M5&lt;설정!$B$3,"",ROUND(AVERAGEIFS($J$2:$J$1001,$B$2:$B$1001,B5,$A$2:$A$1001,"&lt;"&amp;A5,$A$2:$A$1001,"&gt;="&amp;(A5-설정!$B$2)),2)))</f>
        <v/>
      </c>
      <c r="L5" s="18" t="str">
        <f aca="false">IF(K5="","",ROUND(SQRT(MAX(0,(SUMIFS($R$2:$R$1001,$B$2:$B$1001,B5,$A$2:$A$1001,"&lt;"&amp;A5,$A$2:$A$1001,"&gt;="&amp;(A5-설정!$B$2))-M5*AVERAGEIFS($J$2:$J$1001,$B$2:$B$1001,B5,$A$2:$A$1001,"&lt;"&amp;A5,$A$2:$A$1001,"&gt;="&amp;(A5-설정!$B$2))^2)/(M5-1))),2))</f>
        <v/>
      </c>
      <c r="M5" s="18" t="str">
        <f aca="false">IF(J5="","",COUNTIFS($B$2:$B$1001,B5,$A$2:$A$1001,"&lt;"&amp;A5,$A$2:$A$1001,"&gt;="&amp;(A5-설정!$B$2),$J$2:$J$1001,"&gt;=0"))</f>
        <v/>
      </c>
      <c r="N5" s="18" t="str">
        <f aca="false">IF(K5="","",IF(L5=0,"",ROUND((J5-K5)/L5,2)))</f>
        <v/>
      </c>
      <c r="O5" s="19" t="str">
        <f aca="false">IF(J5="","",IF(MIN(F5,G5)&lt;=설정!$B$5,"예",""))</f>
        <v/>
      </c>
      <c r="P5" s="19" t="str">
        <f aca="false">IF(J5="","",IF(M5&lt;설정!$B$3,"baseline 수집 중",IF(N5="","정상",IF(N5&lt;=설정!$B$4,"낮음","정상"))))</f>
        <v/>
      </c>
      <c r="Q5" s="20"/>
      <c r="R5" s="18" t="str">
        <f aca="false">IF(J5="","",J5^2)</f>
        <v/>
      </c>
    </row>
    <row r="6" customFormat="false" ht="15" hidden="false" customHeight="false" outlineLevel="0" collapsed="false">
      <c r="A6" s="16"/>
      <c r="B6" s="17"/>
      <c r="C6" s="17"/>
      <c r="D6" s="17"/>
      <c r="E6" s="17"/>
      <c r="F6" s="17"/>
      <c r="G6" s="17"/>
      <c r="H6" s="17"/>
      <c r="I6" s="17"/>
      <c r="J6" s="18" t="str">
        <f aca="false">IF(COUNT(E6:I6)&lt;5,"",SUM(E6:I6))</f>
        <v/>
      </c>
      <c r="K6" s="18" t="str">
        <f aca="false">IF(J6="","",IF(M6&lt;설정!$B$3,"",ROUND(AVERAGEIFS($J$2:$J$1001,$B$2:$B$1001,B6,$A$2:$A$1001,"&lt;"&amp;A6,$A$2:$A$1001,"&gt;="&amp;(A6-설정!$B$2)),2)))</f>
        <v/>
      </c>
      <c r="L6" s="18" t="str">
        <f aca="false">IF(K6="","",ROUND(SQRT(MAX(0,(SUMIFS($R$2:$R$1001,$B$2:$B$1001,B6,$A$2:$A$1001,"&lt;"&amp;A6,$A$2:$A$1001,"&gt;="&amp;(A6-설정!$B$2))-M6*AVERAGEIFS($J$2:$J$1001,$B$2:$B$1001,B6,$A$2:$A$1001,"&lt;"&amp;A6,$A$2:$A$1001,"&gt;="&amp;(A6-설정!$B$2))^2)/(M6-1))),2))</f>
        <v/>
      </c>
      <c r="M6" s="18" t="str">
        <f aca="false">IF(J6="","",COUNTIFS($B$2:$B$1001,B6,$A$2:$A$1001,"&lt;"&amp;A6,$A$2:$A$1001,"&gt;="&amp;(A6-설정!$B$2),$J$2:$J$1001,"&gt;=0"))</f>
        <v/>
      </c>
      <c r="N6" s="18" t="str">
        <f aca="false">IF(K6="","",IF(L6=0,"",ROUND((J6-K6)/L6,2)))</f>
        <v/>
      </c>
      <c r="O6" s="19" t="str">
        <f aca="false">IF(J6="","",IF(MIN(F6,G6)&lt;=설정!$B$5,"예",""))</f>
        <v/>
      </c>
      <c r="P6" s="19" t="str">
        <f aca="false">IF(J6="","",IF(M6&lt;설정!$B$3,"baseline 수집 중",IF(N6="","정상",IF(N6&lt;=설정!$B$4,"낮음","정상"))))</f>
        <v/>
      </c>
      <c r="Q6" s="20"/>
      <c r="R6" s="18" t="str">
        <f aca="false">IF(J6="","",J6^2)</f>
        <v/>
      </c>
    </row>
    <row r="7" customFormat="false" ht="15" hidden="false" customHeight="false" outlineLevel="0" collapsed="false">
      <c r="A7" s="16"/>
      <c r="B7" s="17"/>
      <c r="C7" s="17"/>
      <c r="D7" s="17"/>
      <c r="E7" s="17"/>
      <c r="F7" s="17"/>
      <c r="G7" s="17"/>
      <c r="H7" s="17"/>
      <c r="I7" s="17"/>
      <c r="J7" s="18" t="str">
        <f aca="false">IF(COUNT(E7:I7)&lt;5,"",SUM(E7:I7))</f>
        <v/>
      </c>
      <c r="K7" s="18" t="str">
        <f aca="false">IF(J7="","",IF(M7&lt;설정!$B$3,"",ROUND(AVERAGEIFS($J$2:$J$1001,$B$2:$B$1001,B7,$A$2:$A$1001,"&lt;"&amp;A7,$A$2:$A$1001,"&gt;="&amp;(A7-설정!$B$2)),2)))</f>
        <v/>
      </c>
      <c r="L7" s="18" t="str">
        <f aca="false">IF(K7="","",ROUND(SQRT(MAX(0,(SUMIFS($R$2:$R$1001,$B$2:$B$1001,B7,$A$2:$A$1001,"&lt;"&amp;A7,$A$2:$A$1001,"&gt;="&amp;(A7-설정!$B$2))-M7*AVERAGEIFS($J$2:$J$1001,$B$2:$B$1001,B7,$A$2:$A$1001,"&lt;"&amp;A7,$A$2:$A$1001,"&gt;="&amp;(A7-설정!$B$2))^2)/(M7-1))),2))</f>
        <v/>
      </c>
      <c r="M7" s="18" t="str">
        <f aca="false">IF(J7="","",COUNTIFS($B$2:$B$1001,B7,$A$2:$A$1001,"&lt;"&amp;A7,$A$2:$A$1001,"&gt;="&amp;(A7-설정!$B$2),$J$2:$J$1001,"&gt;=0"))</f>
        <v/>
      </c>
      <c r="N7" s="18" t="str">
        <f aca="false">IF(K7="","",IF(L7=0,"",ROUND((J7-K7)/L7,2)))</f>
        <v/>
      </c>
      <c r="O7" s="19" t="str">
        <f aca="false">IF(J7="","",IF(MIN(F7,G7)&lt;=설정!$B$5,"예",""))</f>
        <v/>
      </c>
      <c r="P7" s="19" t="str">
        <f aca="false">IF(J7="","",IF(M7&lt;설정!$B$3,"baseline 수집 중",IF(N7="","정상",IF(N7&lt;=설정!$B$4,"낮음","정상"))))</f>
        <v/>
      </c>
      <c r="Q7" s="20"/>
      <c r="R7" s="18" t="str">
        <f aca="false">IF(J7="","",J7^2)</f>
        <v/>
      </c>
    </row>
    <row r="8" customFormat="false" ht="15" hidden="false" customHeight="false" outlineLevel="0" collapsed="false">
      <c r="A8" s="16"/>
      <c r="B8" s="17"/>
      <c r="C8" s="17"/>
      <c r="D8" s="17"/>
      <c r="E8" s="17"/>
      <c r="F8" s="17"/>
      <c r="G8" s="17"/>
      <c r="H8" s="17"/>
      <c r="I8" s="17"/>
      <c r="J8" s="18" t="str">
        <f aca="false">IF(COUNT(E8:I8)&lt;5,"",SUM(E8:I8))</f>
        <v/>
      </c>
      <c r="K8" s="18" t="str">
        <f aca="false">IF(J8="","",IF(M8&lt;설정!$B$3,"",ROUND(AVERAGEIFS($J$2:$J$1001,$B$2:$B$1001,B8,$A$2:$A$1001,"&lt;"&amp;A8,$A$2:$A$1001,"&gt;="&amp;(A8-설정!$B$2)),2)))</f>
        <v/>
      </c>
      <c r="L8" s="18" t="str">
        <f aca="false">IF(K8="","",ROUND(SQRT(MAX(0,(SUMIFS($R$2:$R$1001,$B$2:$B$1001,B8,$A$2:$A$1001,"&lt;"&amp;A8,$A$2:$A$1001,"&gt;="&amp;(A8-설정!$B$2))-M8*AVERAGEIFS($J$2:$J$1001,$B$2:$B$1001,B8,$A$2:$A$1001,"&lt;"&amp;A8,$A$2:$A$1001,"&gt;="&amp;(A8-설정!$B$2))^2)/(M8-1))),2))</f>
        <v/>
      </c>
      <c r="M8" s="18" t="str">
        <f aca="false">IF(J8="","",COUNTIFS($B$2:$B$1001,B8,$A$2:$A$1001,"&lt;"&amp;A8,$A$2:$A$1001,"&gt;="&amp;(A8-설정!$B$2),$J$2:$J$1001,"&gt;=0"))</f>
        <v/>
      </c>
      <c r="N8" s="18" t="str">
        <f aca="false">IF(K8="","",IF(L8=0,"",ROUND((J8-K8)/L8,2)))</f>
        <v/>
      </c>
      <c r="O8" s="19" t="str">
        <f aca="false">IF(J8="","",IF(MIN(F8,G8)&lt;=설정!$B$5,"예",""))</f>
        <v/>
      </c>
      <c r="P8" s="19" t="str">
        <f aca="false">IF(J8="","",IF(M8&lt;설정!$B$3,"baseline 수집 중",IF(N8="","정상",IF(N8&lt;=설정!$B$4,"낮음","정상"))))</f>
        <v/>
      </c>
      <c r="Q8" s="20"/>
      <c r="R8" s="18" t="str">
        <f aca="false">IF(J8="","",J8^2)</f>
        <v/>
      </c>
    </row>
    <row r="9" customFormat="false" ht="15" hidden="false" customHeight="false" outlineLevel="0" collapsed="false">
      <c r="A9" s="16"/>
      <c r="B9" s="17"/>
      <c r="C9" s="17"/>
      <c r="D9" s="17"/>
      <c r="E9" s="17"/>
      <c r="F9" s="17"/>
      <c r="G9" s="17"/>
      <c r="H9" s="17"/>
      <c r="I9" s="17"/>
      <c r="J9" s="18" t="str">
        <f aca="false">IF(COUNT(E9:I9)&lt;5,"",SUM(E9:I9))</f>
        <v/>
      </c>
      <c r="K9" s="18" t="str">
        <f aca="false">IF(J9="","",IF(M9&lt;설정!$B$3,"",ROUND(AVERAGEIFS($J$2:$J$1001,$B$2:$B$1001,B9,$A$2:$A$1001,"&lt;"&amp;A9,$A$2:$A$1001,"&gt;="&amp;(A9-설정!$B$2)),2)))</f>
        <v/>
      </c>
      <c r="L9" s="18" t="str">
        <f aca="false">IF(K9="","",ROUND(SQRT(MAX(0,(SUMIFS($R$2:$R$1001,$B$2:$B$1001,B9,$A$2:$A$1001,"&lt;"&amp;A9,$A$2:$A$1001,"&gt;="&amp;(A9-설정!$B$2))-M9*AVERAGEIFS($J$2:$J$1001,$B$2:$B$1001,B9,$A$2:$A$1001,"&lt;"&amp;A9,$A$2:$A$1001,"&gt;="&amp;(A9-설정!$B$2))^2)/(M9-1))),2))</f>
        <v/>
      </c>
      <c r="M9" s="18" t="str">
        <f aca="false">IF(J9="","",COUNTIFS($B$2:$B$1001,B9,$A$2:$A$1001,"&lt;"&amp;A9,$A$2:$A$1001,"&gt;="&amp;(A9-설정!$B$2),$J$2:$J$1001,"&gt;=0"))</f>
        <v/>
      </c>
      <c r="N9" s="18" t="str">
        <f aca="false">IF(K9="","",IF(L9=0,"",ROUND((J9-K9)/L9,2)))</f>
        <v/>
      </c>
      <c r="O9" s="19" t="str">
        <f aca="false">IF(J9="","",IF(MIN(F9,G9)&lt;=설정!$B$5,"예",""))</f>
        <v/>
      </c>
      <c r="P9" s="19" t="str">
        <f aca="false">IF(J9="","",IF(M9&lt;설정!$B$3,"baseline 수집 중",IF(N9="","정상",IF(N9&lt;=설정!$B$4,"낮음","정상"))))</f>
        <v/>
      </c>
      <c r="Q9" s="20"/>
      <c r="R9" s="18" t="str">
        <f aca="false">IF(J9="","",J9^2)</f>
        <v/>
      </c>
    </row>
    <row r="10" customFormat="false" ht="15" hidden="false" customHeight="false" outlineLevel="0" collapsed="false">
      <c r="A10" s="16"/>
      <c r="B10" s="17"/>
      <c r="C10" s="17"/>
      <c r="D10" s="17"/>
      <c r="E10" s="17"/>
      <c r="F10" s="17"/>
      <c r="G10" s="17"/>
      <c r="H10" s="17"/>
      <c r="I10" s="17"/>
      <c r="J10" s="18" t="str">
        <f aca="false">IF(COUNT(E10:I10)&lt;5,"",SUM(E10:I10))</f>
        <v/>
      </c>
      <c r="K10" s="18" t="str">
        <f aca="false">IF(J10="","",IF(M10&lt;설정!$B$3,"",ROUND(AVERAGEIFS($J$2:$J$1001,$B$2:$B$1001,B10,$A$2:$A$1001,"&lt;"&amp;A10,$A$2:$A$1001,"&gt;="&amp;(A10-설정!$B$2)),2)))</f>
        <v/>
      </c>
      <c r="L10" s="18" t="str">
        <f aca="false">IF(K10="","",ROUND(SQRT(MAX(0,(SUMIFS($R$2:$R$1001,$B$2:$B$1001,B10,$A$2:$A$1001,"&lt;"&amp;A10,$A$2:$A$1001,"&gt;="&amp;(A10-설정!$B$2))-M10*AVERAGEIFS($J$2:$J$1001,$B$2:$B$1001,B10,$A$2:$A$1001,"&lt;"&amp;A10,$A$2:$A$1001,"&gt;="&amp;(A10-설정!$B$2))^2)/(M10-1))),2))</f>
        <v/>
      </c>
      <c r="M10" s="18" t="str">
        <f aca="false">IF(J10="","",COUNTIFS($B$2:$B$1001,B10,$A$2:$A$1001,"&lt;"&amp;A10,$A$2:$A$1001,"&gt;="&amp;(A10-설정!$B$2),$J$2:$J$1001,"&gt;=0"))</f>
        <v/>
      </c>
      <c r="N10" s="18" t="str">
        <f aca="false">IF(K10="","",IF(L10=0,"",ROUND((J10-K10)/L10,2)))</f>
        <v/>
      </c>
      <c r="O10" s="19" t="str">
        <f aca="false">IF(J10="","",IF(MIN(F10,G10)&lt;=설정!$B$5,"예",""))</f>
        <v/>
      </c>
      <c r="P10" s="19" t="str">
        <f aca="false">IF(J10="","",IF(M10&lt;설정!$B$3,"baseline 수집 중",IF(N10="","정상",IF(N10&lt;=설정!$B$4,"낮음","정상"))))</f>
        <v/>
      </c>
      <c r="Q10" s="20"/>
      <c r="R10" s="18" t="str">
        <f aca="false">IF(J10="","",J10^2)</f>
        <v/>
      </c>
    </row>
    <row r="11" customFormat="false" ht="15" hidden="false" customHeight="false" outlineLevel="0" collapsed="false">
      <c r="A11" s="16"/>
      <c r="B11" s="17"/>
      <c r="C11" s="17"/>
      <c r="D11" s="17"/>
      <c r="E11" s="17"/>
      <c r="F11" s="17"/>
      <c r="G11" s="17"/>
      <c r="H11" s="17"/>
      <c r="I11" s="17"/>
      <c r="J11" s="18" t="str">
        <f aca="false">IF(COUNT(E11:I11)&lt;5,"",SUM(E11:I11))</f>
        <v/>
      </c>
      <c r="K11" s="18" t="str">
        <f aca="false">IF(J11="","",IF(M11&lt;설정!$B$3,"",ROUND(AVERAGEIFS($J$2:$J$1001,$B$2:$B$1001,B11,$A$2:$A$1001,"&lt;"&amp;A11,$A$2:$A$1001,"&gt;="&amp;(A11-설정!$B$2)),2)))</f>
        <v/>
      </c>
      <c r="L11" s="18" t="str">
        <f aca="false">IF(K11="","",ROUND(SQRT(MAX(0,(SUMIFS($R$2:$R$1001,$B$2:$B$1001,B11,$A$2:$A$1001,"&lt;"&amp;A11,$A$2:$A$1001,"&gt;="&amp;(A11-설정!$B$2))-M11*AVERAGEIFS($J$2:$J$1001,$B$2:$B$1001,B11,$A$2:$A$1001,"&lt;"&amp;A11,$A$2:$A$1001,"&gt;="&amp;(A11-설정!$B$2))^2)/(M11-1))),2))</f>
        <v/>
      </c>
      <c r="M11" s="18" t="str">
        <f aca="false">IF(J11="","",COUNTIFS($B$2:$B$1001,B11,$A$2:$A$1001,"&lt;"&amp;A11,$A$2:$A$1001,"&gt;="&amp;(A11-설정!$B$2),$J$2:$J$1001,"&gt;=0"))</f>
        <v/>
      </c>
      <c r="N11" s="18" t="str">
        <f aca="false">IF(K11="","",IF(L11=0,"",ROUND((J11-K11)/L11,2)))</f>
        <v/>
      </c>
      <c r="O11" s="19" t="str">
        <f aca="false">IF(J11="","",IF(MIN(F11,G11)&lt;=설정!$B$5,"예",""))</f>
        <v/>
      </c>
      <c r="P11" s="19" t="str">
        <f aca="false">IF(J11="","",IF(M11&lt;설정!$B$3,"baseline 수집 중",IF(N11="","정상",IF(N11&lt;=설정!$B$4,"낮음","정상"))))</f>
        <v/>
      </c>
      <c r="Q11" s="20"/>
      <c r="R11" s="18" t="str">
        <f aca="false">IF(J11="","",J11^2)</f>
        <v/>
      </c>
    </row>
    <row r="12" customFormat="false" ht="15" hidden="false" customHeight="false" outlineLevel="0" collapsed="false">
      <c r="A12" s="16"/>
      <c r="B12" s="17"/>
      <c r="C12" s="17"/>
      <c r="D12" s="17"/>
      <c r="E12" s="17"/>
      <c r="F12" s="17"/>
      <c r="G12" s="17"/>
      <c r="H12" s="17"/>
      <c r="I12" s="17"/>
      <c r="J12" s="18" t="str">
        <f aca="false">IF(COUNT(E12:I12)&lt;5,"",SUM(E12:I12))</f>
        <v/>
      </c>
      <c r="K12" s="18" t="str">
        <f aca="false">IF(J12="","",IF(M12&lt;설정!$B$3,"",ROUND(AVERAGEIFS($J$2:$J$1001,$B$2:$B$1001,B12,$A$2:$A$1001,"&lt;"&amp;A12,$A$2:$A$1001,"&gt;="&amp;(A12-설정!$B$2)),2)))</f>
        <v/>
      </c>
      <c r="L12" s="18" t="str">
        <f aca="false">IF(K12="","",ROUND(SQRT(MAX(0,(SUMIFS($R$2:$R$1001,$B$2:$B$1001,B12,$A$2:$A$1001,"&lt;"&amp;A12,$A$2:$A$1001,"&gt;="&amp;(A12-설정!$B$2))-M12*AVERAGEIFS($J$2:$J$1001,$B$2:$B$1001,B12,$A$2:$A$1001,"&lt;"&amp;A12,$A$2:$A$1001,"&gt;="&amp;(A12-설정!$B$2))^2)/(M12-1))),2))</f>
        <v/>
      </c>
      <c r="M12" s="18" t="str">
        <f aca="false">IF(J12="","",COUNTIFS($B$2:$B$1001,B12,$A$2:$A$1001,"&lt;"&amp;A12,$A$2:$A$1001,"&gt;="&amp;(A12-설정!$B$2),$J$2:$J$1001,"&gt;=0"))</f>
        <v/>
      </c>
      <c r="N12" s="18" t="str">
        <f aca="false">IF(K12="","",IF(L12=0,"",ROUND((J12-K12)/L12,2)))</f>
        <v/>
      </c>
      <c r="O12" s="19" t="str">
        <f aca="false">IF(J12="","",IF(MIN(F12,G12)&lt;=설정!$B$5,"예",""))</f>
        <v/>
      </c>
      <c r="P12" s="19" t="str">
        <f aca="false">IF(J12="","",IF(M12&lt;설정!$B$3,"baseline 수집 중",IF(N12="","정상",IF(N12&lt;=설정!$B$4,"낮음","정상"))))</f>
        <v/>
      </c>
      <c r="Q12" s="20"/>
      <c r="R12" s="18" t="str">
        <f aca="false">IF(J12="","",J12^2)</f>
        <v/>
      </c>
    </row>
    <row r="13" customFormat="false" ht="15" hidden="false" customHeight="false" outlineLevel="0" collapsed="false">
      <c r="A13" s="16"/>
      <c r="B13" s="17"/>
      <c r="C13" s="17"/>
      <c r="D13" s="17"/>
      <c r="E13" s="17"/>
      <c r="F13" s="17"/>
      <c r="G13" s="17"/>
      <c r="H13" s="17"/>
      <c r="I13" s="17"/>
      <c r="J13" s="18" t="str">
        <f aca="false">IF(COUNT(E13:I13)&lt;5,"",SUM(E13:I13))</f>
        <v/>
      </c>
      <c r="K13" s="18" t="str">
        <f aca="false">IF(J13="","",IF(M13&lt;설정!$B$3,"",ROUND(AVERAGEIFS($J$2:$J$1001,$B$2:$B$1001,B13,$A$2:$A$1001,"&lt;"&amp;A13,$A$2:$A$1001,"&gt;="&amp;(A13-설정!$B$2)),2)))</f>
        <v/>
      </c>
      <c r="L13" s="18" t="str">
        <f aca="false">IF(K13="","",ROUND(SQRT(MAX(0,(SUMIFS($R$2:$R$1001,$B$2:$B$1001,B13,$A$2:$A$1001,"&lt;"&amp;A13,$A$2:$A$1001,"&gt;="&amp;(A13-설정!$B$2))-M13*AVERAGEIFS($J$2:$J$1001,$B$2:$B$1001,B13,$A$2:$A$1001,"&lt;"&amp;A13,$A$2:$A$1001,"&gt;="&amp;(A13-설정!$B$2))^2)/(M13-1))),2))</f>
        <v/>
      </c>
      <c r="M13" s="18" t="str">
        <f aca="false">IF(J13="","",COUNTIFS($B$2:$B$1001,B13,$A$2:$A$1001,"&lt;"&amp;A13,$A$2:$A$1001,"&gt;="&amp;(A13-설정!$B$2),$J$2:$J$1001,"&gt;=0"))</f>
        <v/>
      </c>
      <c r="N13" s="18" t="str">
        <f aca="false">IF(K13="","",IF(L13=0,"",ROUND((J13-K13)/L13,2)))</f>
        <v/>
      </c>
      <c r="O13" s="19" t="str">
        <f aca="false">IF(J13="","",IF(MIN(F13,G13)&lt;=설정!$B$5,"예",""))</f>
        <v/>
      </c>
      <c r="P13" s="19" t="str">
        <f aca="false">IF(J13="","",IF(M13&lt;설정!$B$3,"baseline 수집 중",IF(N13="","정상",IF(N13&lt;=설정!$B$4,"낮음","정상"))))</f>
        <v/>
      </c>
      <c r="Q13" s="20"/>
      <c r="R13" s="18" t="str">
        <f aca="false">IF(J13="","",J13^2)</f>
        <v/>
      </c>
    </row>
    <row r="14" customFormat="false" ht="15" hidden="false" customHeight="false" outlineLevel="0" collapsed="false">
      <c r="A14" s="16"/>
      <c r="B14" s="17"/>
      <c r="C14" s="17"/>
      <c r="D14" s="17"/>
      <c r="E14" s="17"/>
      <c r="F14" s="17"/>
      <c r="G14" s="17"/>
      <c r="H14" s="17"/>
      <c r="I14" s="17"/>
      <c r="J14" s="18" t="str">
        <f aca="false">IF(COUNT(E14:I14)&lt;5,"",SUM(E14:I14))</f>
        <v/>
      </c>
      <c r="K14" s="18" t="str">
        <f aca="false">IF(J14="","",IF(M14&lt;설정!$B$3,"",ROUND(AVERAGEIFS($J$2:$J$1001,$B$2:$B$1001,B14,$A$2:$A$1001,"&lt;"&amp;A14,$A$2:$A$1001,"&gt;="&amp;(A14-설정!$B$2)),2)))</f>
        <v/>
      </c>
      <c r="L14" s="18" t="str">
        <f aca="false">IF(K14="","",ROUND(SQRT(MAX(0,(SUMIFS($R$2:$R$1001,$B$2:$B$1001,B14,$A$2:$A$1001,"&lt;"&amp;A14,$A$2:$A$1001,"&gt;="&amp;(A14-설정!$B$2))-M14*AVERAGEIFS($J$2:$J$1001,$B$2:$B$1001,B14,$A$2:$A$1001,"&lt;"&amp;A14,$A$2:$A$1001,"&gt;="&amp;(A14-설정!$B$2))^2)/(M14-1))),2))</f>
        <v/>
      </c>
      <c r="M14" s="18" t="str">
        <f aca="false">IF(J14="","",COUNTIFS($B$2:$B$1001,B14,$A$2:$A$1001,"&lt;"&amp;A14,$A$2:$A$1001,"&gt;="&amp;(A14-설정!$B$2),$J$2:$J$1001,"&gt;=0"))</f>
        <v/>
      </c>
      <c r="N14" s="18" t="str">
        <f aca="false">IF(K14="","",IF(L14=0,"",ROUND((J14-K14)/L14,2)))</f>
        <v/>
      </c>
      <c r="O14" s="19" t="str">
        <f aca="false">IF(J14="","",IF(MIN(F14,G14)&lt;=설정!$B$5,"예",""))</f>
        <v/>
      </c>
      <c r="P14" s="19" t="str">
        <f aca="false">IF(J14="","",IF(M14&lt;설정!$B$3,"baseline 수집 중",IF(N14="","정상",IF(N14&lt;=설정!$B$4,"낮음","정상"))))</f>
        <v/>
      </c>
      <c r="Q14" s="20"/>
      <c r="R14" s="18" t="str">
        <f aca="false">IF(J14="","",J14^2)</f>
        <v/>
      </c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7"/>
      <c r="G15" s="17"/>
      <c r="H15" s="17"/>
      <c r="I15" s="17"/>
      <c r="J15" s="18" t="str">
        <f aca="false">IF(COUNT(E15:I15)&lt;5,"",SUM(E15:I15))</f>
        <v/>
      </c>
      <c r="K15" s="18" t="str">
        <f aca="false">IF(J15="","",IF(M15&lt;설정!$B$3,"",ROUND(AVERAGEIFS($J$2:$J$1001,$B$2:$B$1001,B15,$A$2:$A$1001,"&lt;"&amp;A15,$A$2:$A$1001,"&gt;="&amp;(A15-설정!$B$2)),2)))</f>
        <v/>
      </c>
      <c r="L15" s="18" t="str">
        <f aca="false">IF(K15="","",ROUND(SQRT(MAX(0,(SUMIFS($R$2:$R$1001,$B$2:$B$1001,B15,$A$2:$A$1001,"&lt;"&amp;A15,$A$2:$A$1001,"&gt;="&amp;(A15-설정!$B$2))-M15*AVERAGEIFS($J$2:$J$1001,$B$2:$B$1001,B15,$A$2:$A$1001,"&lt;"&amp;A15,$A$2:$A$1001,"&gt;="&amp;(A15-설정!$B$2))^2)/(M15-1))),2))</f>
        <v/>
      </c>
      <c r="M15" s="18" t="str">
        <f aca="false">IF(J15="","",COUNTIFS($B$2:$B$1001,B15,$A$2:$A$1001,"&lt;"&amp;A15,$A$2:$A$1001,"&gt;="&amp;(A15-설정!$B$2),$J$2:$J$1001,"&gt;=0"))</f>
        <v/>
      </c>
      <c r="N15" s="18" t="str">
        <f aca="false">IF(K15="","",IF(L15=0,"",ROUND((J15-K15)/L15,2)))</f>
        <v/>
      </c>
      <c r="O15" s="19" t="str">
        <f aca="false">IF(J15="","",IF(MIN(F15,G15)&lt;=설정!$B$5,"예",""))</f>
        <v/>
      </c>
      <c r="P15" s="19" t="str">
        <f aca="false">IF(J15="","",IF(M15&lt;설정!$B$3,"baseline 수집 중",IF(N15="","정상",IF(N15&lt;=설정!$B$4,"낮음","정상"))))</f>
        <v/>
      </c>
      <c r="Q15" s="20"/>
      <c r="R15" s="18" t="str">
        <f aca="false">IF(J15="","",J15^2)</f>
        <v/>
      </c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7"/>
      <c r="G16" s="17"/>
      <c r="H16" s="17"/>
      <c r="I16" s="17"/>
      <c r="J16" s="18" t="str">
        <f aca="false">IF(COUNT(E16:I16)&lt;5,"",SUM(E16:I16))</f>
        <v/>
      </c>
      <c r="K16" s="18" t="str">
        <f aca="false">IF(J16="","",IF(M16&lt;설정!$B$3,"",ROUND(AVERAGEIFS($J$2:$J$1001,$B$2:$B$1001,B16,$A$2:$A$1001,"&lt;"&amp;A16,$A$2:$A$1001,"&gt;="&amp;(A16-설정!$B$2)),2)))</f>
        <v/>
      </c>
      <c r="L16" s="18" t="str">
        <f aca="false">IF(K16="","",ROUND(SQRT(MAX(0,(SUMIFS($R$2:$R$1001,$B$2:$B$1001,B16,$A$2:$A$1001,"&lt;"&amp;A16,$A$2:$A$1001,"&gt;="&amp;(A16-설정!$B$2))-M16*AVERAGEIFS($J$2:$J$1001,$B$2:$B$1001,B16,$A$2:$A$1001,"&lt;"&amp;A16,$A$2:$A$1001,"&gt;="&amp;(A16-설정!$B$2))^2)/(M16-1))),2))</f>
        <v/>
      </c>
      <c r="M16" s="18" t="str">
        <f aca="false">IF(J16="","",COUNTIFS($B$2:$B$1001,B16,$A$2:$A$1001,"&lt;"&amp;A16,$A$2:$A$1001,"&gt;="&amp;(A16-설정!$B$2),$J$2:$J$1001,"&gt;=0"))</f>
        <v/>
      </c>
      <c r="N16" s="18" t="str">
        <f aca="false">IF(K16="","",IF(L16=0,"",ROUND((J16-K16)/L16,2)))</f>
        <v/>
      </c>
      <c r="O16" s="19" t="str">
        <f aca="false">IF(J16="","",IF(MIN(F16,G16)&lt;=설정!$B$5,"예",""))</f>
        <v/>
      </c>
      <c r="P16" s="19" t="str">
        <f aca="false">IF(J16="","",IF(M16&lt;설정!$B$3,"baseline 수집 중",IF(N16="","정상",IF(N16&lt;=설정!$B$4,"낮음","정상"))))</f>
        <v/>
      </c>
      <c r="Q16" s="20"/>
      <c r="R16" s="18" t="str">
        <f aca="false">IF(J16="","",J16^2)</f>
        <v/>
      </c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7"/>
      <c r="H17" s="17"/>
      <c r="I17" s="17"/>
      <c r="J17" s="18" t="str">
        <f aca="false">IF(COUNT(E17:I17)&lt;5,"",SUM(E17:I17))</f>
        <v/>
      </c>
      <c r="K17" s="18" t="str">
        <f aca="false">IF(J17="","",IF(M17&lt;설정!$B$3,"",ROUND(AVERAGEIFS($J$2:$J$1001,$B$2:$B$1001,B17,$A$2:$A$1001,"&lt;"&amp;A17,$A$2:$A$1001,"&gt;="&amp;(A17-설정!$B$2)),2)))</f>
        <v/>
      </c>
      <c r="L17" s="18" t="str">
        <f aca="false">IF(K17="","",ROUND(SQRT(MAX(0,(SUMIFS($R$2:$R$1001,$B$2:$B$1001,B17,$A$2:$A$1001,"&lt;"&amp;A17,$A$2:$A$1001,"&gt;="&amp;(A17-설정!$B$2))-M17*AVERAGEIFS($J$2:$J$1001,$B$2:$B$1001,B17,$A$2:$A$1001,"&lt;"&amp;A17,$A$2:$A$1001,"&gt;="&amp;(A17-설정!$B$2))^2)/(M17-1))),2))</f>
        <v/>
      </c>
      <c r="M17" s="18" t="str">
        <f aca="false">IF(J17="","",COUNTIFS($B$2:$B$1001,B17,$A$2:$A$1001,"&lt;"&amp;A17,$A$2:$A$1001,"&gt;="&amp;(A17-설정!$B$2),$J$2:$J$1001,"&gt;=0"))</f>
        <v/>
      </c>
      <c r="N17" s="18" t="str">
        <f aca="false">IF(K17="","",IF(L17=0,"",ROUND((J17-K17)/L17,2)))</f>
        <v/>
      </c>
      <c r="O17" s="19" t="str">
        <f aca="false">IF(J17="","",IF(MIN(F17,G17)&lt;=설정!$B$5,"예",""))</f>
        <v/>
      </c>
      <c r="P17" s="19" t="str">
        <f aca="false">IF(J17="","",IF(M17&lt;설정!$B$3,"baseline 수집 중",IF(N17="","정상",IF(N17&lt;=설정!$B$4,"낮음","정상"))))</f>
        <v/>
      </c>
      <c r="Q17" s="20"/>
      <c r="R17" s="18" t="str">
        <f aca="false">IF(J17="","",J17^2)</f>
        <v/>
      </c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  <c r="G18" s="17"/>
      <c r="H18" s="17"/>
      <c r="I18" s="17"/>
      <c r="J18" s="18" t="str">
        <f aca="false">IF(COUNT(E18:I18)&lt;5,"",SUM(E18:I18))</f>
        <v/>
      </c>
      <c r="K18" s="18" t="str">
        <f aca="false">IF(J18="","",IF(M18&lt;설정!$B$3,"",ROUND(AVERAGEIFS($J$2:$J$1001,$B$2:$B$1001,B18,$A$2:$A$1001,"&lt;"&amp;A18,$A$2:$A$1001,"&gt;="&amp;(A18-설정!$B$2)),2)))</f>
        <v/>
      </c>
      <c r="L18" s="18" t="str">
        <f aca="false">IF(K18="","",ROUND(SQRT(MAX(0,(SUMIFS($R$2:$R$1001,$B$2:$B$1001,B18,$A$2:$A$1001,"&lt;"&amp;A18,$A$2:$A$1001,"&gt;="&amp;(A18-설정!$B$2))-M18*AVERAGEIFS($J$2:$J$1001,$B$2:$B$1001,B18,$A$2:$A$1001,"&lt;"&amp;A18,$A$2:$A$1001,"&gt;="&amp;(A18-설정!$B$2))^2)/(M18-1))),2))</f>
        <v/>
      </c>
      <c r="M18" s="18" t="str">
        <f aca="false">IF(J18="","",COUNTIFS($B$2:$B$1001,B18,$A$2:$A$1001,"&lt;"&amp;A18,$A$2:$A$1001,"&gt;="&amp;(A18-설정!$B$2),$J$2:$J$1001,"&gt;=0"))</f>
        <v/>
      </c>
      <c r="N18" s="18" t="str">
        <f aca="false">IF(K18="","",IF(L18=0,"",ROUND((J18-K18)/L18,2)))</f>
        <v/>
      </c>
      <c r="O18" s="19" t="str">
        <f aca="false">IF(J18="","",IF(MIN(F18,G18)&lt;=설정!$B$5,"예",""))</f>
        <v/>
      </c>
      <c r="P18" s="19" t="str">
        <f aca="false">IF(J18="","",IF(M18&lt;설정!$B$3,"baseline 수집 중",IF(N18="","정상",IF(N18&lt;=설정!$B$4,"낮음","정상"))))</f>
        <v/>
      </c>
      <c r="Q18" s="20"/>
      <c r="R18" s="18" t="str">
        <f aca="false">IF(J18="","",J18^2)</f>
        <v/>
      </c>
    </row>
    <row r="19" customFormat="false" ht="15" hidden="false" customHeight="false" outlineLevel="0" collapsed="false">
      <c r="A19" s="16"/>
      <c r="B19" s="17"/>
      <c r="C19" s="17"/>
      <c r="D19" s="17"/>
      <c r="E19" s="17"/>
      <c r="F19" s="17"/>
      <c r="G19" s="17"/>
      <c r="H19" s="17"/>
      <c r="I19" s="17"/>
      <c r="J19" s="18" t="str">
        <f aca="false">IF(COUNT(E19:I19)&lt;5,"",SUM(E19:I19))</f>
        <v/>
      </c>
      <c r="K19" s="18" t="str">
        <f aca="false">IF(J19="","",IF(M19&lt;설정!$B$3,"",ROUND(AVERAGEIFS($J$2:$J$1001,$B$2:$B$1001,B19,$A$2:$A$1001,"&lt;"&amp;A19,$A$2:$A$1001,"&gt;="&amp;(A19-설정!$B$2)),2)))</f>
        <v/>
      </c>
      <c r="L19" s="18" t="str">
        <f aca="false">IF(K19="","",ROUND(SQRT(MAX(0,(SUMIFS($R$2:$R$1001,$B$2:$B$1001,B19,$A$2:$A$1001,"&lt;"&amp;A19,$A$2:$A$1001,"&gt;="&amp;(A19-설정!$B$2))-M19*AVERAGEIFS($J$2:$J$1001,$B$2:$B$1001,B19,$A$2:$A$1001,"&lt;"&amp;A19,$A$2:$A$1001,"&gt;="&amp;(A19-설정!$B$2))^2)/(M19-1))),2))</f>
        <v/>
      </c>
      <c r="M19" s="18" t="str">
        <f aca="false">IF(J19="","",COUNTIFS($B$2:$B$1001,B19,$A$2:$A$1001,"&lt;"&amp;A19,$A$2:$A$1001,"&gt;="&amp;(A19-설정!$B$2),$J$2:$J$1001,"&gt;=0"))</f>
        <v/>
      </c>
      <c r="N19" s="18" t="str">
        <f aca="false">IF(K19="","",IF(L19=0,"",ROUND((J19-K19)/L19,2)))</f>
        <v/>
      </c>
      <c r="O19" s="19" t="str">
        <f aca="false">IF(J19="","",IF(MIN(F19,G19)&lt;=설정!$B$5,"예",""))</f>
        <v/>
      </c>
      <c r="P19" s="19" t="str">
        <f aca="false">IF(J19="","",IF(M19&lt;설정!$B$3,"baseline 수집 중",IF(N19="","정상",IF(N19&lt;=설정!$B$4,"낮음","정상"))))</f>
        <v/>
      </c>
      <c r="Q19" s="20"/>
      <c r="R19" s="18" t="str">
        <f aca="false">IF(J19="","",J19^2)</f>
        <v/>
      </c>
    </row>
    <row r="20" customFormat="false" ht="15" hidden="false" customHeight="false" outlineLevel="0" collapsed="false">
      <c r="A20" s="16"/>
      <c r="B20" s="17"/>
      <c r="C20" s="17"/>
      <c r="D20" s="17"/>
      <c r="E20" s="17"/>
      <c r="F20" s="17"/>
      <c r="G20" s="17"/>
      <c r="H20" s="17"/>
      <c r="I20" s="17"/>
      <c r="J20" s="18" t="str">
        <f aca="false">IF(COUNT(E20:I20)&lt;5,"",SUM(E20:I20))</f>
        <v/>
      </c>
      <c r="K20" s="18" t="str">
        <f aca="false">IF(J20="","",IF(M20&lt;설정!$B$3,"",ROUND(AVERAGEIFS($J$2:$J$1001,$B$2:$B$1001,B20,$A$2:$A$1001,"&lt;"&amp;A20,$A$2:$A$1001,"&gt;="&amp;(A20-설정!$B$2)),2)))</f>
        <v/>
      </c>
      <c r="L20" s="18" t="str">
        <f aca="false">IF(K20="","",ROUND(SQRT(MAX(0,(SUMIFS($R$2:$R$1001,$B$2:$B$1001,B20,$A$2:$A$1001,"&lt;"&amp;A20,$A$2:$A$1001,"&gt;="&amp;(A20-설정!$B$2))-M20*AVERAGEIFS($J$2:$J$1001,$B$2:$B$1001,B20,$A$2:$A$1001,"&lt;"&amp;A20,$A$2:$A$1001,"&gt;="&amp;(A20-설정!$B$2))^2)/(M20-1))),2))</f>
        <v/>
      </c>
      <c r="M20" s="18" t="str">
        <f aca="false">IF(J20="","",COUNTIFS($B$2:$B$1001,B20,$A$2:$A$1001,"&lt;"&amp;A20,$A$2:$A$1001,"&gt;="&amp;(A20-설정!$B$2),$J$2:$J$1001,"&gt;=0"))</f>
        <v/>
      </c>
      <c r="N20" s="18" t="str">
        <f aca="false">IF(K20="","",IF(L20=0,"",ROUND((J20-K20)/L20,2)))</f>
        <v/>
      </c>
      <c r="O20" s="19" t="str">
        <f aca="false">IF(J20="","",IF(MIN(F20,G20)&lt;=설정!$B$5,"예",""))</f>
        <v/>
      </c>
      <c r="P20" s="19" t="str">
        <f aca="false">IF(J20="","",IF(M20&lt;설정!$B$3,"baseline 수집 중",IF(N20="","정상",IF(N20&lt;=설정!$B$4,"낮음","정상"))))</f>
        <v/>
      </c>
      <c r="Q20" s="20"/>
      <c r="R20" s="18" t="str">
        <f aca="false">IF(J20="","",J20^2)</f>
        <v/>
      </c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7"/>
      <c r="G21" s="17"/>
      <c r="H21" s="17"/>
      <c r="I21" s="17"/>
      <c r="J21" s="18" t="str">
        <f aca="false">IF(COUNT(E21:I21)&lt;5,"",SUM(E21:I21))</f>
        <v/>
      </c>
      <c r="K21" s="18" t="str">
        <f aca="false">IF(J21="","",IF(M21&lt;설정!$B$3,"",ROUND(AVERAGEIFS($J$2:$J$1001,$B$2:$B$1001,B21,$A$2:$A$1001,"&lt;"&amp;A21,$A$2:$A$1001,"&gt;="&amp;(A21-설정!$B$2)),2)))</f>
        <v/>
      </c>
      <c r="L21" s="18" t="str">
        <f aca="false">IF(K21="","",ROUND(SQRT(MAX(0,(SUMIFS($R$2:$R$1001,$B$2:$B$1001,B21,$A$2:$A$1001,"&lt;"&amp;A21,$A$2:$A$1001,"&gt;="&amp;(A21-설정!$B$2))-M21*AVERAGEIFS($J$2:$J$1001,$B$2:$B$1001,B21,$A$2:$A$1001,"&lt;"&amp;A21,$A$2:$A$1001,"&gt;="&amp;(A21-설정!$B$2))^2)/(M21-1))),2))</f>
        <v/>
      </c>
      <c r="M21" s="18" t="str">
        <f aca="false">IF(J21="","",COUNTIFS($B$2:$B$1001,B21,$A$2:$A$1001,"&lt;"&amp;A21,$A$2:$A$1001,"&gt;="&amp;(A21-설정!$B$2),$J$2:$J$1001,"&gt;=0"))</f>
        <v/>
      </c>
      <c r="N21" s="18" t="str">
        <f aca="false">IF(K21="","",IF(L21=0,"",ROUND((J21-K21)/L21,2)))</f>
        <v/>
      </c>
      <c r="O21" s="19" t="str">
        <f aca="false">IF(J21="","",IF(MIN(F21,G21)&lt;=설정!$B$5,"예",""))</f>
        <v/>
      </c>
      <c r="P21" s="19" t="str">
        <f aca="false">IF(J21="","",IF(M21&lt;설정!$B$3,"baseline 수집 중",IF(N21="","정상",IF(N21&lt;=설정!$B$4,"낮음","정상"))))</f>
        <v/>
      </c>
      <c r="Q21" s="20"/>
      <c r="R21" s="18" t="str">
        <f aca="false">IF(J21="","",J21^2)</f>
        <v/>
      </c>
    </row>
    <row r="22" customFormat="false" ht="15" hidden="false" customHeight="false" outlineLevel="0" collapsed="false">
      <c r="A22" s="16"/>
      <c r="B22" s="17"/>
      <c r="C22" s="17"/>
      <c r="D22" s="17"/>
      <c r="E22" s="17"/>
      <c r="F22" s="17"/>
      <c r="G22" s="17"/>
      <c r="H22" s="17"/>
      <c r="I22" s="17"/>
      <c r="J22" s="18" t="str">
        <f aca="false">IF(COUNT(E22:I22)&lt;5,"",SUM(E22:I22))</f>
        <v/>
      </c>
      <c r="K22" s="18" t="str">
        <f aca="false">IF(J22="","",IF(M22&lt;설정!$B$3,"",ROUND(AVERAGEIFS($J$2:$J$1001,$B$2:$B$1001,B22,$A$2:$A$1001,"&lt;"&amp;A22,$A$2:$A$1001,"&gt;="&amp;(A22-설정!$B$2)),2)))</f>
        <v/>
      </c>
      <c r="L22" s="18" t="str">
        <f aca="false">IF(K22="","",ROUND(SQRT(MAX(0,(SUMIFS($R$2:$R$1001,$B$2:$B$1001,B22,$A$2:$A$1001,"&lt;"&amp;A22,$A$2:$A$1001,"&gt;="&amp;(A22-설정!$B$2))-M22*AVERAGEIFS($J$2:$J$1001,$B$2:$B$1001,B22,$A$2:$A$1001,"&lt;"&amp;A22,$A$2:$A$1001,"&gt;="&amp;(A22-설정!$B$2))^2)/(M22-1))),2))</f>
        <v/>
      </c>
      <c r="M22" s="18" t="str">
        <f aca="false">IF(J22="","",COUNTIFS($B$2:$B$1001,B22,$A$2:$A$1001,"&lt;"&amp;A22,$A$2:$A$1001,"&gt;="&amp;(A22-설정!$B$2),$J$2:$J$1001,"&gt;=0"))</f>
        <v/>
      </c>
      <c r="N22" s="18" t="str">
        <f aca="false">IF(K22="","",IF(L22=0,"",ROUND((J22-K22)/L22,2)))</f>
        <v/>
      </c>
      <c r="O22" s="19" t="str">
        <f aca="false">IF(J22="","",IF(MIN(F22,G22)&lt;=설정!$B$5,"예",""))</f>
        <v/>
      </c>
      <c r="P22" s="19" t="str">
        <f aca="false">IF(J22="","",IF(M22&lt;설정!$B$3,"baseline 수집 중",IF(N22="","정상",IF(N22&lt;=설정!$B$4,"낮음","정상"))))</f>
        <v/>
      </c>
      <c r="Q22" s="20"/>
      <c r="R22" s="18" t="str">
        <f aca="false">IF(J22="","",J22^2)</f>
        <v/>
      </c>
    </row>
    <row r="23" customFormat="false" ht="15" hidden="false" customHeight="false" outlineLevel="0" collapsed="false">
      <c r="A23" s="16"/>
      <c r="B23" s="17"/>
      <c r="C23" s="17"/>
      <c r="D23" s="17"/>
      <c r="E23" s="17"/>
      <c r="F23" s="17"/>
      <c r="G23" s="17"/>
      <c r="H23" s="17"/>
      <c r="I23" s="17"/>
      <c r="J23" s="18" t="str">
        <f aca="false">IF(COUNT(E23:I23)&lt;5,"",SUM(E23:I23))</f>
        <v/>
      </c>
      <c r="K23" s="18" t="str">
        <f aca="false">IF(J23="","",IF(M23&lt;설정!$B$3,"",ROUND(AVERAGEIFS($J$2:$J$1001,$B$2:$B$1001,B23,$A$2:$A$1001,"&lt;"&amp;A23,$A$2:$A$1001,"&gt;="&amp;(A23-설정!$B$2)),2)))</f>
        <v/>
      </c>
      <c r="L23" s="18" t="str">
        <f aca="false">IF(K23="","",ROUND(SQRT(MAX(0,(SUMIFS($R$2:$R$1001,$B$2:$B$1001,B23,$A$2:$A$1001,"&lt;"&amp;A23,$A$2:$A$1001,"&gt;="&amp;(A23-설정!$B$2))-M23*AVERAGEIFS($J$2:$J$1001,$B$2:$B$1001,B23,$A$2:$A$1001,"&lt;"&amp;A23,$A$2:$A$1001,"&gt;="&amp;(A23-설정!$B$2))^2)/(M23-1))),2))</f>
        <v/>
      </c>
      <c r="M23" s="18" t="str">
        <f aca="false">IF(J23="","",COUNTIFS($B$2:$B$1001,B23,$A$2:$A$1001,"&lt;"&amp;A23,$A$2:$A$1001,"&gt;="&amp;(A23-설정!$B$2),$J$2:$J$1001,"&gt;=0"))</f>
        <v/>
      </c>
      <c r="N23" s="18" t="str">
        <f aca="false">IF(K23="","",IF(L23=0,"",ROUND((J23-K23)/L23,2)))</f>
        <v/>
      </c>
      <c r="O23" s="19" t="str">
        <f aca="false">IF(J23="","",IF(MIN(F23,G23)&lt;=설정!$B$5,"예",""))</f>
        <v/>
      </c>
      <c r="P23" s="19" t="str">
        <f aca="false">IF(J23="","",IF(M23&lt;설정!$B$3,"baseline 수집 중",IF(N23="","정상",IF(N23&lt;=설정!$B$4,"낮음","정상"))))</f>
        <v/>
      </c>
      <c r="Q23" s="20"/>
      <c r="R23" s="18" t="str">
        <f aca="false">IF(J23="","",J23^2)</f>
        <v/>
      </c>
    </row>
    <row r="24" customFormat="false" ht="15" hidden="false" customHeight="false" outlineLevel="0" collapsed="false">
      <c r="A24" s="16"/>
      <c r="B24" s="17"/>
      <c r="C24" s="17"/>
      <c r="D24" s="17"/>
      <c r="E24" s="17"/>
      <c r="F24" s="17"/>
      <c r="G24" s="17"/>
      <c r="H24" s="17"/>
      <c r="I24" s="17"/>
      <c r="J24" s="18" t="str">
        <f aca="false">IF(COUNT(E24:I24)&lt;5,"",SUM(E24:I24))</f>
        <v/>
      </c>
      <c r="K24" s="18" t="str">
        <f aca="false">IF(J24="","",IF(M24&lt;설정!$B$3,"",ROUND(AVERAGEIFS($J$2:$J$1001,$B$2:$B$1001,B24,$A$2:$A$1001,"&lt;"&amp;A24,$A$2:$A$1001,"&gt;="&amp;(A24-설정!$B$2)),2)))</f>
        <v/>
      </c>
      <c r="L24" s="18" t="str">
        <f aca="false">IF(K24="","",ROUND(SQRT(MAX(0,(SUMIFS($R$2:$R$1001,$B$2:$B$1001,B24,$A$2:$A$1001,"&lt;"&amp;A24,$A$2:$A$1001,"&gt;="&amp;(A24-설정!$B$2))-M24*AVERAGEIFS($J$2:$J$1001,$B$2:$B$1001,B24,$A$2:$A$1001,"&lt;"&amp;A24,$A$2:$A$1001,"&gt;="&amp;(A24-설정!$B$2))^2)/(M24-1))),2))</f>
        <v/>
      </c>
      <c r="M24" s="18" t="str">
        <f aca="false">IF(J24="","",COUNTIFS($B$2:$B$1001,B24,$A$2:$A$1001,"&lt;"&amp;A24,$A$2:$A$1001,"&gt;="&amp;(A24-설정!$B$2),$J$2:$J$1001,"&gt;=0"))</f>
        <v/>
      </c>
      <c r="N24" s="18" t="str">
        <f aca="false">IF(K24="","",IF(L24=0,"",ROUND((J24-K24)/L24,2)))</f>
        <v/>
      </c>
      <c r="O24" s="19" t="str">
        <f aca="false">IF(J24="","",IF(MIN(F24,G24)&lt;=설정!$B$5,"예",""))</f>
        <v/>
      </c>
      <c r="P24" s="19" t="str">
        <f aca="false">IF(J24="","",IF(M24&lt;설정!$B$3,"baseline 수집 중",IF(N24="","정상",IF(N24&lt;=설정!$B$4,"낮음","정상"))))</f>
        <v/>
      </c>
      <c r="Q24" s="20"/>
      <c r="R24" s="18" t="str">
        <f aca="false">IF(J24="","",J24^2)</f>
        <v/>
      </c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  <c r="G25" s="17"/>
      <c r="H25" s="17"/>
      <c r="I25" s="17"/>
      <c r="J25" s="18" t="str">
        <f aca="false">IF(COUNT(E25:I25)&lt;5,"",SUM(E25:I25))</f>
        <v/>
      </c>
      <c r="K25" s="18" t="str">
        <f aca="false">IF(J25="","",IF(M25&lt;설정!$B$3,"",ROUND(AVERAGEIFS($J$2:$J$1001,$B$2:$B$1001,B25,$A$2:$A$1001,"&lt;"&amp;A25,$A$2:$A$1001,"&gt;="&amp;(A25-설정!$B$2)),2)))</f>
        <v/>
      </c>
      <c r="L25" s="18" t="str">
        <f aca="false">IF(K25="","",ROUND(SQRT(MAX(0,(SUMIFS($R$2:$R$1001,$B$2:$B$1001,B25,$A$2:$A$1001,"&lt;"&amp;A25,$A$2:$A$1001,"&gt;="&amp;(A25-설정!$B$2))-M25*AVERAGEIFS($J$2:$J$1001,$B$2:$B$1001,B25,$A$2:$A$1001,"&lt;"&amp;A25,$A$2:$A$1001,"&gt;="&amp;(A25-설정!$B$2))^2)/(M25-1))),2))</f>
        <v/>
      </c>
      <c r="M25" s="18" t="str">
        <f aca="false">IF(J25="","",COUNTIFS($B$2:$B$1001,B25,$A$2:$A$1001,"&lt;"&amp;A25,$A$2:$A$1001,"&gt;="&amp;(A25-설정!$B$2),$J$2:$J$1001,"&gt;=0"))</f>
        <v/>
      </c>
      <c r="N25" s="18" t="str">
        <f aca="false">IF(K25="","",IF(L25=0,"",ROUND((J25-K25)/L25,2)))</f>
        <v/>
      </c>
      <c r="O25" s="19" t="str">
        <f aca="false">IF(J25="","",IF(MIN(F25,G25)&lt;=설정!$B$5,"예",""))</f>
        <v/>
      </c>
      <c r="P25" s="19" t="str">
        <f aca="false">IF(J25="","",IF(M25&lt;설정!$B$3,"baseline 수집 중",IF(N25="","정상",IF(N25&lt;=설정!$B$4,"낮음","정상"))))</f>
        <v/>
      </c>
      <c r="Q25" s="20"/>
      <c r="R25" s="18" t="str">
        <f aca="false">IF(J25="","",J25^2)</f>
        <v/>
      </c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7"/>
      <c r="G26" s="17"/>
      <c r="H26" s="17"/>
      <c r="I26" s="17"/>
      <c r="J26" s="18" t="str">
        <f aca="false">IF(COUNT(E26:I26)&lt;5,"",SUM(E26:I26))</f>
        <v/>
      </c>
      <c r="K26" s="18" t="str">
        <f aca="false">IF(J26="","",IF(M26&lt;설정!$B$3,"",ROUND(AVERAGEIFS($J$2:$J$1001,$B$2:$B$1001,B26,$A$2:$A$1001,"&lt;"&amp;A26,$A$2:$A$1001,"&gt;="&amp;(A26-설정!$B$2)),2)))</f>
        <v/>
      </c>
      <c r="L26" s="18" t="str">
        <f aca="false">IF(K26="","",ROUND(SQRT(MAX(0,(SUMIFS($R$2:$R$1001,$B$2:$B$1001,B26,$A$2:$A$1001,"&lt;"&amp;A26,$A$2:$A$1001,"&gt;="&amp;(A26-설정!$B$2))-M26*AVERAGEIFS($J$2:$J$1001,$B$2:$B$1001,B26,$A$2:$A$1001,"&lt;"&amp;A26,$A$2:$A$1001,"&gt;="&amp;(A26-설정!$B$2))^2)/(M26-1))),2))</f>
        <v/>
      </c>
      <c r="M26" s="18" t="str">
        <f aca="false">IF(J26="","",COUNTIFS($B$2:$B$1001,B26,$A$2:$A$1001,"&lt;"&amp;A26,$A$2:$A$1001,"&gt;="&amp;(A26-설정!$B$2),$J$2:$J$1001,"&gt;=0"))</f>
        <v/>
      </c>
      <c r="N26" s="18" t="str">
        <f aca="false">IF(K26="","",IF(L26=0,"",ROUND((J26-K26)/L26,2)))</f>
        <v/>
      </c>
      <c r="O26" s="19" t="str">
        <f aca="false">IF(J26="","",IF(MIN(F26,G26)&lt;=설정!$B$5,"예",""))</f>
        <v/>
      </c>
      <c r="P26" s="19" t="str">
        <f aca="false">IF(J26="","",IF(M26&lt;설정!$B$3,"baseline 수집 중",IF(N26="","정상",IF(N26&lt;=설정!$B$4,"낮음","정상"))))</f>
        <v/>
      </c>
      <c r="Q26" s="20"/>
      <c r="R26" s="18" t="str">
        <f aca="false">IF(J26="","",J26^2)</f>
        <v/>
      </c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7"/>
      <c r="H27" s="17"/>
      <c r="I27" s="17"/>
      <c r="J27" s="18" t="str">
        <f aca="false">IF(COUNT(E27:I27)&lt;5,"",SUM(E27:I27))</f>
        <v/>
      </c>
      <c r="K27" s="18" t="str">
        <f aca="false">IF(J27="","",IF(M27&lt;설정!$B$3,"",ROUND(AVERAGEIFS($J$2:$J$1001,$B$2:$B$1001,B27,$A$2:$A$1001,"&lt;"&amp;A27,$A$2:$A$1001,"&gt;="&amp;(A27-설정!$B$2)),2)))</f>
        <v/>
      </c>
      <c r="L27" s="18" t="str">
        <f aca="false">IF(K27="","",ROUND(SQRT(MAX(0,(SUMIFS($R$2:$R$1001,$B$2:$B$1001,B27,$A$2:$A$1001,"&lt;"&amp;A27,$A$2:$A$1001,"&gt;="&amp;(A27-설정!$B$2))-M27*AVERAGEIFS($J$2:$J$1001,$B$2:$B$1001,B27,$A$2:$A$1001,"&lt;"&amp;A27,$A$2:$A$1001,"&gt;="&amp;(A27-설정!$B$2))^2)/(M27-1))),2))</f>
        <v/>
      </c>
      <c r="M27" s="18" t="str">
        <f aca="false">IF(J27="","",COUNTIFS($B$2:$B$1001,B27,$A$2:$A$1001,"&lt;"&amp;A27,$A$2:$A$1001,"&gt;="&amp;(A27-설정!$B$2),$J$2:$J$1001,"&gt;=0"))</f>
        <v/>
      </c>
      <c r="N27" s="18" t="str">
        <f aca="false">IF(K27="","",IF(L27=0,"",ROUND((J27-K27)/L27,2)))</f>
        <v/>
      </c>
      <c r="O27" s="19" t="str">
        <f aca="false">IF(J27="","",IF(MIN(F27,G27)&lt;=설정!$B$5,"예",""))</f>
        <v/>
      </c>
      <c r="P27" s="19" t="str">
        <f aca="false">IF(J27="","",IF(M27&lt;설정!$B$3,"baseline 수집 중",IF(N27="","정상",IF(N27&lt;=설정!$B$4,"낮음","정상"))))</f>
        <v/>
      </c>
      <c r="Q27" s="20"/>
      <c r="R27" s="18" t="str">
        <f aca="false">IF(J27="","",J27^2)</f>
        <v/>
      </c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7"/>
      <c r="H28" s="17"/>
      <c r="I28" s="17"/>
      <c r="J28" s="18" t="str">
        <f aca="false">IF(COUNT(E28:I28)&lt;5,"",SUM(E28:I28))</f>
        <v/>
      </c>
      <c r="K28" s="18" t="str">
        <f aca="false">IF(J28="","",IF(M28&lt;설정!$B$3,"",ROUND(AVERAGEIFS($J$2:$J$1001,$B$2:$B$1001,B28,$A$2:$A$1001,"&lt;"&amp;A28,$A$2:$A$1001,"&gt;="&amp;(A28-설정!$B$2)),2)))</f>
        <v/>
      </c>
      <c r="L28" s="18" t="str">
        <f aca="false">IF(K28="","",ROUND(SQRT(MAX(0,(SUMIFS($R$2:$R$1001,$B$2:$B$1001,B28,$A$2:$A$1001,"&lt;"&amp;A28,$A$2:$A$1001,"&gt;="&amp;(A28-설정!$B$2))-M28*AVERAGEIFS($J$2:$J$1001,$B$2:$B$1001,B28,$A$2:$A$1001,"&lt;"&amp;A28,$A$2:$A$1001,"&gt;="&amp;(A28-설정!$B$2))^2)/(M28-1))),2))</f>
        <v/>
      </c>
      <c r="M28" s="18" t="str">
        <f aca="false">IF(J28="","",COUNTIFS($B$2:$B$1001,B28,$A$2:$A$1001,"&lt;"&amp;A28,$A$2:$A$1001,"&gt;="&amp;(A28-설정!$B$2),$J$2:$J$1001,"&gt;=0"))</f>
        <v/>
      </c>
      <c r="N28" s="18" t="str">
        <f aca="false">IF(K28="","",IF(L28=0,"",ROUND((J28-K28)/L28,2)))</f>
        <v/>
      </c>
      <c r="O28" s="19" t="str">
        <f aca="false">IF(J28="","",IF(MIN(F28,G28)&lt;=설정!$B$5,"예",""))</f>
        <v/>
      </c>
      <c r="P28" s="19" t="str">
        <f aca="false">IF(J28="","",IF(M28&lt;설정!$B$3,"baseline 수집 중",IF(N28="","정상",IF(N28&lt;=설정!$B$4,"낮음","정상"))))</f>
        <v/>
      </c>
      <c r="Q28" s="20"/>
      <c r="R28" s="18" t="str">
        <f aca="false">IF(J28="","",J28^2)</f>
        <v/>
      </c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7"/>
      <c r="G29" s="17"/>
      <c r="H29" s="17"/>
      <c r="I29" s="17"/>
      <c r="J29" s="18" t="str">
        <f aca="false">IF(COUNT(E29:I29)&lt;5,"",SUM(E29:I29))</f>
        <v/>
      </c>
      <c r="K29" s="18" t="str">
        <f aca="false">IF(J29="","",IF(M29&lt;설정!$B$3,"",ROUND(AVERAGEIFS($J$2:$J$1001,$B$2:$B$1001,B29,$A$2:$A$1001,"&lt;"&amp;A29,$A$2:$A$1001,"&gt;="&amp;(A29-설정!$B$2)),2)))</f>
        <v/>
      </c>
      <c r="L29" s="18" t="str">
        <f aca="false">IF(K29="","",ROUND(SQRT(MAX(0,(SUMIFS($R$2:$R$1001,$B$2:$B$1001,B29,$A$2:$A$1001,"&lt;"&amp;A29,$A$2:$A$1001,"&gt;="&amp;(A29-설정!$B$2))-M29*AVERAGEIFS($J$2:$J$1001,$B$2:$B$1001,B29,$A$2:$A$1001,"&lt;"&amp;A29,$A$2:$A$1001,"&gt;="&amp;(A29-설정!$B$2))^2)/(M29-1))),2))</f>
        <v/>
      </c>
      <c r="M29" s="18" t="str">
        <f aca="false">IF(J29="","",COUNTIFS($B$2:$B$1001,B29,$A$2:$A$1001,"&lt;"&amp;A29,$A$2:$A$1001,"&gt;="&amp;(A29-설정!$B$2),$J$2:$J$1001,"&gt;=0"))</f>
        <v/>
      </c>
      <c r="N29" s="18" t="str">
        <f aca="false">IF(K29="","",IF(L29=0,"",ROUND((J29-K29)/L29,2)))</f>
        <v/>
      </c>
      <c r="O29" s="19" t="str">
        <f aca="false">IF(J29="","",IF(MIN(F29,G29)&lt;=설정!$B$5,"예",""))</f>
        <v/>
      </c>
      <c r="P29" s="19" t="str">
        <f aca="false">IF(J29="","",IF(M29&lt;설정!$B$3,"baseline 수집 중",IF(N29="","정상",IF(N29&lt;=설정!$B$4,"낮음","정상"))))</f>
        <v/>
      </c>
      <c r="Q29" s="20"/>
      <c r="R29" s="18" t="str">
        <f aca="false">IF(J29="","",J29^2)</f>
        <v/>
      </c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  <c r="G30" s="17"/>
      <c r="H30" s="17"/>
      <c r="I30" s="17"/>
      <c r="J30" s="18" t="str">
        <f aca="false">IF(COUNT(E30:I30)&lt;5,"",SUM(E30:I30))</f>
        <v/>
      </c>
      <c r="K30" s="18" t="str">
        <f aca="false">IF(J30="","",IF(M30&lt;설정!$B$3,"",ROUND(AVERAGEIFS($J$2:$J$1001,$B$2:$B$1001,B30,$A$2:$A$1001,"&lt;"&amp;A30,$A$2:$A$1001,"&gt;="&amp;(A30-설정!$B$2)),2)))</f>
        <v/>
      </c>
      <c r="L30" s="18" t="str">
        <f aca="false">IF(K30="","",ROUND(SQRT(MAX(0,(SUMIFS($R$2:$R$1001,$B$2:$B$1001,B30,$A$2:$A$1001,"&lt;"&amp;A30,$A$2:$A$1001,"&gt;="&amp;(A30-설정!$B$2))-M30*AVERAGEIFS($J$2:$J$1001,$B$2:$B$1001,B30,$A$2:$A$1001,"&lt;"&amp;A30,$A$2:$A$1001,"&gt;="&amp;(A30-설정!$B$2))^2)/(M30-1))),2))</f>
        <v/>
      </c>
      <c r="M30" s="18" t="str">
        <f aca="false">IF(J30="","",COUNTIFS($B$2:$B$1001,B30,$A$2:$A$1001,"&lt;"&amp;A30,$A$2:$A$1001,"&gt;="&amp;(A30-설정!$B$2),$J$2:$J$1001,"&gt;=0"))</f>
        <v/>
      </c>
      <c r="N30" s="18" t="str">
        <f aca="false">IF(K30="","",IF(L30=0,"",ROUND((J30-K30)/L30,2)))</f>
        <v/>
      </c>
      <c r="O30" s="19" t="str">
        <f aca="false">IF(J30="","",IF(MIN(F30,G30)&lt;=설정!$B$5,"예",""))</f>
        <v/>
      </c>
      <c r="P30" s="19" t="str">
        <f aca="false">IF(J30="","",IF(M30&lt;설정!$B$3,"baseline 수집 중",IF(N30="","정상",IF(N30&lt;=설정!$B$4,"낮음","정상"))))</f>
        <v/>
      </c>
      <c r="Q30" s="20"/>
      <c r="R30" s="18" t="str">
        <f aca="false">IF(J30="","",J30^2)</f>
        <v/>
      </c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7"/>
      <c r="G31" s="17"/>
      <c r="H31" s="17"/>
      <c r="I31" s="17"/>
      <c r="J31" s="18" t="str">
        <f aca="false">IF(COUNT(E31:I31)&lt;5,"",SUM(E31:I31))</f>
        <v/>
      </c>
      <c r="K31" s="18" t="str">
        <f aca="false">IF(J31="","",IF(M31&lt;설정!$B$3,"",ROUND(AVERAGEIFS($J$2:$J$1001,$B$2:$B$1001,B31,$A$2:$A$1001,"&lt;"&amp;A31,$A$2:$A$1001,"&gt;="&amp;(A31-설정!$B$2)),2)))</f>
        <v/>
      </c>
      <c r="L31" s="18" t="str">
        <f aca="false">IF(K31="","",ROUND(SQRT(MAX(0,(SUMIFS($R$2:$R$1001,$B$2:$B$1001,B31,$A$2:$A$1001,"&lt;"&amp;A31,$A$2:$A$1001,"&gt;="&amp;(A31-설정!$B$2))-M31*AVERAGEIFS($J$2:$J$1001,$B$2:$B$1001,B31,$A$2:$A$1001,"&lt;"&amp;A31,$A$2:$A$1001,"&gt;="&amp;(A31-설정!$B$2))^2)/(M31-1))),2))</f>
        <v/>
      </c>
      <c r="M31" s="18" t="str">
        <f aca="false">IF(J31="","",COUNTIFS($B$2:$B$1001,B31,$A$2:$A$1001,"&lt;"&amp;A31,$A$2:$A$1001,"&gt;="&amp;(A31-설정!$B$2),$J$2:$J$1001,"&gt;=0"))</f>
        <v/>
      </c>
      <c r="N31" s="18" t="str">
        <f aca="false">IF(K31="","",IF(L31=0,"",ROUND((J31-K31)/L31,2)))</f>
        <v/>
      </c>
      <c r="O31" s="19" t="str">
        <f aca="false">IF(J31="","",IF(MIN(F31,G31)&lt;=설정!$B$5,"예",""))</f>
        <v/>
      </c>
      <c r="P31" s="19" t="str">
        <f aca="false">IF(J31="","",IF(M31&lt;설정!$B$3,"baseline 수집 중",IF(N31="","정상",IF(N31&lt;=설정!$B$4,"낮음","정상"))))</f>
        <v/>
      </c>
      <c r="Q31" s="20"/>
      <c r="R31" s="18" t="str">
        <f aca="false">IF(J31="","",J31^2)</f>
        <v/>
      </c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7"/>
      <c r="G32" s="17"/>
      <c r="H32" s="17"/>
      <c r="I32" s="17"/>
      <c r="J32" s="18" t="str">
        <f aca="false">IF(COUNT(E32:I32)&lt;5,"",SUM(E32:I32))</f>
        <v/>
      </c>
      <c r="K32" s="18" t="str">
        <f aca="false">IF(J32="","",IF(M32&lt;설정!$B$3,"",ROUND(AVERAGEIFS($J$2:$J$1001,$B$2:$B$1001,B32,$A$2:$A$1001,"&lt;"&amp;A32,$A$2:$A$1001,"&gt;="&amp;(A32-설정!$B$2)),2)))</f>
        <v/>
      </c>
      <c r="L32" s="18" t="str">
        <f aca="false">IF(K32="","",ROUND(SQRT(MAX(0,(SUMIFS($R$2:$R$1001,$B$2:$B$1001,B32,$A$2:$A$1001,"&lt;"&amp;A32,$A$2:$A$1001,"&gt;="&amp;(A32-설정!$B$2))-M32*AVERAGEIFS($J$2:$J$1001,$B$2:$B$1001,B32,$A$2:$A$1001,"&lt;"&amp;A32,$A$2:$A$1001,"&gt;="&amp;(A32-설정!$B$2))^2)/(M32-1))),2))</f>
        <v/>
      </c>
      <c r="M32" s="18" t="str">
        <f aca="false">IF(J32="","",COUNTIFS($B$2:$B$1001,B32,$A$2:$A$1001,"&lt;"&amp;A32,$A$2:$A$1001,"&gt;="&amp;(A32-설정!$B$2),$J$2:$J$1001,"&gt;=0"))</f>
        <v/>
      </c>
      <c r="N32" s="18" t="str">
        <f aca="false">IF(K32="","",IF(L32=0,"",ROUND((J32-K32)/L32,2)))</f>
        <v/>
      </c>
      <c r="O32" s="19" t="str">
        <f aca="false">IF(J32="","",IF(MIN(F32,G32)&lt;=설정!$B$5,"예",""))</f>
        <v/>
      </c>
      <c r="P32" s="19" t="str">
        <f aca="false">IF(J32="","",IF(M32&lt;설정!$B$3,"baseline 수집 중",IF(N32="","정상",IF(N32&lt;=설정!$B$4,"낮음","정상"))))</f>
        <v/>
      </c>
      <c r="Q32" s="20"/>
      <c r="R32" s="18" t="str">
        <f aca="false">IF(J32="","",J32^2)</f>
        <v/>
      </c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7"/>
      <c r="G33" s="17"/>
      <c r="H33" s="17"/>
      <c r="I33" s="17"/>
      <c r="J33" s="18" t="str">
        <f aca="false">IF(COUNT(E33:I33)&lt;5,"",SUM(E33:I33))</f>
        <v/>
      </c>
      <c r="K33" s="18" t="str">
        <f aca="false">IF(J33="","",IF(M33&lt;설정!$B$3,"",ROUND(AVERAGEIFS($J$2:$J$1001,$B$2:$B$1001,B33,$A$2:$A$1001,"&lt;"&amp;A33,$A$2:$A$1001,"&gt;="&amp;(A33-설정!$B$2)),2)))</f>
        <v/>
      </c>
      <c r="L33" s="18" t="str">
        <f aca="false">IF(K33="","",ROUND(SQRT(MAX(0,(SUMIFS($R$2:$R$1001,$B$2:$B$1001,B33,$A$2:$A$1001,"&lt;"&amp;A33,$A$2:$A$1001,"&gt;="&amp;(A33-설정!$B$2))-M33*AVERAGEIFS($J$2:$J$1001,$B$2:$B$1001,B33,$A$2:$A$1001,"&lt;"&amp;A33,$A$2:$A$1001,"&gt;="&amp;(A33-설정!$B$2))^2)/(M33-1))),2))</f>
        <v/>
      </c>
      <c r="M33" s="18" t="str">
        <f aca="false">IF(J33="","",COUNTIFS($B$2:$B$1001,B33,$A$2:$A$1001,"&lt;"&amp;A33,$A$2:$A$1001,"&gt;="&amp;(A33-설정!$B$2),$J$2:$J$1001,"&gt;=0"))</f>
        <v/>
      </c>
      <c r="N33" s="18" t="str">
        <f aca="false">IF(K33="","",IF(L33=0,"",ROUND((J33-K33)/L33,2)))</f>
        <v/>
      </c>
      <c r="O33" s="19" t="str">
        <f aca="false">IF(J33="","",IF(MIN(F33,G33)&lt;=설정!$B$5,"예",""))</f>
        <v/>
      </c>
      <c r="P33" s="19" t="str">
        <f aca="false">IF(J33="","",IF(M33&lt;설정!$B$3,"baseline 수집 중",IF(N33="","정상",IF(N33&lt;=설정!$B$4,"낮음","정상"))))</f>
        <v/>
      </c>
      <c r="Q33" s="20"/>
      <c r="R33" s="18" t="str">
        <f aca="false">IF(J33="","",J33^2)</f>
        <v/>
      </c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7"/>
      <c r="G34" s="17"/>
      <c r="H34" s="17"/>
      <c r="I34" s="17"/>
      <c r="J34" s="18" t="str">
        <f aca="false">IF(COUNT(E34:I34)&lt;5,"",SUM(E34:I34))</f>
        <v/>
      </c>
      <c r="K34" s="18" t="str">
        <f aca="false">IF(J34="","",IF(M34&lt;설정!$B$3,"",ROUND(AVERAGEIFS($J$2:$J$1001,$B$2:$B$1001,B34,$A$2:$A$1001,"&lt;"&amp;A34,$A$2:$A$1001,"&gt;="&amp;(A34-설정!$B$2)),2)))</f>
        <v/>
      </c>
      <c r="L34" s="18" t="str">
        <f aca="false">IF(K34="","",ROUND(SQRT(MAX(0,(SUMIFS($R$2:$R$1001,$B$2:$B$1001,B34,$A$2:$A$1001,"&lt;"&amp;A34,$A$2:$A$1001,"&gt;="&amp;(A34-설정!$B$2))-M34*AVERAGEIFS($J$2:$J$1001,$B$2:$B$1001,B34,$A$2:$A$1001,"&lt;"&amp;A34,$A$2:$A$1001,"&gt;="&amp;(A34-설정!$B$2))^2)/(M34-1))),2))</f>
        <v/>
      </c>
      <c r="M34" s="18" t="str">
        <f aca="false">IF(J34="","",COUNTIFS($B$2:$B$1001,B34,$A$2:$A$1001,"&lt;"&amp;A34,$A$2:$A$1001,"&gt;="&amp;(A34-설정!$B$2),$J$2:$J$1001,"&gt;=0"))</f>
        <v/>
      </c>
      <c r="N34" s="18" t="str">
        <f aca="false">IF(K34="","",IF(L34=0,"",ROUND((J34-K34)/L34,2)))</f>
        <v/>
      </c>
      <c r="O34" s="19" t="str">
        <f aca="false">IF(J34="","",IF(MIN(F34,G34)&lt;=설정!$B$5,"예",""))</f>
        <v/>
      </c>
      <c r="P34" s="19" t="str">
        <f aca="false">IF(J34="","",IF(M34&lt;설정!$B$3,"baseline 수집 중",IF(N34="","정상",IF(N34&lt;=설정!$B$4,"낮음","정상"))))</f>
        <v/>
      </c>
      <c r="Q34" s="20"/>
      <c r="R34" s="18" t="str">
        <f aca="false">IF(J34="","",J34^2)</f>
        <v/>
      </c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7"/>
      <c r="G35" s="17"/>
      <c r="H35" s="17"/>
      <c r="I35" s="17"/>
      <c r="J35" s="18" t="str">
        <f aca="false">IF(COUNT(E35:I35)&lt;5,"",SUM(E35:I35))</f>
        <v/>
      </c>
      <c r="K35" s="18" t="str">
        <f aca="false">IF(J35="","",IF(M35&lt;설정!$B$3,"",ROUND(AVERAGEIFS($J$2:$J$1001,$B$2:$B$1001,B35,$A$2:$A$1001,"&lt;"&amp;A35,$A$2:$A$1001,"&gt;="&amp;(A35-설정!$B$2)),2)))</f>
        <v/>
      </c>
      <c r="L35" s="18" t="str">
        <f aca="false">IF(K35="","",ROUND(SQRT(MAX(0,(SUMIFS($R$2:$R$1001,$B$2:$B$1001,B35,$A$2:$A$1001,"&lt;"&amp;A35,$A$2:$A$1001,"&gt;="&amp;(A35-설정!$B$2))-M35*AVERAGEIFS($J$2:$J$1001,$B$2:$B$1001,B35,$A$2:$A$1001,"&lt;"&amp;A35,$A$2:$A$1001,"&gt;="&amp;(A35-설정!$B$2))^2)/(M35-1))),2))</f>
        <v/>
      </c>
      <c r="M35" s="18" t="str">
        <f aca="false">IF(J35="","",COUNTIFS($B$2:$B$1001,B35,$A$2:$A$1001,"&lt;"&amp;A35,$A$2:$A$1001,"&gt;="&amp;(A35-설정!$B$2),$J$2:$J$1001,"&gt;=0"))</f>
        <v/>
      </c>
      <c r="N35" s="18" t="str">
        <f aca="false">IF(K35="","",IF(L35=0,"",ROUND((J35-K35)/L35,2)))</f>
        <v/>
      </c>
      <c r="O35" s="19" t="str">
        <f aca="false">IF(J35="","",IF(MIN(F35,G35)&lt;=설정!$B$5,"예",""))</f>
        <v/>
      </c>
      <c r="P35" s="19" t="str">
        <f aca="false">IF(J35="","",IF(M35&lt;설정!$B$3,"baseline 수집 중",IF(N35="","정상",IF(N35&lt;=설정!$B$4,"낮음","정상"))))</f>
        <v/>
      </c>
      <c r="Q35" s="20"/>
      <c r="R35" s="18" t="str">
        <f aca="false">IF(J35="","",J35^2)</f>
        <v/>
      </c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7"/>
      <c r="H36" s="17"/>
      <c r="I36" s="17"/>
      <c r="J36" s="18" t="str">
        <f aca="false">IF(COUNT(E36:I36)&lt;5,"",SUM(E36:I36))</f>
        <v/>
      </c>
      <c r="K36" s="18" t="str">
        <f aca="false">IF(J36="","",IF(M36&lt;설정!$B$3,"",ROUND(AVERAGEIFS($J$2:$J$1001,$B$2:$B$1001,B36,$A$2:$A$1001,"&lt;"&amp;A36,$A$2:$A$1001,"&gt;="&amp;(A36-설정!$B$2)),2)))</f>
        <v/>
      </c>
      <c r="L36" s="18" t="str">
        <f aca="false">IF(K36="","",ROUND(SQRT(MAX(0,(SUMIFS($R$2:$R$1001,$B$2:$B$1001,B36,$A$2:$A$1001,"&lt;"&amp;A36,$A$2:$A$1001,"&gt;="&amp;(A36-설정!$B$2))-M36*AVERAGEIFS($J$2:$J$1001,$B$2:$B$1001,B36,$A$2:$A$1001,"&lt;"&amp;A36,$A$2:$A$1001,"&gt;="&amp;(A36-설정!$B$2))^2)/(M36-1))),2))</f>
        <v/>
      </c>
      <c r="M36" s="18" t="str">
        <f aca="false">IF(J36="","",COUNTIFS($B$2:$B$1001,B36,$A$2:$A$1001,"&lt;"&amp;A36,$A$2:$A$1001,"&gt;="&amp;(A36-설정!$B$2),$J$2:$J$1001,"&gt;=0"))</f>
        <v/>
      </c>
      <c r="N36" s="18" t="str">
        <f aca="false">IF(K36="","",IF(L36=0,"",ROUND((J36-K36)/L36,2)))</f>
        <v/>
      </c>
      <c r="O36" s="19" t="str">
        <f aca="false">IF(J36="","",IF(MIN(F36,G36)&lt;=설정!$B$5,"예",""))</f>
        <v/>
      </c>
      <c r="P36" s="19" t="str">
        <f aca="false">IF(J36="","",IF(M36&lt;설정!$B$3,"baseline 수집 중",IF(N36="","정상",IF(N36&lt;=설정!$B$4,"낮음","정상"))))</f>
        <v/>
      </c>
      <c r="Q36" s="20"/>
      <c r="R36" s="18" t="str">
        <f aca="false">IF(J36="","",J36^2)</f>
        <v/>
      </c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7"/>
      <c r="H37" s="17"/>
      <c r="I37" s="17"/>
      <c r="J37" s="18" t="str">
        <f aca="false">IF(COUNT(E37:I37)&lt;5,"",SUM(E37:I37))</f>
        <v/>
      </c>
      <c r="K37" s="18" t="str">
        <f aca="false">IF(J37="","",IF(M37&lt;설정!$B$3,"",ROUND(AVERAGEIFS($J$2:$J$1001,$B$2:$B$1001,B37,$A$2:$A$1001,"&lt;"&amp;A37,$A$2:$A$1001,"&gt;="&amp;(A37-설정!$B$2)),2)))</f>
        <v/>
      </c>
      <c r="L37" s="18" t="str">
        <f aca="false">IF(K37="","",ROUND(SQRT(MAX(0,(SUMIFS($R$2:$R$1001,$B$2:$B$1001,B37,$A$2:$A$1001,"&lt;"&amp;A37,$A$2:$A$1001,"&gt;="&amp;(A37-설정!$B$2))-M37*AVERAGEIFS($J$2:$J$1001,$B$2:$B$1001,B37,$A$2:$A$1001,"&lt;"&amp;A37,$A$2:$A$1001,"&gt;="&amp;(A37-설정!$B$2))^2)/(M37-1))),2))</f>
        <v/>
      </c>
      <c r="M37" s="18" t="str">
        <f aca="false">IF(J37="","",COUNTIFS($B$2:$B$1001,B37,$A$2:$A$1001,"&lt;"&amp;A37,$A$2:$A$1001,"&gt;="&amp;(A37-설정!$B$2),$J$2:$J$1001,"&gt;=0"))</f>
        <v/>
      </c>
      <c r="N37" s="18" t="str">
        <f aca="false">IF(K37="","",IF(L37=0,"",ROUND((J37-K37)/L37,2)))</f>
        <v/>
      </c>
      <c r="O37" s="19" t="str">
        <f aca="false">IF(J37="","",IF(MIN(F37,G37)&lt;=설정!$B$5,"예",""))</f>
        <v/>
      </c>
      <c r="P37" s="19" t="str">
        <f aca="false">IF(J37="","",IF(M37&lt;설정!$B$3,"baseline 수집 중",IF(N37="","정상",IF(N37&lt;=설정!$B$4,"낮음","정상"))))</f>
        <v/>
      </c>
      <c r="Q37" s="20"/>
      <c r="R37" s="18" t="str">
        <f aca="false">IF(J37="","",J37^2)</f>
        <v/>
      </c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7"/>
      <c r="H38" s="17"/>
      <c r="I38" s="17"/>
      <c r="J38" s="18" t="str">
        <f aca="false">IF(COUNT(E38:I38)&lt;5,"",SUM(E38:I38))</f>
        <v/>
      </c>
      <c r="K38" s="18" t="str">
        <f aca="false">IF(J38="","",IF(M38&lt;설정!$B$3,"",ROUND(AVERAGEIFS($J$2:$J$1001,$B$2:$B$1001,B38,$A$2:$A$1001,"&lt;"&amp;A38,$A$2:$A$1001,"&gt;="&amp;(A38-설정!$B$2)),2)))</f>
        <v/>
      </c>
      <c r="L38" s="18" t="str">
        <f aca="false">IF(K38="","",ROUND(SQRT(MAX(0,(SUMIFS($R$2:$R$1001,$B$2:$B$1001,B38,$A$2:$A$1001,"&lt;"&amp;A38,$A$2:$A$1001,"&gt;="&amp;(A38-설정!$B$2))-M38*AVERAGEIFS($J$2:$J$1001,$B$2:$B$1001,B38,$A$2:$A$1001,"&lt;"&amp;A38,$A$2:$A$1001,"&gt;="&amp;(A38-설정!$B$2))^2)/(M38-1))),2))</f>
        <v/>
      </c>
      <c r="M38" s="18" t="str">
        <f aca="false">IF(J38="","",COUNTIFS($B$2:$B$1001,B38,$A$2:$A$1001,"&lt;"&amp;A38,$A$2:$A$1001,"&gt;="&amp;(A38-설정!$B$2),$J$2:$J$1001,"&gt;=0"))</f>
        <v/>
      </c>
      <c r="N38" s="18" t="str">
        <f aca="false">IF(K38="","",IF(L38=0,"",ROUND((J38-K38)/L38,2)))</f>
        <v/>
      </c>
      <c r="O38" s="19" t="str">
        <f aca="false">IF(J38="","",IF(MIN(F38,G38)&lt;=설정!$B$5,"예",""))</f>
        <v/>
      </c>
      <c r="P38" s="19" t="str">
        <f aca="false">IF(J38="","",IF(M38&lt;설정!$B$3,"baseline 수집 중",IF(N38="","정상",IF(N38&lt;=설정!$B$4,"낮음","정상"))))</f>
        <v/>
      </c>
      <c r="Q38" s="20"/>
      <c r="R38" s="18" t="str">
        <f aca="false">IF(J38="","",J38^2)</f>
        <v/>
      </c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7"/>
      <c r="H39" s="17"/>
      <c r="I39" s="17"/>
      <c r="J39" s="18" t="str">
        <f aca="false">IF(COUNT(E39:I39)&lt;5,"",SUM(E39:I39))</f>
        <v/>
      </c>
      <c r="K39" s="18" t="str">
        <f aca="false">IF(J39="","",IF(M39&lt;설정!$B$3,"",ROUND(AVERAGEIFS($J$2:$J$1001,$B$2:$B$1001,B39,$A$2:$A$1001,"&lt;"&amp;A39,$A$2:$A$1001,"&gt;="&amp;(A39-설정!$B$2)),2)))</f>
        <v/>
      </c>
      <c r="L39" s="18" t="str">
        <f aca="false">IF(K39="","",ROUND(SQRT(MAX(0,(SUMIFS($R$2:$R$1001,$B$2:$B$1001,B39,$A$2:$A$1001,"&lt;"&amp;A39,$A$2:$A$1001,"&gt;="&amp;(A39-설정!$B$2))-M39*AVERAGEIFS($J$2:$J$1001,$B$2:$B$1001,B39,$A$2:$A$1001,"&lt;"&amp;A39,$A$2:$A$1001,"&gt;="&amp;(A39-설정!$B$2))^2)/(M39-1))),2))</f>
        <v/>
      </c>
      <c r="M39" s="18" t="str">
        <f aca="false">IF(J39="","",COUNTIFS($B$2:$B$1001,B39,$A$2:$A$1001,"&lt;"&amp;A39,$A$2:$A$1001,"&gt;="&amp;(A39-설정!$B$2),$J$2:$J$1001,"&gt;=0"))</f>
        <v/>
      </c>
      <c r="N39" s="18" t="str">
        <f aca="false">IF(K39="","",IF(L39=0,"",ROUND((J39-K39)/L39,2)))</f>
        <v/>
      </c>
      <c r="O39" s="19" t="str">
        <f aca="false">IF(J39="","",IF(MIN(F39,G39)&lt;=설정!$B$5,"예",""))</f>
        <v/>
      </c>
      <c r="P39" s="19" t="str">
        <f aca="false">IF(J39="","",IF(M39&lt;설정!$B$3,"baseline 수집 중",IF(N39="","정상",IF(N39&lt;=설정!$B$4,"낮음","정상"))))</f>
        <v/>
      </c>
      <c r="Q39" s="20"/>
      <c r="R39" s="18" t="str">
        <f aca="false">IF(J39="","",J39^2)</f>
        <v/>
      </c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7"/>
      <c r="H40" s="17"/>
      <c r="I40" s="17"/>
      <c r="J40" s="18" t="str">
        <f aca="false">IF(COUNT(E40:I40)&lt;5,"",SUM(E40:I40))</f>
        <v/>
      </c>
      <c r="K40" s="18" t="str">
        <f aca="false">IF(J40="","",IF(M40&lt;설정!$B$3,"",ROUND(AVERAGEIFS($J$2:$J$1001,$B$2:$B$1001,B40,$A$2:$A$1001,"&lt;"&amp;A40,$A$2:$A$1001,"&gt;="&amp;(A40-설정!$B$2)),2)))</f>
        <v/>
      </c>
      <c r="L40" s="18" t="str">
        <f aca="false">IF(K40="","",ROUND(SQRT(MAX(0,(SUMIFS($R$2:$R$1001,$B$2:$B$1001,B40,$A$2:$A$1001,"&lt;"&amp;A40,$A$2:$A$1001,"&gt;="&amp;(A40-설정!$B$2))-M40*AVERAGEIFS($J$2:$J$1001,$B$2:$B$1001,B40,$A$2:$A$1001,"&lt;"&amp;A40,$A$2:$A$1001,"&gt;="&amp;(A40-설정!$B$2))^2)/(M40-1))),2))</f>
        <v/>
      </c>
      <c r="M40" s="18" t="str">
        <f aca="false">IF(J40="","",COUNTIFS($B$2:$B$1001,B40,$A$2:$A$1001,"&lt;"&amp;A40,$A$2:$A$1001,"&gt;="&amp;(A40-설정!$B$2),$J$2:$J$1001,"&gt;=0"))</f>
        <v/>
      </c>
      <c r="N40" s="18" t="str">
        <f aca="false">IF(K40="","",IF(L40=0,"",ROUND((J40-K40)/L40,2)))</f>
        <v/>
      </c>
      <c r="O40" s="19" t="str">
        <f aca="false">IF(J40="","",IF(MIN(F40,G40)&lt;=설정!$B$5,"예",""))</f>
        <v/>
      </c>
      <c r="P40" s="19" t="str">
        <f aca="false">IF(J40="","",IF(M40&lt;설정!$B$3,"baseline 수집 중",IF(N40="","정상",IF(N40&lt;=설정!$B$4,"낮음","정상"))))</f>
        <v/>
      </c>
      <c r="Q40" s="20"/>
      <c r="R40" s="18" t="str">
        <f aca="false">IF(J40="","",J40^2)</f>
        <v/>
      </c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7"/>
      <c r="G41" s="17"/>
      <c r="H41" s="17"/>
      <c r="I41" s="17"/>
      <c r="J41" s="18" t="str">
        <f aca="false">IF(COUNT(E41:I41)&lt;5,"",SUM(E41:I41))</f>
        <v/>
      </c>
      <c r="K41" s="18" t="str">
        <f aca="false">IF(J41="","",IF(M41&lt;설정!$B$3,"",ROUND(AVERAGEIFS($J$2:$J$1001,$B$2:$B$1001,B41,$A$2:$A$1001,"&lt;"&amp;A41,$A$2:$A$1001,"&gt;="&amp;(A41-설정!$B$2)),2)))</f>
        <v/>
      </c>
      <c r="L41" s="18" t="str">
        <f aca="false">IF(K41="","",ROUND(SQRT(MAX(0,(SUMIFS($R$2:$R$1001,$B$2:$B$1001,B41,$A$2:$A$1001,"&lt;"&amp;A41,$A$2:$A$1001,"&gt;="&amp;(A41-설정!$B$2))-M41*AVERAGEIFS($J$2:$J$1001,$B$2:$B$1001,B41,$A$2:$A$1001,"&lt;"&amp;A41,$A$2:$A$1001,"&gt;="&amp;(A41-설정!$B$2))^2)/(M41-1))),2))</f>
        <v/>
      </c>
      <c r="M41" s="18" t="str">
        <f aca="false">IF(J41="","",COUNTIFS($B$2:$B$1001,B41,$A$2:$A$1001,"&lt;"&amp;A41,$A$2:$A$1001,"&gt;="&amp;(A41-설정!$B$2),$J$2:$J$1001,"&gt;=0"))</f>
        <v/>
      </c>
      <c r="N41" s="18" t="str">
        <f aca="false">IF(K41="","",IF(L41=0,"",ROUND((J41-K41)/L41,2)))</f>
        <v/>
      </c>
      <c r="O41" s="19" t="str">
        <f aca="false">IF(J41="","",IF(MIN(F41,G41)&lt;=설정!$B$5,"예",""))</f>
        <v/>
      </c>
      <c r="P41" s="19" t="str">
        <f aca="false">IF(J41="","",IF(M41&lt;설정!$B$3,"baseline 수집 중",IF(N41="","정상",IF(N41&lt;=설정!$B$4,"낮음","정상"))))</f>
        <v/>
      </c>
      <c r="Q41" s="20"/>
      <c r="R41" s="18" t="str">
        <f aca="false">IF(J41="","",J41^2)</f>
        <v/>
      </c>
    </row>
    <row r="42" customFormat="false" ht="15" hidden="false" customHeight="false" outlineLevel="0" collapsed="false">
      <c r="A42" s="16"/>
      <c r="B42" s="17"/>
      <c r="C42" s="17"/>
      <c r="D42" s="17"/>
      <c r="E42" s="17"/>
      <c r="F42" s="17"/>
      <c r="G42" s="17"/>
      <c r="H42" s="17"/>
      <c r="I42" s="17"/>
      <c r="J42" s="18" t="str">
        <f aca="false">IF(COUNT(E42:I42)&lt;5,"",SUM(E42:I42))</f>
        <v/>
      </c>
      <c r="K42" s="18" t="str">
        <f aca="false">IF(J42="","",IF(M42&lt;설정!$B$3,"",ROUND(AVERAGEIFS($J$2:$J$1001,$B$2:$B$1001,B42,$A$2:$A$1001,"&lt;"&amp;A42,$A$2:$A$1001,"&gt;="&amp;(A42-설정!$B$2)),2)))</f>
        <v/>
      </c>
      <c r="L42" s="18" t="str">
        <f aca="false">IF(K42="","",ROUND(SQRT(MAX(0,(SUMIFS($R$2:$R$1001,$B$2:$B$1001,B42,$A$2:$A$1001,"&lt;"&amp;A42,$A$2:$A$1001,"&gt;="&amp;(A42-설정!$B$2))-M42*AVERAGEIFS($J$2:$J$1001,$B$2:$B$1001,B42,$A$2:$A$1001,"&lt;"&amp;A42,$A$2:$A$1001,"&gt;="&amp;(A42-설정!$B$2))^2)/(M42-1))),2))</f>
        <v/>
      </c>
      <c r="M42" s="18" t="str">
        <f aca="false">IF(J42="","",COUNTIFS($B$2:$B$1001,B42,$A$2:$A$1001,"&lt;"&amp;A42,$A$2:$A$1001,"&gt;="&amp;(A42-설정!$B$2),$J$2:$J$1001,"&gt;=0"))</f>
        <v/>
      </c>
      <c r="N42" s="18" t="str">
        <f aca="false">IF(K42="","",IF(L42=0,"",ROUND((J42-K42)/L42,2)))</f>
        <v/>
      </c>
      <c r="O42" s="19" t="str">
        <f aca="false">IF(J42="","",IF(MIN(F42,G42)&lt;=설정!$B$5,"예",""))</f>
        <v/>
      </c>
      <c r="P42" s="19" t="str">
        <f aca="false">IF(J42="","",IF(M42&lt;설정!$B$3,"baseline 수집 중",IF(N42="","정상",IF(N42&lt;=설정!$B$4,"낮음","정상"))))</f>
        <v/>
      </c>
      <c r="Q42" s="20"/>
      <c r="R42" s="18" t="str">
        <f aca="false">IF(J42="","",J42^2)</f>
        <v/>
      </c>
    </row>
    <row r="43" customFormat="false" ht="15" hidden="false" customHeight="false" outlineLevel="0" collapsed="false">
      <c r="A43" s="16"/>
      <c r="B43" s="17"/>
      <c r="C43" s="17"/>
      <c r="D43" s="17"/>
      <c r="E43" s="17"/>
      <c r="F43" s="17"/>
      <c r="G43" s="17"/>
      <c r="H43" s="17"/>
      <c r="I43" s="17"/>
      <c r="J43" s="18" t="str">
        <f aca="false">IF(COUNT(E43:I43)&lt;5,"",SUM(E43:I43))</f>
        <v/>
      </c>
      <c r="K43" s="18" t="str">
        <f aca="false">IF(J43="","",IF(M43&lt;설정!$B$3,"",ROUND(AVERAGEIFS($J$2:$J$1001,$B$2:$B$1001,B43,$A$2:$A$1001,"&lt;"&amp;A43,$A$2:$A$1001,"&gt;="&amp;(A43-설정!$B$2)),2)))</f>
        <v/>
      </c>
      <c r="L43" s="18" t="str">
        <f aca="false">IF(K43="","",ROUND(SQRT(MAX(0,(SUMIFS($R$2:$R$1001,$B$2:$B$1001,B43,$A$2:$A$1001,"&lt;"&amp;A43,$A$2:$A$1001,"&gt;="&amp;(A43-설정!$B$2))-M43*AVERAGEIFS($J$2:$J$1001,$B$2:$B$1001,B43,$A$2:$A$1001,"&lt;"&amp;A43,$A$2:$A$1001,"&gt;="&amp;(A43-설정!$B$2))^2)/(M43-1))),2))</f>
        <v/>
      </c>
      <c r="M43" s="18" t="str">
        <f aca="false">IF(J43="","",COUNTIFS($B$2:$B$1001,B43,$A$2:$A$1001,"&lt;"&amp;A43,$A$2:$A$1001,"&gt;="&amp;(A43-설정!$B$2),$J$2:$J$1001,"&gt;=0"))</f>
        <v/>
      </c>
      <c r="N43" s="18" t="str">
        <f aca="false">IF(K43="","",IF(L43=0,"",ROUND((J43-K43)/L43,2)))</f>
        <v/>
      </c>
      <c r="O43" s="19" t="str">
        <f aca="false">IF(J43="","",IF(MIN(F43,G43)&lt;=설정!$B$5,"예",""))</f>
        <v/>
      </c>
      <c r="P43" s="19" t="str">
        <f aca="false">IF(J43="","",IF(M43&lt;설정!$B$3,"baseline 수집 중",IF(N43="","정상",IF(N43&lt;=설정!$B$4,"낮음","정상"))))</f>
        <v/>
      </c>
      <c r="Q43" s="20"/>
      <c r="R43" s="18" t="str">
        <f aca="false">IF(J43="","",J43^2)</f>
        <v/>
      </c>
    </row>
    <row r="44" customFormat="false" ht="15" hidden="false" customHeight="false" outlineLevel="0" collapsed="false">
      <c r="A44" s="16"/>
      <c r="B44" s="17"/>
      <c r="C44" s="17"/>
      <c r="D44" s="17"/>
      <c r="E44" s="17"/>
      <c r="F44" s="17"/>
      <c r="G44" s="17"/>
      <c r="H44" s="17"/>
      <c r="I44" s="17"/>
      <c r="J44" s="18" t="str">
        <f aca="false">IF(COUNT(E44:I44)&lt;5,"",SUM(E44:I44))</f>
        <v/>
      </c>
      <c r="K44" s="18" t="str">
        <f aca="false">IF(J44="","",IF(M44&lt;설정!$B$3,"",ROUND(AVERAGEIFS($J$2:$J$1001,$B$2:$B$1001,B44,$A$2:$A$1001,"&lt;"&amp;A44,$A$2:$A$1001,"&gt;="&amp;(A44-설정!$B$2)),2)))</f>
        <v/>
      </c>
      <c r="L44" s="18" t="str">
        <f aca="false">IF(K44="","",ROUND(SQRT(MAX(0,(SUMIFS($R$2:$R$1001,$B$2:$B$1001,B44,$A$2:$A$1001,"&lt;"&amp;A44,$A$2:$A$1001,"&gt;="&amp;(A44-설정!$B$2))-M44*AVERAGEIFS($J$2:$J$1001,$B$2:$B$1001,B44,$A$2:$A$1001,"&lt;"&amp;A44,$A$2:$A$1001,"&gt;="&amp;(A44-설정!$B$2))^2)/(M44-1))),2))</f>
        <v/>
      </c>
      <c r="M44" s="18" t="str">
        <f aca="false">IF(J44="","",COUNTIFS($B$2:$B$1001,B44,$A$2:$A$1001,"&lt;"&amp;A44,$A$2:$A$1001,"&gt;="&amp;(A44-설정!$B$2),$J$2:$J$1001,"&gt;=0"))</f>
        <v/>
      </c>
      <c r="N44" s="18" t="str">
        <f aca="false">IF(K44="","",IF(L44=0,"",ROUND((J44-K44)/L44,2)))</f>
        <v/>
      </c>
      <c r="O44" s="19" t="str">
        <f aca="false">IF(J44="","",IF(MIN(F44,G44)&lt;=설정!$B$5,"예",""))</f>
        <v/>
      </c>
      <c r="P44" s="19" t="str">
        <f aca="false">IF(J44="","",IF(M44&lt;설정!$B$3,"baseline 수집 중",IF(N44="","정상",IF(N44&lt;=설정!$B$4,"낮음","정상"))))</f>
        <v/>
      </c>
      <c r="Q44" s="20"/>
      <c r="R44" s="18" t="str">
        <f aca="false">IF(J44="","",J44^2)</f>
        <v/>
      </c>
    </row>
    <row r="45" customFormat="false" ht="15" hidden="false" customHeight="false" outlineLevel="0" collapsed="false">
      <c r="A45" s="16"/>
      <c r="B45" s="17"/>
      <c r="C45" s="17"/>
      <c r="D45" s="17"/>
      <c r="E45" s="17"/>
      <c r="F45" s="17"/>
      <c r="G45" s="17"/>
      <c r="H45" s="17"/>
      <c r="I45" s="17"/>
      <c r="J45" s="18" t="str">
        <f aca="false">IF(COUNT(E45:I45)&lt;5,"",SUM(E45:I45))</f>
        <v/>
      </c>
      <c r="K45" s="18" t="str">
        <f aca="false">IF(J45="","",IF(M45&lt;설정!$B$3,"",ROUND(AVERAGEIFS($J$2:$J$1001,$B$2:$B$1001,B45,$A$2:$A$1001,"&lt;"&amp;A45,$A$2:$A$1001,"&gt;="&amp;(A45-설정!$B$2)),2)))</f>
        <v/>
      </c>
      <c r="L45" s="18" t="str">
        <f aca="false">IF(K45="","",ROUND(SQRT(MAX(0,(SUMIFS($R$2:$R$1001,$B$2:$B$1001,B45,$A$2:$A$1001,"&lt;"&amp;A45,$A$2:$A$1001,"&gt;="&amp;(A45-설정!$B$2))-M45*AVERAGEIFS($J$2:$J$1001,$B$2:$B$1001,B45,$A$2:$A$1001,"&lt;"&amp;A45,$A$2:$A$1001,"&gt;="&amp;(A45-설정!$B$2))^2)/(M45-1))),2))</f>
        <v/>
      </c>
      <c r="M45" s="18" t="str">
        <f aca="false">IF(J45="","",COUNTIFS($B$2:$B$1001,B45,$A$2:$A$1001,"&lt;"&amp;A45,$A$2:$A$1001,"&gt;="&amp;(A45-설정!$B$2),$J$2:$J$1001,"&gt;=0"))</f>
        <v/>
      </c>
      <c r="N45" s="18" t="str">
        <f aca="false">IF(K45="","",IF(L45=0,"",ROUND((J45-K45)/L45,2)))</f>
        <v/>
      </c>
      <c r="O45" s="19" t="str">
        <f aca="false">IF(J45="","",IF(MIN(F45,G45)&lt;=설정!$B$5,"예",""))</f>
        <v/>
      </c>
      <c r="P45" s="19" t="str">
        <f aca="false">IF(J45="","",IF(M45&lt;설정!$B$3,"baseline 수집 중",IF(N45="","정상",IF(N45&lt;=설정!$B$4,"낮음","정상"))))</f>
        <v/>
      </c>
      <c r="Q45" s="20"/>
      <c r="R45" s="18" t="str">
        <f aca="false">IF(J45="","",J45^2)</f>
        <v/>
      </c>
    </row>
    <row r="46" customFormat="false" ht="15" hidden="false" customHeight="false" outlineLevel="0" collapsed="false">
      <c r="A46" s="16"/>
      <c r="B46" s="17"/>
      <c r="C46" s="17"/>
      <c r="D46" s="17"/>
      <c r="E46" s="17"/>
      <c r="F46" s="17"/>
      <c r="G46" s="17"/>
      <c r="H46" s="17"/>
      <c r="I46" s="17"/>
      <c r="J46" s="18" t="str">
        <f aca="false">IF(COUNT(E46:I46)&lt;5,"",SUM(E46:I46))</f>
        <v/>
      </c>
      <c r="K46" s="18" t="str">
        <f aca="false">IF(J46="","",IF(M46&lt;설정!$B$3,"",ROUND(AVERAGEIFS($J$2:$J$1001,$B$2:$B$1001,B46,$A$2:$A$1001,"&lt;"&amp;A46,$A$2:$A$1001,"&gt;="&amp;(A46-설정!$B$2)),2)))</f>
        <v/>
      </c>
      <c r="L46" s="18" t="str">
        <f aca="false">IF(K46="","",ROUND(SQRT(MAX(0,(SUMIFS($R$2:$R$1001,$B$2:$B$1001,B46,$A$2:$A$1001,"&lt;"&amp;A46,$A$2:$A$1001,"&gt;="&amp;(A46-설정!$B$2))-M46*AVERAGEIFS($J$2:$J$1001,$B$2:$B$1001,B46,$A$2:$A$1001,"&lt;"&amp;A46,$A$2:$A$1001,"&gt;="&amp;(A46-설정!$B$2))^2)/(M46-1))),2))</f>
        <v/>
      </c>
      <c r="M46" s="18" t="str">
        <f aca="false">IF(J46="","",COUNTIFS($B$2:$B$1001,B46,$A$2:$A$1001,"&lt;"&amp;A46,$A$2:$A$1001,"&gt;="&amp;(A46-설정!$B$2),$J$2:$J$1001,"&gt;=0"))</f>
        <v/>
      </c>
      <c r="N46" s="18" t="str">
        <f aca="false">IF(K46="","",IF(L46=0,"",ROUND((J46-K46)/L46,2)))</f>
        <v/>
      </c>
      <c r="O46" s="19" t="str">
        <f aca="false">IF(J46="","",IF(MIN(F46,G46)&lt;=설정!$B$5,"예",""))</f>
        <v/>
      </c>
      <c r="P46" s="19" t="str">
        <f aca="false">IF(J46="","",IF(M46&lt;설정!$B$3,"baseline 수집 중",IF(N46="","정상",IF(N46&lt;=설정!$B$4,"낮음","정상"))))</f>
        <v/>
      </c>
      <c r="Q46" s="20"/>
      <c r="R46" s="18" t="str">
        <f aca="false">IF(J46="","",J46^2)</f>
        <v/>
      </c>
    </row>
    <row r="47" customFormat="false" ht="15" hidden="false" customHeight="false" outlineLevel="0" collapsed="false">
      <c r="A47" s="16"/>
      <c r="B47" s="17"/>
      <c r="C47" s="17"/>
      <c r="D47" s="17"/>
      <c r="E47" s="17"/>
      <c r="F47" s="17"/>
      <c r="G47" s="17"/>
      <c r="H47" s="17"/>
      <c r="I47" s="17"/>
      <c r="J47" s="18" t="str">
        <f aca="false">IF(COUNT(E47:I47)&lt;5,"",SUM(E47:I47))</f>
        <v/>
      </c>
      <c r="K47" s="18" t="str">
        <f aca="false">IF(J47="","",IF(M47&lt;설정!$B$3,"",ROUND(AVERAGEIFS($J$2:$J$1001,$B$2:$B$1001,B47,$A$2:$A$1001,"&lt;"&amp;A47,$A$2:$A$1001,"&gt;="&amp;(A47-설정!$B$2)),2)))</f>
        <v/>
      </c>
      <c r="L47" s="18" t="str">
        <f aca="false">IF(K47="","",ROUND(SQRT(MAX(0,(SUMIFS($R$2:$R$1001,$B$2:$B$1001,B47,$A$2:$A$1001,"&lt;"&amp;A47,$A$2:$A$1001,"&gt;="&amp;(A47-설정!$B$2))-M47*AVERAGEIFS($J$2:$J$1001,$B$2:$B$1001,B47,$A$2:$A$1001,"&lt;"&amp;A47,$A$2:$A$1001,"&gt;="&amp;(A47-설정!$B$2))^2)/(M47-1))),2))</f>
        <v/>
      </c>
      <c r="M47" s="18" t="str">
        <f aca="false">IF(J47="","",COUNTIFS($B$2:$B$1001,B47,$A$2:$A$1001,"&lt;"&amp;A47,$A$2:$A$1001,"&gt;="&amp;(A47-설정!$B$2),$J$2:$J$1001,"&gt;=0"))</f>
        <v/>
      </c>
      <c r="N47" s="18" t="str">
        <f aca="false">IF(K47="","",IF(L47=0,"",ROUND((J47-K47)/L47,2)))</f>
        <v/>
      </c>
      <c r="O47" s="19" t="str">
        <f aca="false">IF(J47="","",IF(MIN(F47,G47)&lt;=설정!$B$5,"예",""))</f>
        <v/>
      </c>
      <c r="P47" s="19" t="str">
        <f aca="false">IF(J47="","",IF(M47&lt;설정!$B$3,"baseline 수집 중",IF(N47="","정상",IF(N47&lt;=설정!$B$4,"낮음","정상"))))</f>
        <v/>
      </c>
      <c r="Q47" s="20"/>
      <c r="R47" s="18" t="str">
        <f aca="false">IF(J47="","",J47^2)</f>
        <v/>
      </c>
    </row>
    <row r="48" customFormat="false" ht="15" hidden="false" customHeight="false" outlineLevel="0" collapsed="false">
      <c r="A48" s="16"/>
      <c r="B48" s="17"/>
      <c r="C48" s="17"/>
      <c r="D48" s="17"/>
      <c r="E48" s="17"/>
      <c r="F48" s="17"/>
      <c r="G48" s="17"/>
      <c r="H48" s="17"/>
      <c r="I48" s="17"/>
      <c r="J48" s="18" t="str">
        <f aca="false">IF(COUNT(E48:I48)&lt;5,"",SUM(E48:I48))</f>
        <v/>
      </c>
      <c r="K48" s="18" t="str">
        <f aca="false">IF(J48="","",IF(M48&lt;설정!$B$3,"",ROUND(AVERAGEIFS($J$2:$J$1001,$B$2:$B$1001,B48,$A$2:$A$1001,"&lt;"&amp;A48,$A$2:$A$1001,"&gt;="&amp;(A48-설정!$B$2)),2)))</f>
        <v/>
      </c>
      <c r="L48" s="18" t="str">
        <f aca="false">IF(K48="","",ROUND(SQRT(MAX(0,(SUMIFS($R$2:$R$1001,$B$2:$B$1001,B48,$A$2:$A$1001,"&lt;"&amp;A48,$A$2:$A$1001,"&gt;="&amp;(A48-설정!$B$2))-M48*AVERAGEIFS($J$2:$J$1001,$B$2:$B$1001,B48,$A$2:$A$1001,"&lt;"&amp;A48,$A$2:$A$1001,"&gt;="&amp;(A48-설정!$B$2))^2)/(M48-1))),2))</f>
        <v/>
      </c>
      <c r="M48" s="18" t="str">
        <f aca="false">IF(J48="","",COUNTIFS($B$2:$B$1001,B48,$A$2:$A$1001,"&lt;"&amp;A48,$A$2:$A$1001,"&gt;="&amp;(A48-설정!$B$2),$J$2:$J$1001,"&gt;=0"))</f>
        <v/>
      </c>
      <c r="N48" s="18" t="str">
        <f aca="false">IF(K48="","",IF(L48=0,"",ROUND((J48-K48)/L48,2)))</f>
        <v/>
      </c>
      <c r="O48" s="19" t="str">
        <f aca="false">IF(J48="","",IF(MIN(F48,G48)&lt;=설정!$B$5,"예",""))</f>
        <v/>
      </c>
      <c r="P48" s="19" t="str">
        <f aca="false">IF(J48="","",IF(M48&lt;설정!$B$3,"baseline 수집 중",IF(N48="","정상",IF(N48&lt;=설정!$B$4,"낮음","정상"))))</f>
        <v/>
      </c>
      <c r="Q48" s="20"/>
      <c r="R48" s="18" t="str">
        <f aca="false">IF(J48="","",J48^2)</f>
        <v/>
      </c>
    </row>
    <row r="49" customFormat="false" ht="15" hidden="false" customHeight="false" outlineLevel="0" collapsed="false">
      <c r="A49" s="16"/>
      <c r="B49" s="17"/>
      <c r="C49" s="17"/>
      <c r="D49" s="17"/>
      <c r="E49" s="17"/>
      <c r="F49" s="17"/>
      <c r="G49" s="17"/>
      <c r="H49" s="17"/>
      <c r="I49" s="17"/>
      <c r="J49" s="18" t="str">
        <f aca="false">IF(COUNT(E49:I49)&lt;5,"",SUM(E49:I49))</f>
        <v/>
      </c>
      <c r="K49" s="18" t="str">
        <f aca="false">IF(J49="","",IF(M49&lt;설정!$B$3,"",ROUND(AVERAGEIFS($J$2:$J$1001,$B$2:$B$1001,B49,$A$2:$A$1001,"&lt;"&amp;A49,$A$2:$A$1001,"&gt;="&amp;(A49-설정!$B$2)),2)))</f>
        <v/>
      </c>
      <c r="L49" s="18" t="str">
        <f aca="false">IF(K49="","",ROUND(SQRT(MAX(0,(SUMIFS($R$2:$R$1001,$B$2:$B$1001,B49,$A$2:$A$1001,"&lt;"&amp;A49,$A$2:$A$1001,"&gt;="&amp;(A49-설정!$B$2))-M49*AVERAGEIFS($J$2:$J$1001,$B$2:$B$1001,B49,$A$2:$A$1001,"&lt;"&amp;A49,$A$2:$A$1001,"&gt;="&amp;(A49-설정!$B$2))^2)/(M49-1))),2))</f>
        <v/>
      </c>
      <c r="M49" s="18" t="str">
        <f aca="false">IF(J49="","",COUNTIFS($B$2:$B$1001,B49,$A$2:$A$1001,"&lt;"&amp;A49,$A$2:$A$1001,"&gt;="&amp;(A49-설정!$B$2),$J$2:$J$1001,"&gt;=0"))</f>
        <v/>
      </c>
      <c r="N49" s="18" t="str">
        <f aca="false">IF(K49="","",IF(L49=0,"",ROUND((J49-K49)/L49,2)))</f>
        <v/>
      </c>
      <c r="O49" s="19" t="str">
        <f aca="false">IF(J49="","",IF(MIN(F49,G49)&lt;=설정!$B$5,"예",""))</f>
        <v/>
      </c>
      <c r="P49" s="19" t="str">
        <f aca="false">IF(J49="","",IF(M49&lt;설정!$B$3,"baseline 수집 중",IF(N49="","정상",IF(N49&lt;=설정!$B$4,"낮음","정상"))))</f>
        <v/>
      </c>
      <c r="Q49" s="20"/>
      <c r="R49" s="18" t="str">
        <f aca="false">IF(J49="","",J49^2)</f>
        <v/>
      </c>
    </row>
    <row r="50" customFormat="false" ht="15" hidden="false" customHeight="false" outlineLevel="0" collapsed="false">
      <c r="A50" s="16"/>
      <c r="B50" s="17"/>
      <c r="C50" s="17"/>
      <c r="D50" s="17"/>
      <c r="E50" s="17"/>
      <c r="F50" s="17"/>
      <c r="G50" s="17"/>
      <c r="H50" s="17"/>
      <c r="I50" s="17"/>
      <c r="J50" s="18" t="str">
        <f aca="false">IF(COUNT(E50:I50)&lt;5,"",SUM(E50:I50))</f>
        <v/>
      </c>
      <c r="K50" s="18" t="str">
        <f aca="false">IF(J50="","",IF(M50&lt;설정!$B$3,"",ROUND(AVERAGEIFS($J$2:$J$1001,$B$2:$B$1001,B50,$A$2:$A$1001,"&lt;"&amp;A50,$A$2:$A$1001,"&gt;="&amp;(A50-설정!$B$2)),2)))</f>
        <v/>
      </c>
      <c r="L50" s="18" t="str">
        <f aca="false">IF(K50="","",ROUND(SQRT(MAX(0,(SUMIFS($R$2:$R$1001,$B$2:$B$1001,B50,$A$2:$A$1001,"&lt;"&amp;A50,$A$2:$A$1001,"&gt;="&amp;(A50-설정!$B$2))-M50*AVERAGEIFS($J$2:$J$1001,$B$2:$B$1001,B50,$A$2:$A$1001,"&lt;"&amp;A50,$A$2:$A$1001,"&gt;="&amp;(A50-설정!$B$2))^2)/(M50-1))),2))</f>
        <v/>
      </c>
      <c r="M50" s="18" t="str">
        <f aca="false">IF(J50="","",COUNTIFS($B$2:$B$1001,B50,$A$2:$A$1001,"&lt;"&amp;A50,$A$2:$A$1001,"&gt;="&amp;(A50-설정!$B$2),$J$2:$J$1001,"&gt;=0"))</f>
        <v/>
      </c>
      <c r="N50" s="18" t="str">
        <f aca="false">IF(K50="","",IF(L50=0,"",ROUND((J50-K50)/L50,2)))</f>
        <v/>
      </c>
      <c r="O50" s="19" t="str">
        <f aca="false">IF(J50="","",IF(MIN(F50,G50)&lt;=설정!$B$5,"예",""))</f>
        <v/>
      </c>
      <c r="P50" s="19" t="str">
        <f aca="false">IF(J50="","",IF(M50&lt;설정!$B$3,"baseline 수집 중",IF(N50="","정상",IF(N50&lt;=설정!$B$4,"낮음","정상"))))</f>
        <v/>
      </c>
      <c r="Q50" s="20"/>
      <c r="R50" s="18" t="str">
        <f aca="false">IF(J50="","",J50^2)</f>
        <v/>
      </c>
    </row>
    <row r="51" customFormat="false" ht="15" hidden="false" customHeight="false" outlineLevel="0" collapsed="false">
      <c r="A51" s="16"/>
      <c r="B51" s="17"/>
      <c r="C51" s="17"/>
      <c r="D51" s="17"/>
      <c r="E51" s="17"/>
      <c r="F51" s="17"/>
      <c r="G51" s="17"/>
      <c r="H51" s="17"/>
      <c r="I51" s="17"/>
      <c r="J51" s="18" t="str">
        <f aca="false">IF(COUNT(E51:I51)&lt;5,"",SUM(E51:I51))</f>
        <v/>
      </c>
      <c r="K51" s="18" t="str">
        <f aca="false">IF(J51="","",IF(M51&lt;설정!$B$3,"",ROUND(AVERAGEIFS($J$2:$J$1001,$B$2:$B$1001,B51,$A$2:$A$1001,"&lt;"&amp;A51,$A$2:$A$1001,"&gt;="&amp;(A51-설정!$B$2)),2)))</f>
        <v/>
      </c>
      <c r="L51" s="18" t="str">
        <f aca="false">IF(K51="","",ROUND(SQRT(MAX(0,(SUMIFS($R$2:$R$1001,$B$2:$B$1001,B51,$A$2:$A$1001,"&lt;"&amp;A51,$A$2:$A$1001,"&gt;="&amp;(A51-설정!$B$2))-M51*AVERAGEIFS($J$2:$J$1001,$B$2:$B$1001,B51,$A$2:$A$1001,"&lt;"&amp;A51,$A$2:$A$1001,"&gt;="&amp;(A51-설정!$B$2))^2)/(M51-1))),2))</f>
        <v/>
      </c>
      <c r="M51" s="18" t="str">
        <f aca="false">IF(J51="","",COUNTIFS($B$2:$B$1001,B51,$A$2:$A$1001,"&lt;"&amp;A51,$A$2:$A$1001,"&gt;="&amp;(A51-설정!$B$2),$J$2:$J$1001,"&gt;=0"))</f>
        <v/>
      </c>
      <c r="N51" s="18" t="str">
        <f aca="false">IF(K51="","",IF(L51=0,"",ROUND((J51-K51)/L51,2)))</f>
        <v/>
      </c>
      <c r="O51" s="19" t="str">
        <f aca="false">IF(J51="","",IF(MIN(F51,G51)&lt;=설정!$B$5,"예",""))</f>
        <v/>
      </c>
      <c r="P51" s="19" t="str">
        <f aca="false">IF(J51="","",IF(M51&lt;설정!$B$3,"baseline 수집 중",IF(N51="","정상",IF(N51&lt;=설정!$B$4,"낮음","정상"))))</f>
        <v/>
      </c>
      <c r="Q51" s="20"/>
      <c r="R51" s="18" t="str">
        <f aca="false">IF(J51="","",J51^2)</f>
        <v/>
      </c>
    </row>
    <row r="52" customFormat="false" ht="15" hidden="false" customHeight="false" outlineLevel="0" collapsed="false">
      <c r="A52" s="16"/>
      <c r="B52" s="17"/>
      <c r="C52" s="17"/>
      <c r="D52" s="17"/>
      <c r="E52" s="17"/>
      <c r="F52" s="17"/>
      <c r="G52" s="17"/>
      <c r="H52" s="17"/>
      <c r="I52" s="17"/>
      <c r="J52" s="18" t="str">
        <f aca="false">IF(COUNT(E52:I52)&lt;5,"",SUM(E52:I52))</f>
        <v/>
      </c>
      <c r="K52" s="18" t="str">
        <f aca="false">IF(J52="","",IF(M52&lt;설정!$B$3,"",ROUND(AVERAGEIFS($J$2:$J$1001,$B$2:$B$1001,B52,$A$2:$A$1001,"&lt;"&amp;A52,$A$2:$A$1001,"&gt;="&amp;(A52-설정!$B$2)),2)))</f>
        <v/>
      </c>
      <c r="L52" s="18" t="str">
        <f aca="false">IF(K52="","",ROUND(SQRT(MAX(0,(SUMIFS($R$2:$R$1001,$B$2:$B$1001,B52,$A$2:$A$1001,"&lt;"&amp;A52,$A$2:$A$1001,"&gt;="&amp;(A52-설정!$B$2))-M52*AVERAGEIFS($J$2:$J$1001,$B$2:$B$1001,B52,$A$2:$A$1001,"&lt;"&amp;A52,$A$2:$A$1001,"&gt;="&amp;(A52-설정!$B$2))^2)/(M52-1))),2))</f>
        <v/>
      </c>
      <c r="M52" s="18" t="str">
        <f aca="false">IF(J52="","",COUNTIFS($B$2:$B$1001,B52,$A$2:$A$1001,"&lt;"&amp;A52,$A$2:$A$1001,"&gt;="&amp;(A52-설정!$B$2),$J$2:$J$1001,"&gt;=0"))</f>
        <v/>
      </c>
      <c r="N52" s="18" t="str">
        <f aca="false">IF(K52="","",IF(L52=0,"",ROUND((J52-K52)/L52,2)))</f>
        <v/>
      </c>
      <c r="O52" s="19" t="str">
        <f aca="false">IF(J52="","",IF(MIN(F52,G52)&lt;=설정!$B$5,"예",""))</f>
        <v/>
      </c>
      <c r="P52" s="19" t="str">
        <f aca="false">IF(J52="","",IF(M52&lt;설정!$B$3,"baseline 수집 중",IF(N52="","정상",IF(N52&lt;=설정!$B$4,"낮음","정상"))))</f>
        <v/>
      </c>
      <c r="Q52" s="20"/>
      <c r="R52" s="18" t="str">
        <f aca="false">IF(J52="","",J52^2)</f>
        <v/>
      </c>
    </row>
    <row r="53" customFormat="false" ht="15" hidden="false" customHeight="false" outlineLevel="0" collapsed="false">
      <c r="A53" s="16"/>
      <c r="B53" s="17"/>
      <c r="C53" s="17"/>
      <c r="D53" s="17"/>
      <c r="E53" s="17"/>
      <c r="F53" s="17"/>
      <c r="G53" s="17"/>
      <c r="H53" s="17"/>
      <c r="I53" s="17"/>
      <c r="J53" s="18" t="str">
        <f aca="false">IF(COUNT(E53:I53)&lt;5,"",SUM(E53:I53))</f>
        <v/>
      </c>
      <c r="K53" s="18" t="str">
        <f aca="false">IF(J53="","",IF(M53&lt;설정!$B$3,"",ROUND(AVERAGEIFS($J$2:$J$1001,$B$2:$B$1001,B53,$A$2:$A$1001,"&lt;"&amp;A53,$A$2:$A$1001,"&gt;="&amp;(A53-설정!$B$2)),2)))</f>
        <v/>
      </c>
      <c r="L53" s="18" t="str">
        <f aca="false">IF(K53="","",ROUND(SQRT(MAX(0,(SUMIFS($R$2:$R$1001,$B$2:$B$1001,B53,$A$2:$A$1001,"&lt;"&amp;A53,$A$2:$A$1001,"&gt;="&amp;(A53-설정!$B$2))-M53*AVERAGEIFS($J$2:$J$1001,$B$2:$B$1001,B53,$A$2:$A$1001,"&lt;"&amp;A53,$A$2:$A$1001,"&gt;="&amp;(A53-설정!$B$2))^2)/(M53-1))),2))</f>
        <v/>
      </c>
      <c r="M53" s="18" t="str">
        <f aca="false">IF(J53="","",COUNTIFS($B$2:$B$1001,B53,$A$2:$A$1001,"&lt;"&amp;A53,$A$2:$A$1001,"&gt;="&amp;(A53-설정!$B$2),$J$2:$J$1001,"&gt;=0"))</f>
        <v/>
      </c>
      <c r="N53" s="18" t="str">
        <f aca="false">IF(K53="","",IF(L53=0,"",ROUND((J53-K53)/L53,2)))</f>
        <v/>
      </c>
      <c r="O53" s="19" t="str">
        <f aca="false">IF(J53="","",IF(MIN(F53,G53)&lt;=설정!$B$5,"예",""))</f>
        <v/>
      </c>
      <c r="P53" s="19" t="str">
        <f aca="false">IF(J53="","",IF(M53&lt;설정!$B$3,"baseline 수집 중",IF(N53="","정상",IF(N53&lt;=설정!$B$4,"낮음","정상"))))</f>
        <v/>
      </c>
      <c r="Q53" s="20"/>
      <c r="R53" s="18" t="str">
        <f aca="false">IF(J53="","",J53^2)</f>
        <v/>
      </c>
    </row>
    <row r="54" customFormat="false" ht="15" hidden="false" customHeight="false" outlineLevel="0" collapsed="false">
      <c r="A54" s="16"/>
      <c r="B54" s="17"/>
      <c r="C54" s="17"/>
      <c r="D54" s="17"/>
      <c r="E54" s="17"/>
      <c r="F54" s="17"/>
      <c r="G54" s="17"/>
      <c r="H54" s="17"/>
      <c r="I54" s="17"/>
      <c r="J54" s="18" t="str">
        <f aca="false">IF(COUNT(E54:I54)&lt;5,"",SUM(E54:I54))</f>
        <v/>
      </c>
      <c r="K54" s="18" t="str">
        <f aca="false">IF(J54="","",IF(M54&lt;설정!$B$3,"",ROUND(AVERAGEIFS($J$2:$J$1001,$B$2:$B$1001,B54,$A$2:$A$1001,"&lt;"&amp;A54,$A$2:$A$1001,"&gt;="&amp;(A54-설정!$B$2)),2)))</f>
        <v/>
      </c>
      <c r="L54" s="18" t="str">
        <f aca="false">IF(K54="","",ROUND(SQRT(MAX(0,(SUMIFS($R$2:$R$1001,$B$2:$B$1001,B54,$A$2:$A$1001,"&lt;"&amp;A54,$A$2:$A$1001,"&gt;="&amp;(A54-설정!$B$2))-M54*AVERAGEIFS($J$2:$J$1001,$B$2:$B$1001,B54,$A$2:$A$1001,"&lt;"&amp;A54,$A$2:$A$1001,"&gt;="&amp;(A54-설정!$B$2))^2)/(M54-1))),2))</f>
        <v/>
      </c>
      <c r="M54" s="18" t="str">
        <f aca="false">IF(J54="","",COUNTIFS($B$2:$B$1001,B54,$A$2:$A$1001,"&lt;"&amp;A54,$A$2:$A$1001,"&gt;="&amp;(A54-설정!$B$2),$J$2:$J$1001,"&gt;=0"))</f>
        <v/>
      </c>
      <c r="N54" s="18" t="str">
        <f aca="false">IF(K54="","",IF(L54=0,"",ROUND((J54-K54)/L54,2)))</f>
        <v/>
      </c>
      <c r="O54" s="19" t="str">
        <f aca="false">IF(J54="","",IF(MIN(F54,G54)&lt;=설정!$B$5,"예",""))</f>
        <v/>
      </c>
      <c r="P54" s="19" t="str">
        <f aca="false">IF(J54="","",IF(M54&lt;설정!$B$3,"baseline 수집 중",IF(N54="","정상",IF(N54&lt;=설정!$B$4,"낮음","정상"))))</f>
        <v/>
      </c>
      <c r="Q54" s="20"/>
      <c r="R54" s="18" t="str">
        <f aca="false">IF(J54="","",J54^2)</f>
        <v/>
      </c>
    </row>
    <row r="55" customFormat="false" ht="15" hidden="false" customHeight="false" outlineLevel="0" collapsed="false">
      <c r="A55" s="16"/>
      <c r="B55" s="17"/>
      <c r="C55" s="17"/>
      <c r="D55" s="17"/>
      <c r="E55" s="17"/>
      <c r="F55" s="17"/>
      <c r="G55" s="17"/>
      <c r="H55" s="17"/>
      <c r="I55" s="17"/>
      <c r="J55" s="18" t="str">
        <f aca="false">IF(COUNT(E55:I55)&lt;5,"",SUM(E55:I55))</f>
        <v/>
      </c>
      <c r="K55" s="18" t="str">
        <f aca="false">IF(J55="","",IF(M55&lt;설정!$B$3,"",ROUND(AVERAGEIFS($J$2:$J$1001,$B$2:$B$1001,B55,$A$2:$A$1001,"&lt;"&amp;A55,$A$2:$A$1001,"&gt;="&amp;(A55-설정!$B$2)),2)))</f>
        <v/>
      </c>
      <c r="L55" s="18" t="str">
        <f aca="false">IF(K55="","",ROUND(SQRT(MAX(0,(SUMIFS($R$2:$R$1001,$B$2:$B$1001,B55,$A$2:$A$1001,"&lt;"&amp;A55,$A$2:$A$1001,"&gt;="&amp;(A55-설정!$B$2))-M55*AVERAGEIFS($J$2:$J$1001,$B$2:$B$1001,B55,$A$2:$A$1001,"&lt;"&amp;A55,$A$2:$A$1001,"&gt;="&amp;(A55-설정!$B$2))^2)/(M55-1))),2))</f>
        <v/>
      </c>
      <c r="M55" s="18" t="str">
        <f aca="false">IF(J55="","",COUNTIFS($B$2:$B$1001,B55,$A$2:$A$1001,"&lt;"&amp;A55,$A$2:$A$1001,"&gt;="&amp;(A55-설정!$B$2),$J$2:$J$1001,"&gt;=0"))</f>
        <v/>
      </c>
      <c r="N55" s="18" t="str">
        <f aca="false">IF(K55="","",IF(L55=0,"",ROUND((J55-K55)/L55,2)))</f>
        <v/>
      </c>
      <c r="O55" s="19" t="str">
        <f aca="false">IF(J55="","",IF(MIN(F55,G55)&lt;=설정!$B$5,"예",""))</f>
        <v/>
      </c>
      <c r="P55" s="19" t="str">
        <f aca="false">IF(J55="","",IF(M55&lt;설정!$B$3,"baseline 수집 중",IF(N55="","정상",IF(N55&lt;=설정!$B$4,"낮음","정상"))))</f>
        <v/>
      </c>
      <c r="Q55" s="20"/>
      <c r="R55" s="18" t="str">
        <f aca="false">IF(J55="","",J55^2)</f>
        <v/>
      </c>
    </row>
    <row r="56" customFormat="false" ht="15" hidden="false" customHeight="false" outlineLevel="0" collapsed="false">
      <c r="A56" s="16"/>
      <c r="B56" s="17"/>
      <c r="C56" s="17"/>
      <c r="D56" s="17"/>
      <c r="E56" s="17"/>
      <c r="F56" s="17"/>
      <c r="G56" s="17"/>
      <c r="H56" s="17"/>
      <c r="I56" s="17"/>
      <c r="J56" s="18" t="str">
        <f aca="false">IF(COUNT(E56:I56)&lt;5,"",SUM(E56:I56))</f>
        <v/>
      </c>
      <c r="K56" s="18" t="str">
        <f aca="false">IF(J56="","",IF(M56&lt;설정!$B$3,"",ROUND(AVERAGEIFS($J$2:$J$1001,$B$2:$B$1001,B56,$A$2:$A$1001,"&lt;"&amp;A56,$A$2:$A$1001,"&gt;="&amp;(A56-설정!$B$2)),2)))</f>
        <v/>
      </c>
      <c r="L56" s="18" t="str">
        <f aca="false">IF(K56="","",ROUND(SQRT(MAX(0,(SUMIFS($R$2:$R$1001,$B$2:$B$1001,B56,$A$2:$A$1001,"&lt;"&amp;A56,$A$2:$A$1001,"&gt;="&amp;(A56-설정!$B$2))-M56*AVERAGEIFS($J$2:$J$1001,$B$2:$B$1001,B56,$A$2:$A$1001,"&lt;"&amp;A56,$A$2:$A$1001,"&gt;="&amp;(A56-설정!$B$2))^2)/(M56-1))),2))</f>
        <v/>
      </c>
      <c r="M56" s="18" t="str">
        <f aca="false">IF(J56="","",COUNTIFS($B$2:$B$1001,B56,$A$2:$A$1001,"&lt;"&amp;A56,$A$2:$A$1001,"&gt;="&amp;(A56-설정!$B$2),$J$2:$J$1001,"&gt;=0"))</f>
        <v/>
      </c>
      <c r="N56" s="18" t="str">
        <f aca="false">IF(K56="","",IF(L56=0,"",ROUND((J56-K56)/L56,2)))</f>
        <v/>
      </c>
      <c r="O56" s="19" t="str">
        <f aca="false">IF(J56="","",IF(MIN(F56,G56)&lt;=설정!$B$5,"예",""))</f>
        <v/>
      </c>
      <c r="P56" s="19" t="str">
        <f aca="false">IF(J56="","",IF(M56&lt;설정!$B$3,"baseline 수집 중",IF(N56="","정상",IF(N56&lt;=설정!$B$4,"낮음","정상"))))</f>
        <v/>
      </c>
      <c r="Q56" s="20"/>
      <c r="R56" s="18" t="str">
        <f aca="false">IF(J56="","",J56^2)</f>
        <v/>
      </c>
    </row>
    <row r="57" customFormat="false" ht="15" hidden="false" customHeight="false" outlineLevel="0" collapsed="false">
      <c r="A57" s="16"/>
      <c r="B57" s="17"/>
      <c r="C57" s="17"/>
      <c r="D57" s="17"/>
      <c r="E57" s="17"/>
      <c r="F57" s="17"/>
      <c r="G57" s="17"/>
      <c r="H57" s="17"/>
      <c r="I57" s="17"/>
      <c r="J57" s="18" t="str">
        <f aca="false">IF(COUNT(E57:I57)&lt;5,"",SUM(E57:I57))</f>
        <v/>
      </c>
      <c r="K57" s="18" t="str">
        <f aca="false">IF(J57="","",IF(M57&lt;설정!$B$3,"",ROUND(AVERAGEIFS($J$2:$J$1001,$B$2:$B$1001,B57,$A$2:$A$1001,"&lt;"&amp;A57,$A$2:$A$1001,"&gt;="&amp;(A57-설정!$B$2)),2)))</f>
        <v/>
      </c>
      <c r="L57" s="18" t="str">
        <f aca="false">IF(K57="","",ROUND(SQRT(MAX(0,(SUMIFS($R$2:$R$1001,$B$2:$B$1001,B57,$A$2:$A$1001,"&lt;"&amp;A57,$A$2:$A$1001,"&gt;="&amp;(A57-설정!$B$2))-M57*AVERAGEIFS($J$2:$J$1001,$B$2:$B$1001,B57,$A$2:$A$1001,"&lt;"&amp;A57,$A$2:$A$1001,"&gt;="&amp;(A57-설정!$B$2))^2)/(M57-1))),2))</f>
        <v/>
      </c>
      <c r="M57" s="18" t="str">
        <f aca="false">IF(J57="","",COUNTIFS($B$2:$B$1001,B57,$A$2:$A$1001,"&lt;"&amp;A57,$A$2:$A$1001,"&gt;="&amp;(A57-설정!$B$2),$J$2:$J$1001,"&gt;=0"))</f>
        <v/>
      </c>
      <c r="N57" s="18" t="str">
        <f aca="false">IF(K57="","",IF(L57=0,"",ROUND((J57-K57)/L57,2)))</f>
        <v/>
      </c>
      <c r="O57" s="19" t="str">
        <f aca="false">IF(J57="","",IF(MIN(F57,G57)&lt;=설정!$B$5,"예",""))</f>
        <v/>
      </c>
      <c r="P57" s="19" t="str">
        <f aca="false">IF(J57="","",IF(M57&lt;설정!$B$3,"baseline 수집 중",IF(N57="","정상",IF(N57&lt;=설정!$B$4,"낮음","정상"))))</f>
        <v/>
      </c>
      <c r="Q57" s="20"/>
      <c r="R57" s="18" t="str">
        <f aca="false">IF(J57="","",J57^2)</f>
        <v/>
      </c>
    </row>
    <row r="58" customFormat="false" ht="15" hidden="false" customHeight="false" outlineLevel="0" collapsed="false">
      <c r="A58" s="16"/>
      <c r="B58" s="17"/>
      <c r="C58" s="17"/>
      <c r="D58" s="17"/>
      <c r="E58" s="17"/>
      <c r="F58" s="17"/>
      <c r="G58" s="17"/>
      <c r="H58" s="17"/>
      <c r="I58" s="17"/>
      <c r="J58" s="18" t="str">
        <f aca="false">IF(COUNT(E58:I58)&lt;5,"",SUM(E58:I58))</f>
        <v/>
      </c>
      <c r="K58" s="18" t="str">
        <f aca="false">IF(J58="","",IF(M58&lt;설정!$B$3,"",ROUND(AVERAGEIFS($J$2:$J$1001,$B$2:$B$1001,B58,$A$2:$A$1001,"&lt;"&amp;A58,$A$2:$A$1001,"&gt;="&amp;(A58-설정!$B$2)),2)))</f>
        <v/>
      </c>
      <c r="L58" s="18" t="str">
        <f aca="false">IF(K58="","",ROUND(SQRT(MAX(0,(SUMIFS($R$2:$R$1001,$B$2:$B$1001,B58,$A$2:$A$1001,"&lt;"&amp;A58,$A$2:$A$1001,"&gt;="&amp;(A58-설정!$B$2))-M58*AVERAGEIFS($J$2:$J$1001,$B$2:$B$1001,B58,$A$2:$A$1001,"&lt;"&amp;A58,$A$2:$A$1001,"&gt;="&amp;(A58-설정!$B$2))^2)/(M58-1))),2))</f>
        <v/>
      </c>
      <c r="M58" s="18" t="str">
        <f aca="false">IF(J58="","",COUNTIFS($B$2:$B$1001,B58,$A$2:$A$1001,"&lt;"&amp;A58,$A$2:$A$1001,"&gt;="&amp;(A58-설정!$B$2),$J$2:$J$1001,"&gt;=0"))</f>
        <v/>
      </c>
      <c r="N58" s="18" t="str">
        <f aca="false">IF(K58="","",IF(L58=0,"",ROUND((J58-K58)/L58,2)))</f>
        <v/>
      </c>
      <c r="O58" s="19" t="str">
        <f aca="false">IF(J58="","",IF(MIN(F58,G58)&lt;=설정!$B$5,"예",""))</f>
        <v/>
      </c>
      <c r="P58" s="19" t="str">
        <f aca="false">IF(J58="","",IF(M58&lt;설정!$B$3,"baseline 수집 중",IF(N58="","정상",IF(N58&lt;=설정!$B$4,"낮음","정상"))))</f>
        <v/>
      </c>
      <c r="Q58" s="20"/>
      <c r="R58" s="18" t="str">
        <f aca="false">IF(J58="","",J58^2)</f>
        <v/>
      </c>
    </row>
    <row r="59" customFormat="false" ht="15" hidden="false" customHeight="false" outlineLevel="0" collapsed="false">
      <c r="A59" s="16"/>
      <c r="B59" s="17"/>
      <c r="C59" s="17"/>
      <c r="D59" s="17"/>
      <c r="E59" s="17"/>
      <c r="F59" s="17"/>
      <c r="G59" s="17"/>
      <c r="H59" s="17"/>
      <c r="I59" s="17"/>
      <c r="J59" s="18" t="str">
        <f aca="false">IF(COUNT(E59:I59)&lt;5,"",SUM(E59:I59))</f>
        <v/>
      </c>
      <c r="K59" s="18" t="str">
        <f aca="false">IF(J59="","",IF(M59&lt;설정!$B$3,"",ROUND(AVERAGEIFS($J$2:$J$1001,$B$2:$B$1001,B59,$A$2:$A$1001,"&lt;"&amp;A59,$A$2:$A$1001,"&gt;="&amp;(A59-설정!$B$2)),2)))</f>
        <v/>
      </c>
      <c r="L59" s="18" t="str">
        <f aca="false">IF(K59="","",ROUND(SQRT(MAX(0,(SUMIFS($R$2:$R$1001,$B$2:$B$1001,B59,$A$2:$A$1001,"&lt;"&amp;A59,$A$2:$A$1001,"&gt;="&amp;(A59-설정!$B$2))-M59*AVERAGEIFS($J$2:$J$1001,$B$2:$B$1001,B59,$A$2:$A$1001,"&lt;"&amp;A59,$A$2:$A$1001,"&gt;="&amp;(A59-설정!$B$2))^2)/(M59-1))),2))</f>
        <v/>
      </c>
      <c r="M59" s="18" t="str">
        <f aca="false">IF(J59="","",COUNTIFS($B$2:$B$1001,B59,$A$2:$A$1001,"&lt;"&amp;A59,$A$2:$A$1001,"&gt;="&amp;(A59-설정!$B$2),$J$2:$J$1001,"&gt;=0"))</f>
        <v/>
      </c>
      <c r="N59" s="18" t="str">
        <f aca="false">IF(K59="","",IF(L59=0,"",ROUND((J59-K59)/L59,2)))</f>
        <v/>
      </c>
      <c r="O59" s="19" t="str">
        <f aca="false">IF(J59="","",IF(MIN(F59,G59)&lt;=설정!$B$5,"예",""))</f>
        <v/>
      </c>
      <c r="P59" s="19" t="str">
        <f aca="false">IF(J59="","",IF(M59&lt;설정!$B$3,"baseline 수집 중",IF(N59="","정상",IF(N59&lt;=설정!$B$4,"낮음","정상"))))</f>
        <v/>
      </c>
      <c r="Q59" s="20"/>
      <c r="R59" s="18" t="str">
        <f aca="false">IF(J59="","",J59^2)</f>
        <v/>
      </c>
    </row>
    <row r="60" customFormat="false" ht="15" hidden="false" customHeight="false" outlineLevel="0" collapsed="false">
      <c r="A60" s="16"/>
      <c r="B60" s="17"/>
      <c r="C60" s="17"/>
      <c r="D60" s="17"/>
      <c r="E60" s="17"/>
      <c r="F60" s="17"/>
      <c r="G60" s="17"/>
      <c r="H60" s="17"/>
      <c r="I60" s="17"/>
      <c r="J60" s="18" t="str">
        <f aca="false">IF(COUNT(E60:I60)&lt;5,"",SUM(E60:I60))</f>
        <v/>
      </c>
      <c r="K60" s="18" t="str">
        <f aca="false">IF(J60="","",IF(M60&lt;설정!$B$3,"",ROUND(AVERAGEIFS($J$2:$J$1001,$B$2:$B$1001,B60,$A$2:$A$1001,"&lt;"&amp;A60,$A$2:$A$1001,"&gt;="&amp;(A60-설정!$B$2)),2)))</f>
        <v/>
      </c>
      <c r="L60" s="18" t="str">
        <f aca="false">IF(K60="","",ROUND(SQRT(MAX(0,(SUMIFS($R$2:$R$1001,$B$2:$B$1001,B60,$A$2:$A$1001,"&lt;"&amp;A60,$A$2:$A$1001,"&gt;="&amp;(A60-설정!$B$2))-M60*AVERAGEIFS($J$2:$J$1001,$B$2:$B$1001,B60,$A$2:$A$1001,"&lt;"&amp;A60,$A$2:$A$1001,"&gt;="&amp;(A60-설정!$B$2))^2)/(M60-1))),2))</f>
        <v/>
      </c>
      <c r="M60" s="18" t="str">
        <f aca="false">IF(J60="","",COUNTIFS($B$2:$B$1001,B60,$A$2:$A$1001,"&lt;"&amp;A60,$A$2:$A$1001,"&gt;="&amp;(A60-설정!$B$2),$J$2:$J$1001,"&gt;=0"))</f>
        <v/>
      </c>
      <c r="N60" s="18" t="str">
        <f aca="false">IF(K60="","",IF(L60=0,"",ROUND((J60-K60)/L60,2)))</f>
        <v/>
      </c>
      <c r="O60" s="19" t="str">
        <f aca="false">IF(J60="","",IF(MIN(F60,G60)&lt;=설정!$B$5,"예",""))</f>
        <v/>
      </c>
      <c r="P60" s="19" t="str">
        <f aca="false">IF(J60="","",IF(M60&lt;설정!$B$3,"baseline 수집 중",IF(N60="","정상",IF(N60&lt;=설정!$B$4,"낮음","정상"))))</f>
        <v/>
      </c>
      <c r="Q60" s="20"/>
      <c r="R60" s="18" t="str">
        <f aca="false">IF(J60="","",J60^2)</f>
        <v/>
      </c>
    </row>
    <row r="61" customFormat="false" ht="15" hidden="false" customHeight="false" outlineLevel="0" collapsed="false">
      <c r="A61" s="16"/>
      <c r="B61" s="17"/>
      <c r="C61" s="17"/>
      <c r="D61" s="17"/>
      <c r="E61" s="17"/>
      <c r="F61" s="17"/>
      <c r="G61" s="17"/>
      <c r="H61" s="17"/>
      <c r="I61" s="17"/>
      <c r="J61" s="18" t="str">
        <f aca="false">IF(COUNT(E61:I61)&lt;5,"",SUM(E61:I61))</f>
        <v/>
      </c>
      <c r="K61" s="18" t="str">
        <f aca="false">IF(J61="","",IF(M61&lt;설정!$B$3,"",ROUND(AVERAGEIFS($J$2:$J$1001,$B$2:$B$1001,B61,$A$2:$A$1001,"&lt;"&amp;A61,$A$2:$A$1001,"&gt;="&amp;(A61-설정!$B$2)),2)))</f>
        <v/>
      </c>
      <c r="L61" s="18" t="str">
        <f aca="false">IF(K61="","",ROUND(SQRT(MAX(0,(SUMIFS($R$2:$R$1001,$B$2:$B$1001,B61,$A$2:$A$1001,"&lt;"&amp;A61,$A$2:$A$1001,"&gt;="&amp;(A61-설정!$B$2))-M61*AVERAGEIFS($J$2:$J$1001,$B$2:$B$1001,B61,$A$2:$A$1001,"&lt;"&amp;A61,$A$2:$A$1001,"&gt;="&amp;(A61-설정!$B$2))^2)/(M61-1))),2))</f>
        <v/>
      </c>
      <c r="M61" s="18" t="str">
        <f aca="false">IF(J61="","",COUNTIFS($B$2:$B$1001,B61,$A$2:$A$1001,"&lt;"&amp;A61,$A$2:$A$1001,"&gt;="&amp;(A61-설정!$B$2),$J$2:$J$1001,"&gt;=0"))</f>
        <v/>
      </c>
      <c r="N61" s="18" t="str">
        <f aca="false">IF(K61="","",IF(L61=0,"",ROUND((J61-K61)/L61,2)))</f>
        <v/>
      </c>
      <c r="O61" s="19" t="str">
        <f aca="false">IF(J61="","",IF(MIN(F61,G61)&lt;=설정!$B$5,"예",""))</f>
        <v/>
      </c>
      <c r="P61" s="19" t="str">
        <f aca="false">IF(J61="","",IF(M61&lt;설정!$B$3,"baseline 수집 중",IF(N61="","정상",IF(N61&lt;=설정!$B$4,"낮음","정상"))))</f>
        <v/>
      </c>
      <c r="Q61" s="20"/>
      <c r="R61" s="18" t="str">
        <f aca="false">IF(J61="","",J61^2)</f>
        <v/>
      </c>
    </row>
    <row r="62" customFormat="false" ht="15" hidden="false" customHeight="false" outlineLevel="0" collapsed="false">
      <c r="A62" s="16"/>
      <c r="B62" s="17"/>
      <c r="C62" s="17"/>
      <c r="D62" s="17"/>
      <c r="E62" s="17"/>
      <c r="F62" s="17"/>
      <c r="G62" s="17"/>
      <c r="H62" s="17"/>
      <c r="I62" s="17"/>
      <c r="J62" s="18" t="str">
        <f aca="false">IF(COUNT(E62:I62)&lt;5,"",SUM(E62:I62))</f>
        <v/>
      </c>
      <c r="K62" s="18" t="str">
        <f aca="false">IF(J62="","",IF(M62&lt;설정!$B$3,"",ROUND(AVERAGEIFS($J$2:$J$1001,$B$2:$B$1001,B62,$A$2:$A$1001,"&lt;"&amp;A62,$A$2:$A$1001,"&gt;="&amp;(A62-설정!$B$2)),2)))</f>
        <v/>
      </c>
      <c r="L62" s="18" t="str">
        <f aca="false">IF(K62="","",ROUND(SQRT(MAX(0,(SUMIFS($R$2:$R$1001,$B$2:$B$1001,B62,$A$2:$A$1001,"&lt;"&amp;A62,$A$2:$A$1001,"&gt;="&amp;(A62-설정!$B$2))-M62*AVERAGEIFS($J$2:$J$1001,$B$2:$B$1001,B62,$A$2:$A$1001,"&lt;"&amp;A62,$A$2:$A$1001,"&gt;="&amp;(A62-설정!$B$2))^2)/(M62-1))),2))</f>
        <v/>
      </c>
      <c r="M62" s="18" t="str">
        <f aca="false">IF(J62="","",COUNTIFS($B$2:$B$1001,B62,$A$2:$A$1001,"&lt;"&amp;A62,$A$2:$A$1001,"&gt;="&amp;(A62-설정!$B$2),$J$2:$J$1001,"&gt;=0"))</f>
        <v/>
      </c>
      <c r="N62" s="18" t="str">
        <f aca="false">IF(K62="","",IF(L62=0,"",ROUND((J62-K62)/L62,2)))</f>
        <v/>
      </c>
      <c r="O62" s="19" t="str">
        <f aca="false">IF(J62="","",IF(MIN(F62,G62)&lt;=설정!$B$5,"예",""))</f>
        <v/>
      </c>
      <c r="P62" s="19" t="str">
        <f aca="false">IF(J62="","",IF(M62&lt;설정!$B$3,"baseline 수집 중",IF(N62="","정상",IF(N62&lt;=설정!$B$4,"낮음","정상"))))</f>
        <v/>
      </c>
      <c r="Q62" s="20"/>
      <c r="R62" s="18" t="str">
        <f aca="false">IF(J62="","",J62^2)</f>
        <v/>
      </c>
    </row>
    <row r="63" customFormat="false" ht="15" hidden="false" customHeight="false" outlineLevel="0" collapsed="false">
      <c r="A63" s="16"/>
      <c r="B63" s="17"/>
      <c r="C63" s="17"/>
      <c r="D63" s="17"/>
      <c r="E63" s="17"/>
      <c r="F63" s="17"/>
      <c r="G63" s="17"/>
      <c r="H63" s="17"/>
      <c r="I63" s="17"/>
      <c r="J63" s="18" t="str">
        <f aca="false">IF(COUNT(E63:I63)&lt;5,"",SUM(E63:I63))</f>
        <v/>
      </c>
      <c r="K63" s="18" t="str">
        <f aca="false">IF(J63="","",IF(M63&lt;설정!$B$3,"",ROUND(AVERAGEIFS($J$2:$J$1001,$B$2:$B$1001,B63,$A$2:$A$1001,"&lt;"&amp;A63,$A$2:$A$1001,"&gt;="&amp;(A63-설정!$B$2)),2)))</f>
        <v/>
      </c>
      <c r="L63" s="18" t="str">
        <f aca="false">IF(K63="","",ROUND(SQRT(MAX(0,(SUMIFS($R$2:$R$1001,$B$2:$B$1001,B63,$A$2:$A$1001,"&lt;"&amp;A63,$A$2:$A$1001,"&gt;="&amp;(A63-설정!$B$2))-M63*AVERAGEIFS($J$2:$J$1001,$B$2:$B$1001,B63,$A$2:$A$1001,"&lt;"&amp;A63,$A$2:$A$1001,"&gt;="&amp;(A63-설정!$B$2))^2)/(M63-1))),2))</f>
        <v/>
      </c>
      <c r="M63" s="18" t="str">
        <f aca="false">IF(J63="","",COUNTIFS($B$2:$B$1001,B63,$A$2:$A$1001,"&lt;"&amp;A63,$A$2:$A$1001,"&gt;="&amp;(A63-설정!$B$2),$J$2:$J$1001,"&gt;=0"))</f>
        <v/>
      </c>
      <c r="N63" s="18" t="str">
        <f aca="false">IF(K63="","",IF(L63=0,"",ROUND((J63-K63)/L63,2)))</f>
        <v/>
      </c>
      <c r="O63" s="19" t="str">
        <f aca="false">IF(J63="","",IF(MIN(F63,G63)&lt;=설정!$B$5,"예",""))</f>
        <v/>
      </c>
      <c r="P63" s="19" t="str">
        <f aca="false">IF(J63="","",IF(M63&lt;설정!$B$3,"baseline 수집 중",IF(N63="","정상",IF(N63&lt;=설정!$B$4,"낮음","정상"))))</f>
        <v/>
      </c>
      <c r="Q63" s="20"/>
      <c r="R63" s="18" t="str">
        <f aca="false">IF(J63="","",J63^2)</f>
        <v/>
      </c>
    </row>
    <row r="64" customFormat="false" ht="15" hidden="false" customHeight="false" outlineLevel="0" collapsed="false">
      <c r="A64" s="16"/>
      <c r="B64" s="17"/>
      <c r="C64" s="17"/>
      <c r="D64" s="17"/>
      <c r="E64" s="17"/>
      <c r="F64" s="17"/>
      <c r="G64" s="17"/>
      <c r="H64" s="17"/>
      <c r="I64" s="17"/>
      <c r="J64" s="18" t="str">
        <f aca="false">IF(COUNT(E64:I64)&lt;5,"",SUM(E64:I64))</f>
        <v/>
      </c>
      <c r="K64" s="18" t="str">
        <f aca="false">IF(J64="","",IF(M64&lt;설정!$B$3,"",ROUND(AVERAGEIFS($J$2:$J$1001,$B$2:$B$1001,B64,$A$2:$A$1001,"&lt;"&amp;A64,$A$2:$A$1001,"&gt;="&amp;(A64-설정!$B$2)),2)))</f>
        <v/>
      </c>
      <c r="L64" s="18" t="str">
        <f aca="false">IF(K64="","",ROUND(SQRT(MAX(0,(SUMIFS($R$2:$R$1001,$B$2:$B$1001,B64,$A$2:$A$1001,"&lt;"&amp;A64,$A$2:$A$1001,"&gt;="&amp;(A64-설정!$B$2))-M64*AVERAGEIFS($J$2:$J$1001,$B$2:$B$1001,B64,$A$2:$A$1001,"&lt;"&amp;A64,$A$2:$A$1001,"&gt;="&amp;(A64-설정!$B$2))^2)/(M64-1))),2))</f>
        <v/>
      </c>
      <c r="M64" s="18" t="str">
        <f aca="false">IF(J64="","",COUNTIFS($B$2:$B$1001,B64,$A$2:$A$1001,"&lt;"&amp;A64,$A$2:$A$1001,"&gt;="&amp;(A64-설정!$B$2),$J$2:$J$1001,"&gt;=0"))</f>
        <v/>
      </c>
      <c r="N64" s="18" t="str">
        <f aca="false">IF(K64="","",IF(L64=0,"",ROUND((J64-K64)/L64,2)))</f>
        <v/>
      </c>
      <c r="O64" s="19" t="str">
        <f aca="false">IF(J64="","",IF(MIN(F64,G64)&lt;=설정!$B$5,"예",""))</f>
        <v/>
      </c>
      <c r="P64" s="19" t="str">
        <f aca="false">IF(J64="","",IF(M64&lt;설정!$B$3,"baseline 수집 중",IF(N64="","정상",IF(N64&lt;=설정!$B$4,"낮음","정상"))))</f>
        <v/>
      </c>
      <c r="Q64" s="20"/>
      <c r="R64" s="18" t="str">
        <f aca="false">IF(J64="","",J64^2)</f>
        <v/>
      </c>
    </row>
    <row r="65" customFormat="false" ht="15" hidden="false" customHeight="false" outlineLevel="0" collapsed="false">
      <c r="A65" s="16"/>
      <c r="B65" s="17"/>
      <c r="C65" s="17"/>
      <c r="D65" s="17"/>
      <c r="E65" s="17"/>
      <c r="F65" s="17"/>
      <c r="G65" s="17"/>
      <c r="H65" s="17"/>
      <c r="I65" s="17"/>
      <c r="J65" s="18" t="str">
        <f aca="false">IF(COUNT(E65:I65)&lt;5,"",SUM(E65:I65))</f>
        <v/>
      </c>
      <c r="K65" s="18" t="str">
        <f aca="false">IF(J65="","",IF(M65&lt;설정!$B$3,"",ROUND(AVERAGEIFS($J$2:$J$1001,$B$2:$B$1001,B65,$A$2:$A$1001,"&lt;"&amp;A65,$A$2:$A$1001,"&gt;="&amp;(A65-설정!$B$2)),2)))</f>
        <v/>
      </c>
      <c r="L65" s="18" t="str">
        <f aca="false">IF(K65="","",ROUND(SQRT(MAX(0,(SUMIFS($R$2:$R$1001,$B$2:$B$1001,B65,$A$2:$A$1001,"&lt;"&amp;A65,$A$2:$A$1001,"&gt;="&amp;(A65-설정!$B$2))-M65*AVERAGEIFS($J$2:$J$1001,$B$2:$B$1001,B65,$A$2:$A$1001,"&lt;"&amp;A65,$A$2:$A$1001,"&gt;="&amp;(A65-설정!$B$2))^2)/(M65-1))),2))</f>
        <v/>
      </c>
      <c r="M65" s="18" t="str">
        <f aca="false">IF(J65="","",COUNTIFS($B$2:$B$1001,B65,$A$2:$A$1001,"&lt;"&amp;A65,$A$2:$A$1001,"&gt;="&amp;(A65-설정!$B$2),$J$2:$J$1001,"&gt;=0"))</f>
        <v/>
      </c>
      <c r="N65" s="18" t="str">
        <f aca="false">IF(K65="","",IF(L65=0,"",ROUND((J65-K65)/L65,2)))</f>
        <v/>
      </c>
      <c r="O65" s="19" t="str">
        <f aca="false">IF(J65="","",IF(MIN(F65,G65)&lt;=설정!$B$5,"예",""))</f>
        <v/>
      </c>
      <c r="P65" s="19" t="str">
        <f aca="false">IF(J65="","",IF(M65&lt;설정!$B$3,"baseline 수집 중",IF(N65="","정상",IF(N65&lt;=설정!$B$4,"낮음","정상"))))</f>
        <v/>
      </c>
      <c r="Q65" s="20"/>
      <c r="R65" s="18" t="str">
        <f aca="false">IF(J65="","",J65^2)</f>
        <v/>
      </c>
    </row>
    <row r="66" customFormat="false" ht="15" hidden="false" customHeight="false" outlineLevel="0" collapsed="false">
      <c r="A66" s="16"/>
      <c r="B66" s="17"/>
      <c r="C66" s="17"/>
      <c r="D66" s="17"/>
      <c r="E66" s="17"/>
      <c r="F66" s="17"/>
      <c r="G66" s="17"/>
      <c r="H66" s="17"/>
      <c r="I66" s="17"/>
      <c r="J66" s="18" t="str">
        <f aca="false">IF(COUNT(E66:I66)&lt;5,"",SUM(E66:I66))</f>
        <v/>
      </c>
      <c r="K66" s="18" t="str">
        <f aca="false">IF(J66="","",IF(M66&lt;설정!$B$3,"",ROUND(AVERAGEIFS($J$2:$J$1001,$B$2:$B$1001,B66,$A$2:$A$1001,"&lt;"&amp;A66,$A$2:$A$1001,"&gt;="&amp;(A66-설정!$B$2)),2)))</f>
        <v/>
      </c>
      <c r="L66" s="18" t="str">
        <f aca="false">IF(K66="","",ROUND(SQRT(MAX(0,(SUMIFS($R$2:$R$1001,$B$2:$B$1001,B66,$A$2:$A$1001,"&lt;"&amp;A66,$A$2:$A$1001,"&gt;="&amp;(A66-설정!$B$2))-M66*AVERAGEIFS($J$2:$J$1001,$B$2:$B$1001,B66,$A$2:$A$1001,"&lt;"&amp;A66,$A$2:$A$1001,"&gt;="&amp;(A66-설정!$B$2))^2)/(M66-1))),2))</f>
        <v/>
      </c>
      <c r="M66" s="18" t="str">
        <f aca="false">IF(J66="","",COUNTIFS($B$2:$B$1001,B66,$A$2:$A$1001,"&lt;"&amp;A66,$A$2:$A$1001,"&gt;="&amp;(A66-설정!$B$2),$J$2:$J$1001,"&gt;=0"))</f>
        <v/>
      </c>
      <c r="N66" s="18" t="str">
        <f aca="false">IF(K66="","",IF(L66=0,"",ROUND((J66-K66)/L66,2)))</f>
        <v/>
      </c>
      <c r="O66" s="19" t="str">
        <f aca="false">IF(J66="","",IF(MIN(F66,G66)&lt;=설정!$B$5,"예",""))</f>
        <v/>
      </c>
      <c r="P66" s="19" t="str">
        <f aca="false">IF(J66="","",IF(M66&lt;설정!$B$3,"baseline 수집 중",IF(N66="","정상",IF(N66&lt;=설정!$B$4,"낮음","정상"))))</f>
        <v/>
      </c>
      <c r="Q66" s="20"/>
      <c r="R66" s="18" t="str">
        <f aca="false">IF(J66="","",J66^2)</f>
        <v/>
      </c>
    </row>
    <row r="67" customFormat="false" ht="15" hidden="false" customHeight="false" outlineLevel="0" collapsed="false">
      <c r="A67" s="16"/>
      <c r="B67" s="17"/>
      <c r="C67" s="17"/>
      <c r="D67" s="17"/>
      <c r="E67" s="17"/>
      <c r="F67" s="17"/>
      <c r="G67" s="17"/>
      <c r="H67" s="17"/>
      <c r="I67" s="17"/>
      <c r="J67" s="18" t="str">
        <f aca="false">IF(COUNT(E67:I67)&lt;5,"",SUM(E67:I67))</f>
        <v/>
      </c>
      <c r="K67" s="18" t="str">
        <f aca="false">IF(J67="","",IF(M67&lt;설정!$B$3,"",ROUND(AVERAGEIFS($J$2:$J$1001,$B$2:$B$1001,B67,$A$2:$A$1001,"&lt;"&amp;A67,$A$2:$A$1001,"&gt;="&amp;(A67-설정!$B$2)),2)))</f>
        <v/>
      </c>
      <c r="L67" s="18" t="str">
        <f aca="false">IF(K67="","",ROUND(SQRT(MAX(0,(SUMIFS($R$2:$R$1001,$B$2:$B$1001,B67,$A$2:$A$1001,"&lt;"&amp;A67,$A$2:$A$1001,"&gt;="&amp;(A67-설정!$B$2))-M67*AVERAGEIFS($J$2:$J$1001,$B$2:$B$1001,B67,$A$2:$A$1001,"&lt;"&amp;A67,$A$2:$A$1001,"&gt;="&amp;(A67-설정!$B$2))^2)/(M67-1))),2))</f>
        <v/>
      </c>
      <c r="M67" s="18" t="str">
        <f aca="false">IF(J67="","",COUNTIFS($B$2:$B$1001,B67,$A$2:$A$1001,"&lt;"&amp;A67,$A$2:$A$1001,"&gt;="&amp;(A67-설정!$B$2),$J$2:$J$1001,"&gt;=0"))</f>
        <v/>
      </c>
      <c r="N67" s="18" t="str">
        <f aca="false">IF(K67="","",IF(L67=0,"",ROUND((J67-K67)/L67,2)))</f>
        <v/>
      </c>
      <c r="O67" s="19" t="str">
        <f aca="false">IF(J67="","",IF(MIN(F67,G67)&lt;=설정!$B$5,"예",""))</f>
        <v/>
      </c>
      <c r="P67" s="19" t="str">
        <f aca="false">IF(J67="","",IF(M67&lt;설정!$B$3,"baseline 수집 중",IF(N67="","정상",IF(N67&lt;=설정!$B$4,"낮음","정상"))))</f>
        <v/>
      </c>
      <c r="Q67" s="20"/>
      <c r="R67" s="18" t="str">
        <f aca="false">IF(J67="","",J67^2)</f>
        <v/>
      </c>
    </row>
    <row r="68" customFormat="false" ht="15" hidden="false" customHeight="false" outlineLevel="0" collapsed="false">
      <c r="A68" s="16"/>
      <c r="B68" s="17"/>
      <c r="C68" s="17"/>
      <c r="D68" s="17"/>
      <c r="E68" s="17"/>
      <c r="F68" s="17"/>
      <c r="G68" s="17"/>
      <c r="H68" s="17"/>
      <c r="I68" s="17"/>
      <c r="J68" s="18" t="str">
        <f aca="false">IF(COUNT(E68:I68)&lt;5,"",SUM(E68:I68))</f>
        <v/>
      </c>
      <c r="K68" s="18" t="str">
        <f aca="false">IF(J68="","",IF(M68&lt;설정!$B$3,"",ROUND(AVERAGEIFS($J$2:$J$1001,$B$2:$B$1001,B68,$A$2:$A$1001,"&lt;"&amp;A68,$A$2:$A$1001,"&gt;="&amp;(A68-설정!$B$2)),2)))</f>
        <v/>
      </c>
      <c r="L68" s="18" t="str">
        <f aca="false">IF(K68="","",ROUND(SQRT(MAX(0,(SUMIFS($R$2:$R$1001,$B$2:$B$1001,B68,$A$2:$A$1001,"&lt;"&amp;A68,$A$2:$A$1001,"&gt;="&amp;(A68-설정!$B$2))-M68*AVERAGEIFS($J$2:$J$1001,$B$2:$B$1001,B68,$A$2:$A$1001,"&lt;"&amp;A68,$A$2:$A$1001,"&gt;="&amp;(A68-설정!$B$2))^2)/(M68-1))),2))</f>
        <v/>
      </c>
      <c r="M68" s="18" t="str">
        <f aca="false">IF(J68="","",COUNTIFS($B$2:$B$1001,B68,$A$2:$A$1001,"&lt;"&amp;A68,$A$2:$A$1001,"&gt;="&amp;(A68-설정!$B$2),$J$2:$J$1001,"&gt;=0"))</f>
        <v/>
      </c>
      <c r="N68" s="18" t="str">
        <f aca="false">IF(K68="","",IF(L68=0,"",ROUND((J68-K68)/L68,2)))</f>
        <v/>
      </c>
      <c r="O68" s="19" t="str">
        <f aca="false">IF(J68="","",IF(MIN(F68,G68)&lt;=설정!$B$5,"예",""))</f>
        <v/>
      </c>
      <c r="P68" s="19" t="str">
        <f aca="false">IF(J68="","",IF(M68&lt;설정!$B$3,"baseline 수집 중",IF(N68="","정상",IF(N68&lt;=설정!$B$4,"낮음","정상"))))</f>
        <v/>
      </c>
      <c r="Q68" s="20"/>
      <c r="R68" s="18" t="str">
        <f aca="false">IF(J68="","",J68^2)</f>
        <v/>
      </c>
    </row>
    <row r="69" customFormat="false" ht="15" hidden="false" customHeight="false" outlineLevel="0" collapsed="false">
      <c r="A69" s="16"/>
      <c r="B69" s="17"/>
      <c r="C69" s="17"/>
      <c r="D69" s="17"/>
      <c r="E69" s="17"/>
      <c r="F69" s="17"/>
      <c r="G69" s="17"/>
      <c r="H69" s="17"/>
      <c r="I69" s="17"/>
      <c r="J69" s="18" t="str">
        <f aca="false">IF(COUNT(E69:I69)&lt;5,"",SUM(E69:I69))</f>
        <v/>
      </c>
      <c r="K69" s="18" t="str">
        <f aca="false">IF(J69="","",IF(M69&lt;설정!$B$3,"",ROUND(AVERAGEIFS($J$2:$J$1001,$B$2:$B$1001,B69,$A$2:$A$1001,"&lt;"&amp;A69,$A$2:$A$1001,"&gt;="&amp;(A69-설정!$B$2)),2)))</f>
        <v/>
      </c>
      <c r="L69" s="18" t="str">
        <f aca="false">IF(K69="","",ROUND(SQRT(MAX(0,(SUMIFS($R$2:$R$1001,$B$2:$B$1001,B69,$A$2:$A$1001,"&lt;"&amp;A69,$A$2:$A$1001,"&gt;="&amp;(A69-설정!$B$2))-M69*AVERAGEIFS($J$2:$J$1001,$B$2:$B$1001,B69,$A$2:$A$1001,"&lt;"&amp;A69,$A$2:$A$1001,"&gt;="&amp;(A69-설정!$B$2))^2)/(M69-1))),2))</f>
        <v/>
      </c>
      <c r="M69" s="18" t="str">
        <f aca="false">IF(J69="","",COUNTIFS($B$2:$B$1001,B69,$A$2:$A$1001,"&lt;"&amp;A69,$A$2:$A$1001,"&gt;="&amp;(A69-설정!$B$2),$J$2:$J$1001,"&gt;=0"))</f>
        <v/>
      </c>
      <c r="N69" s="18" t="str">
        <f aca="false">IF(K69="","",IF(L69=0,"",ROUND((J69-K69)/L69,2)))</f>
        <v/>
      </c>
      <c r="O69" s="19" t="str">
        <f aca="false">IF(J69="","",IF(MIN(F69,G69)&lt;=설정!$B$5,"예",""))</f>
        <v/>
      </c>
      <c r="P69" s="19" t="str">
        <f aca="false">IF(J69="","",IF(M69&lt;설정!$B$3,"baseline 수집 중",IF(N69="","정상",IF(N69&lt;=설정!$B$4,"낮음","정상"))))</f>
        <v/>
      </c>
      <c r="Q69" s="20"/>
      <c r="R69" s="18" t="str">
        <f aca="false">IF(J69="","",J69^2)</f>
        <v/>
      </c>
    </row>
    <row r="70" customFormat="false" ht="15" hidden="false" customHeight="false" outlineLevel="0" collapsed="false">
      <c r="A70" s="16"/>
      <c r="B70" s="17"/>
      <c r="C70" s="17"/>
      <c r="D70" s="17"/>
      <c r="E70" s="17"/>
      <c r="F70" s="17"/>
      <c r="G70" s="17"/>
      <c r="H70" s="17"/>
      <c r="I70" s="17"/>
      <c r="J70" s="18" t="str">
        <f aca="false">IF(COUNT(E70:I70)&lt;5,"",SUM(E70:I70))</f>
        <v/>
      </c>
      <c r="K70" s="18" t="str">
        <f aca="false">IF(J70="","",IF(M70&lt;설정!$B$3,"",ROUND(AVERAGEIFS($J$2:$J$1001,$B$2:$B$1001,B70,$A$2:$A$1001,"&lt;"&amp;A70,$A$2:$A$1001,"&gt;="&amp;(A70-설정!$B$2)),2)))</f>
        <v/>
      </c>
      <c r="L70" s="18" t="str">
        <f aca="false">IF(K70="","",ROUND(SQRT(MAX(0,(SUMIFS($R$2:$R$1001,$B$2:$B$1001,B70,$A$2:$A$1001,"&lt;"&amp;A70,$A$2:$A$1001,"&gt;="&amp;(A70-설정!$B$2))-M70*AVERAGEIFS($J$2:$J$1001,$B$2:$B$1001,B70,$A$2:$A$1001,"&lt;"&amp;A70,$A$2:$A$1001,"&gt;="&amp;(A70-설정!$B$2))^2)/(M70-1))),2))</f>
        <v/>
      </c>
      <c r="M70" s="18" t="str">
        <f aca="false">IF(J70="","",COUNTIFS($B$2:$B$1001,B70,$A$2:$A$1001,"&lt;"&amp;A70,$A$2:$A$1001,"&gt;="&amp;(A70-설정!$B$2),$J$2:$J$1001,"&gt;=0"))</f>
        <v/>
      </c>
      <c r="N70" s="18" t="str">
        <f aca="false">IF(K70="","",IF(L70=0,"",ROUND((J70-K70)/L70,2)))</f>
        <v/>
      </c>
      <c r="O70" s="19" t="str">
        <f aca="false">IF(J70="","",IF(MIN(F70,G70)&lt;=설정!$B$5,"예",""))</f>
        <v/>
      </c>
      <c r="P70" s="19" t="str">
        <f aca="false">IF(J70="","",IF(M70&lt;설정!$B$3,"baseline 수집 중",IF(N70="","정상",IF(N70&lt;=설정!$B$4,"낮음","정상"))))</f>
        <v/>
      </c>
      <c r="Q70" s="20"/>
      <c r="R70" s="18" t="str">
        <f aca="false">IF(J70="","",J70^2)</f>
        <v/>
      </c>
    </row>
    <row r="71" customFormat="false" ht="15" hidden="false" customHeight="false" outlineLevel="0" collapsed="false">
      <c r="A71" s="16"/>
      <c r="B71" s="17"/>
      <c r="C71" s="17"/>
      <c r="D71" s="17"/>
      <c r="E71" s="17"/>
      <c r="F71" s="17"/>
      <c r="G71" s="17"/>
      <c r="H71" s="17"/>
      <c r="I71" s="17"/>
      <c r="J71" s="18" t="str">
        <f aca="false">IF(COUNT(E71:I71)&lt;5,"",SUM(E71:I71))</f>
        <v/>
      </c>
      <c r="K71" s="18" t="str">
        <f aca="false">IF(J71="","",IF(M71&lt;설정!$B$3,"",ROUND(AVERAGEIFS($J$2:$J$1001,$B$2:$B$1001,B71,$A$2:$A$1001,"&lt;"&amp;A71,$A$2:$A$1001,"&gt;="&amp;(A71-설정!$B$2)),2)))</f>
        <v/>
      </c>
      <c r="L71" s="18" t="str">
        <f aca="false">IF(K71="","",ROUND(SQRT(MAX(0,(SUMIFS($R$2:$R$1001,$B$2:$B$1001,B71,$A$2:$A$1001,"&lt;"&amp;A71,$A$2:$A$1001,"&gt;="&amp;(A71-설정!$B$2))-M71*AVERAGEIFS($J$2:$J$1001,$B$2:$B$1001,B71,$A$2:$A$1001,"&lt;"&amp;A71,$A$2:$A$1001,"&gt;="&amp;(A71-설정!$B$2))^2)/(M71-1))),2))</f>
        <v/>
      </c>
      <c r="M71" s="18" t="str">
        <f aca="false">IF(J71="","",COUNTIFS($B$2:$B$1001,B71,$A$2:$A$1001,"&lt;"&amp;A71,$A$2:$A$1001,"&gt;="&amp;(A71-설정!$B$2),$J$2:$J$1001,"&gt;=0"))</f>
        <v/>
      </c>
      <c r="N71" s="18" t="str">
        <f aca="false">IF(K71="","",IF(L71=0,"",ROUND((J71-K71)/L71,2)))</f>
        <v/>
      </c>
      <c r="O71" s="19" t="str">
        <f aca="false">IF(J71="","",IF(MIN(F71,G71)&lt;=설정!$B$5,"예",""))</f>
        <v/>
      </c>
      <c r="P71" s="19" t="str">
        <f aca="false">IF(J71="","",IF(M71&lt;설정!$B$3,"baseline 수집 중",IF(N71="","정상",IF(N71&lt;=설정!$B$4,"낮음","정상"))))</f>
        <v/>
      </c>
      <c r="Q71" s="20"/>
      <c r="R71" s="18" t="str">
        <f aca="false">IF(J71="","",J71^2)</f>
        <v/>
      </c>
    </row>
    <row r="72" customFormat="false" ht="15" hidden="false" customHeight="false" outlineLevel="0" collapsed="false">
      <c r="A72" s="16"/>
      <c r="B72" s="17"/>
      <c r="C72" s="17"/>
      <c r="D72" s="17"/>
      <c r="E72" s="17"/>
      <c r="F72" s="17"/>
      <c r="G72" s="17"/>
      <c r="H72" s="17"/>
      <c r="I72" s="17"/>
      <c r="J72" s="18" t="str">
        <f aca="false">IF(COUNT(E72:I72)&lt;5,"",SUM(E72:I72))</f>
        <v/>
      </c>
      <c r="K72" s="18" t="str">
        <f aca="false">IF(J72="","",IF(M72&lt;설정!$B$3,"",ROUND(AVERAGEIFS($J$2:$J$1001,$B$2:$B$1001,B72,$A$2:$A$1001,"&lt;"&amp;A72,$A$2:$A$1001,"&gt;="&amp;(A72-설정!$B$2)),2)))</f>
        <v/>
      </c>
      <c r="L72" s="18" t="str">
        <f aca="false">IF(K72="","",ROUND(SQRT(MAX(0,(SUMIFS($R$2:$R$1001,$B$2:$B$1001,B72,$A$2:$A$1001,"&lt;"&amp;A72,$A$2:$A$1001,"&gt;="&amp;(A72-설정!$B$2))-M72*AVERAGEIFS($J$2:$J$1001,$B$2:$B$1001,B72,$A$2:$A$1001,"&lt;"&amp;A72,$A$2:$A$1001,"&gt;="&amp;(A72-설정!$B$2))^2)/(M72-1))),2))</f>
        <v/>
      </c>
      <c r="M72" s="18" t="str">
        <f aca="false">IF(J72="","",COUNTIFS($B$2:$B$1001,B72,$A$2:$A$1001,"&lt;"&amp;A72,$A$2:$A$1001,"&gt;="&amp;(A72-설정!$B$2),$J$2:$J$1001,"&gt;=0"))</f>
        <v/>
      </c>
      <c r="N72" s="18" t="str">
        <f aca="false">IF(K72="","",IF(L72=0,"",ROUND((J72-K72)/L72,2)))</f>
        <v/>
      </c>
      <c r="O72" s="19" t="str">
        <f aca="false">IF(J72="","",IF(MIN(F72,G72)&lt;=설정!$B$5,"예",""))</f>
        <v/>
      </c>
      <c r="P72" s="19" t="str">
        <f aca="false">IF(J72="","",IF(M72&lt;설정!$B$3,"baseline 수집 중",IF(N72="","정상",IF(N72&lt;=설정!$B$4,"낮음","정상"))))</f>
        <v/>
      </c>
      <c r="Q72" s="20"/>
      <c r="R72" s="18" t="str">
        <f aca="false">IF(J72="","",J72^2)</f>
        <v/>
      </c>
    </row>
    <row r="73" customFormat="false" ht="15" hidden="false" customHeight="false" outlineLevel="0" collapsed="false">
      <c r="A73" s="16"/>
      <c r="B73" s="17"/>
      <c r="C73" s="17"/>
      <c r="D73" s="17"/>
      <c r="E73" s="17"/>
      <c r="F73" s="17"/>
      <c r="G73" s="17"/>
      <c r="H73" s="17"/>
      <c r="I73" s="17"/>
      <c r="J73" s="18" t="str">
        <f aca="false">IF(COUNT(E73:I73)&lt;5,"",SUM(E73:I73))</f>
        <v/>
      </c>
      <c r="K73" s="18" t="str">
        <f aca="false">IF(J73="","",IF(M73&lt;설정!$B$3,"",ROUND(AVERAGEIFS($J$2:$J$1001,$B$2:$B$1001,B73,$A$2:$A$1001,"&lt;"&amp;A73,$A$2:$A$1001,"&gt;="&amp;(A73-설정!$B$2)),2)))</f>
        <v/>
      </c>
      <c r="L73" s="18" t="str">
        <f aca="false">IF(K73="","",ROUND(SQRT(MAX(0,(SUMIFS($R$2:$R$1001,$B$2:$B$1001,B73,$A$2:$A$1001,"&lt;"&amp;A73,$A$2:$A$1001,"&gt;="&amp;(A73-설정!$B$2))-M73*AVERAGEIFS($J$2:$J$1001,$B$2:$B$1001,B73,$A$2:$A$1001,"&lt;"&amp;A73,$A$2:$A$1001,"&gt;="&amp;(A73-설정!$B$2))^2)/(M73-1))),2))</f>
        <v/>
      </c>
      <c r="M73" s="18" t="str">
        <f aca="false">IF(J73="","",COUNTIFS($B$2:$B$1001,B73,$A$2:$A$1001,"&lt;"&amp;A73,$A$2:$A$1001,"&gt;="&amp;(A73-설정!$B$2),$J$2:$J$1001,"&gt;=0"))</f>
        <v/>
      </c>
      <c r="N73" s="18" t="str">
        <f aca="false">IF(K73="","",IF(L73=0,"",ROUND((J73-K73)/L73,2)))</f>
        <v/>
      </c>
      <c r="O73" s="19" t="str">
        <f aca="false">IF(J73="","",IF(MIN(F73,G73)&lt;=설정!$B$5,"예",""))</f>
        <v/>
      </c>
      <c r="P73" s="19" t="str">
        <f aca="false">IF(J73="","",IF(M73&lt;설정!$B$3,"baseline 수집 중",IF(N73="","정상",IF(N73&lt;=설정!$B$4,"낮음","정상"))))</f>
        <v/>
      </c>
      <c r="Q73" s="20"/>
      <c r="R73" s="18" t="str">
        <f aca="false">IF(J73="","",J73^2)</f>
        <v/>
      </c>
    </row>
    <row r="74" customFormat="false" ht="15" hidden="false" customHeight="false" outlineLevel="0" collapsed="false">
      <c r="A74" s="16"/>
      <c r="B74" s="17"/>
      <c r="C74" s="17"/>
      <c r="D74" s="17"/>
      <c r="E74" s="17"/>
      <c r="F74" s="17"/>
      <c r="G74" s="17"/>
      <c r="H74" s="17"/>
      <c r="I74" s="17"/>
      <c r="J74" s="18" t="str">
        <f aca="false">IF(COUNT(E74:I74)&lt;5,"",SUM(E74:I74))</f>
        <v/>
      </c>
      <c r="K74" s="18" t="str">
        <f aca="false">IF(J74="","",IF(M74&lt;설정!$B$3,"",ROUND(AVERAGEIFS($J$2:$J$1001,$B$2:$B$1001,B74,$A$2:$A$1001,"&lt;"&amp;A74,$A$2:$A$1001,"&gt;="&amp;(A74-설정!$B$2)),2)))</f>
        <v/>
      </c>
      <c r="L74" s="18" t="str">
        <f aca="false">IF(K74="","",ROUND(SQRT(MAX(0,(SUMIFS($R$2:$R$1001,$B$2:$B$1001,B74,$A$2:$A$1001,"&lt;"&amp;A74,$A$2:$A$1001,"&gt;="&amp;(A74-설정!$B$2))-M74*AVERAGEIFS($J$2:$J$1001,$B$2:$B$1001,B74,$A$2:$A$1001,"&lt;"&amp;A74,$A$2:$A$1001,"&gt;="&amp;(A74-설정!$B$2))^2)/(M74-1))),2))</f>
        <v/>
      </c>
      <c r="M74" s="18" t="str">
        <f aca="false">IF(J74="","",COUNTIFS($B$2:$B$1001,B74,$A$2:$A$1001,"&lt;"&amp;A74,$A$2:$A$1001,"&gt;="&amp;(A74-설정!$B$2),$J$2:$J$1001,"&gt;=0"))</f>
        <v/>
      </c>
      <c r="N74" s="18" t="str">
        <f aca="false">IF(K74="","",IF(L74=0,"",ROUND((J74-K74)/L74,2)))</f>
        <v/>
      </c>
      <c r="O74" s="19" t="str">
        <f aca="false">IF(J74="","",IF(MIN(F74,G74)&lt;=설정!$B$5,"예",""))</f>
        <v/>
      </c>
      <c r="P74" s="19" t="str">
        <f aca="false">IF(J74="","",IF(M74&lt;설정!$B$3,"baseline 수집 중",IF(N74="","정상",IF(N74&lt;=설정!$B$4,"낮음","정상"))))</f>
        <v/>
      </c>
      <c r="Q74" s="20"/>
      <c r="R74" s="18" t="str">
        <f aca="false">IF(J74="","",J74^2)</f>
        <v/>
      </c>
    </row>
    <row r="75" customFormat="false" ht="15" hidden="false" customHeight="false" outlineLevel="0" collapsed="false">
      <c r="A75" s="16"/>
      <c r="B75" s="17"/>
      <c r="C75" s="17"/>
      <c r="D75" s="17"/>
      <c r="E75" s="17"/>
      <c r="F75" s="17"/>
      <c r="G75" s="17"/>
      <c r="H75" s="17"/>
      <c r="I75" s="17"/>
      <c r="J75" s="18" t="str">
        <f aca="false">IF(COUNT(E75:I75)&lt;5,"",SUM(E75:I75))</f>
        <v/>
      </c>
      <c r="K75" s="18" t="str">
        <f aca="false">IF(J75="","",IF(M75&lt;설정!$B$3,"",ROUND(AVERAGEIFS($J$2:$J$1001,$B$2:$B$1001,B75,$A$2:$A$1001,"&lt;"&amp;A75,$A$2:$A$1001,"&gt;="&amp;(A75-설정!$B$2)),2)))</f>
        <v/>
      </c>
      <c r="L75" s="18" t="str">
        <f aca="false">IF(K75="","",ROUND(SQRT(MAX(0,(SUMIFS($R$2:$R$1001,$B$2:$B$1001,B75,$A$2:$A$1001,"&lt;"&amp;A75,$A$2:$A$1001,"&gt;="&amp;(A75-설정!$B$2))-M75*AVERAGEIFS($J$2:$J$1001,$B$2:$B$1001,B75,$A$2:$A$1001,"&lt;"&amp;A75,$A$2:$A$1001,"&gt;="&amp;(A75-설정!$B$2))^2)/(M75-1))),2))</f>
        <v/>
      </c>
      <c r="M75" s="18" t="str">
        <f aca="false">IF(J75="","",COUNTIFS($B$2:$B$1001,B75,$A$2:$A$1001,"&lt;"&amp;A75,$A$2:$A$1001,"&gt;="&amp;(A75-설정!$B$2),$J$2:$J$1001,"&gt;=0"))</f>
        <v/>
      </c>
      <c r="N75" s="18" t="str">
        <f aca="false">IF(K75="","",IF(L75=0,"",ROUND((J75-K75)/L75,2)))</f>
        <v/>
      </c>
      <c r="O75" s="19" t="str">
        <f aca="false">IF(J75="","",IF(MIN(F75,G75)&lt;=설정!$B$5,"예",""))</f>
        <v/>
      </c>
      <c r="P75" s="19" t="str">
        <f aca="false">IF(J75="","",IF(M75&lt;설정!$B$3,"baseline 수집 중",IF(N75="","정상",IF(N75&lt;=설정!$B$4,"낮음","정상"))))</f>
        <v/>
      </c>
      <c r="Q75" s="20"/>
      <c r="R75" s="18" t="str">
        <f aca="false">IF(J75="","",J75^2)</f>
        <v/>
      </c>
    </row>
    <row r="76" customFormat="false" ht="15" hidden="false" customHeight="false" outlineLevel="0" collapsed="false">
      <c r="A76" s="16"/>
      <c r="B76" s="17"/>
      <c r="C76" s="17"/>
      <c r="D76" s="17"/>
      <c r="E76" s="17"/>
      <c r="F76" s="17"/>
      <c r="G76" s="17"/>
      <c r="H76" s="17"/>
      <c r="I76" s="17"/>
      <c r="J76" s="18" t="str">
        <f aca="false">IF(COUNT(E76:I76)&lt;5,"",SUM(E76:I76))</f>
        <v/>
      </c>
      <c r="K76" s="18" t="str">
        <f aca="false">IF(J76="","",IF(M76&lt;설정!$B$3,"",ROUND(AVERAGEIFS($J$2:$J$1001,$B$2:$B$1001,B76,$A$2:$A$1001,"&lt;"&amp;A76,$A$2:$A$1001,"&gt;="&amp;(A76-설정!$B$2)),2)))</f>
        <v/>
      </c>
      <c r="L76" s="18" t="str">
        <f aca="false">IF(K76="","",ROUND(SQRT(MAX(0,(SUMIFS($R$2:$R$1001,$B$2:$B$1001,B76,$A$2:$A$1001,"&lt;"&amp;A76,$A$2:$A$1001,"&gt;="&amp;(A76-설정!$B$2))-M76*AVERAGEIFS($J$2:$J$1001,$B$2:$B$1001,B76,$A$2:$A$1001,"&lt;"&amp;A76,$A$2:$A$1001,"&gt;="&amp;(A76-설정!$B$2))^2)/(M76-1))),2))</f>
        <v/>
      </c>
      <c r="M76" s="18" t="str">
        <f aca="false">IF(J76="","",COUNTIFS($B$2:$B$1001,B76,$A$2:$A$1001,"&lt;"&amp;A76,$A$2:$A$1001,"&gt;="&amp;(A76-설정!$B$2),$J$2:$J$1001,"&gt;=0"))</f>
        <v/>
      </c>
      <c r="N76" s="18" t="str">
        <f aca="false">IF(K76="","",IF(L76=0,"",ROUND((J76-K76)/L76,2)))</f>
        <v/>
      </c>
      <c r="O76" s="19" t="str">
        <f aca="false">IF(J76="","",IF(MIN(F76,G76)&lt;=설정!$B$5,"예",""))</f>
        <v/>
      </c>
      <c r="P76" s="19" t="str">
        <f aca="false">IF(J76="","",IF(M76&lt;설정!$B$3,"baseline 수집 중",IF(N76="","정상",IF(N76&lt;=설정!$B$4,"낮음","정상"))))</f>
        <v/>
      </c>
      <c r="Q76" s="20"/>
      <c r="R76" s="18" t="str">
        <f aca="false">IF(J76="","",J76^2)</f>
        <v/>
      </c>
    </row>
    <row r="77" customFormat="false" ht="15" hidden="false" customHeight="false" outlineLevel="0" collapsed="false">
      <c r="A77" s="16"/>
      <c r="B77" s="17"/>
      <c r="C77" s="17"/>
      <c r="D77" s="17"/>
      <c r="E77" s="17"/>
      <c r="F77" s="17"/>
      <c r="G77" s="17"/>
      <c r="H77" s="17"/>
      <c r="I77" s="17"/>
      <c r="J77" s="18" t="str">
        <f aca="false">IF(COUNT(E77:I77)&lt;5,"",SUM(E77:I77))</f>
        <v/>
      </c>
      <c r="K77" s="18" t="str">
        <f aca="false">IF(J77="","",IF(M77&lt;설정!$B$3,"",ROUND(AVERAGEIFS($J$2:$J$1001,$B$2:$B$1001,B77,$A$2:$A$1001,"&lt;"&amp;A77,$A$2:$A$1001,"&gt;="&amp;(A77-설정!$B$2)),2)))</f>
        <v/>
      </c>
      <c r="L77" s="18" t="str">
        <f aca="false">IF(K77="","",ROUND(SQRT(MAX(0,(SUMIFS($R$2:$R$1001,$B$2:$B$1001,B77,$A$2:$A$1001,"&lt;"&amp;A77,$A$2:$A$1001,"&gt;="&amp;(A77-설정!$B$2))-M77*AVERAGEIFS($J$2:$J$1001,$B$2:$B$1001,B77,$A$2:$A$1001,"&lt;"&amp;A77,$A$2:$A$1001,"&gt;="&amp;(A77-설정!$B$2))^2)/(M77-1))),2))</f>
        <v/>
      </c>
      <c r="M77" s="18" t="str">
        <f aca="false">IF(J77="","",COUNTIFS($B$2:$B$1001,B77,$A$2:$A$1001,"&lt;"&amp;A77,$A$2:$A$1001,"&gt;="&amp;(A77-설정!$B$2),$J$2:$J$1001,"&gt;=0"))</f>
        <v/>
      </c>
      <c r="N77" s="18" t="str">
        <f aca="false">IF(K77="","",IF(L77=0,"",ROUND((J77-K77)/L77,2)))</f>
        <v/>
      </c>
      <c r="O77" s="19" t="str">
        <f aca="false">IF(J77="","",IF(MIN(F77,G77)&lt;=설정!$B$5,"예",""))</f>
        <v/>
      </c>
      <c r="P77" s="19" t="str">
        <f aca="false">IF(J77="","",IF(M77&lt;설정!$B$3,"baseline 수집 중",IF(N77="","정상",IF(N77&lt;=설정!$B$4,"낮음","정상"))))</f>
        <v/>
      </c>
      <c r="Q77" s="20"/>
      <c r="R77" s="18" t="str">
        <f aca="false">IF(J77="","",J77^2)</f>
        <v/>
      </c>
    </row>
    <row r="78" customFormat="false" ht="15" hidden="false" customHeight="false" outlineLevel="0" collapsed="false">
      <c r="A78" s="16"/>
      <c r="B78" s="17"/>
      <c r="C78" s="17"/>
      <c r="D78" s="17"/>
      <c r="E78" s="17"/>
      <c r="F78" s="17"/>
      <c r="G78" s="17"/>
      <c r="H78" s="17"/>
      <c r="I78" s="17"/>
      <c r="J78" s="18" t="str">
        <f aca="false">IF(COUNT(E78:I78)&lt;5,"",SUM(E78:I78))</f>
        <v/>
      </c>
      <c r="K78" s="18" t="str">
        <f aca="false">IF(J78="","",IF(M78&lt;설정!$B$3,"",ROUND(AVERAGEIFS($J$2:$J$1001,$B$2:$B$1001,B78,$A$2:$A$1001,"&lt;"&amp;A78,$A$2:$A$1001,"&gt;="&amp;(A78-설정!$B$2)),2)))</f>
        <v/>
      </c>
      <c r="L78" s="18" t="str">
        <f aca="false">IF(K78="","",ROUND(SQRT(MAX(0,(SUMIFS($R$2:$R$1001,$B$2:$B$1001,B78,$A$2:$A$1001,"&lt;"&amp;A78,$A$2:$A$1001,"&gt;="&amp;(A78-설정!$B$2))-M78*AVERAGEIFS($J$2:$J$1001,$B$2:$B$1001,B78,$A$2:$A$1001,"&lt;"&amp;A78,$A$2:$A$1001,"&gt;="&amp;(A78-설정!$B$2))^2)/(M78-1))),2))</f>
        <v/>
      </c>
      <c r="M78" s="18" t="str">
        <f aca="false">IF(J78="","",COUNTIFS($B$2:$B$1001,B78,$A$2:$A$1001,"&lt;"&amp;A78,$A$2:$A$1001,"&gt;="&amp;(A78-설정!$B$2),$J$2:$J$1001,"&gt;=0"))</f>
        <v/>
      </c>
      <c r="N78" s="18" t="str">
        <f aca="false">IF(K78="","",IF(L78=0,"",ROUND((J78-K78)/L78,2)))</f>
        <v/>
      </c>
      <c r="O78" s="19" t="str">
        <f aca="false">IF(J78="","",IF(MIN(F78,G78)&lt;=설정!$B$5,"예",""))</f>
        <v/>
      </c>
      <c r="P78" s="19" t="str">
        <f aca="false">IF(J78="","",IF(M78&lt;설정!$B$3,"baseline 수집 중",IF(N78="","정상",IF(N78&lt;=설정!$B$4,"낮음","정상"))))</f>
        <v/>
      </c>
      <c r="Q78" s="20"/>
      <c r="R78" s="18" t="str">
        <f aca="false">IF(J78="","",J78^2)</f>
        <v/>
      </c>
    </row>
    <row r="79" customFormat="false" ht="15" hidden="false" customHeight="false" outlineLevel="0" collapsed="false">
      <c r="A79" s="16"/>
      <c r="B79" s="17"/>
      <c r="C79" s="17"/>
      <c r="D79" s="17"/>
      <c r="E79" s="17"/>
      <c r="F79" s="17"/>
      <c r="G79" s="17"/>
      <c r="H79" s="17"/>
      <c r="I79" s="17"/>
      <c r="J79" s="18" t="str">
        <f aca="false">IF(COUNT(E79:I79)&lt;5,"",SUM(E79:I79))</f>
        <v/>
      </c>
      <c r="K79" s="18" t="str">
        <f aca="false">IF(J79="","",IF(M79&lt;설정!$B$3,"",ROUND(AVERAGEIFS($J$2:$J$1001,$B$2:$B$1001,B79,$A$2:$A$1001,"&lt;"&amp;A79,$A$2:$A$1001,"&gt;="&amp;(A79-설정!$B$2)),2)))</f>
        <v/>
      </c>
      <c r="L79" s="18" t="str">
        <f aca="false">IF(K79="","",ROUND(SQRT(MAX(0,(SUMIFS($R$2:$R$1001,$B$2:$B$1001,B79,$A$2:$A$1001,"&lt;"&amp;A79,$A$2:$A$1001,"&gt;="&amp;(A79-설정!$B$2))-M79*AVERAGEIFS($J$2:$J$1001,$B$2:$B$1001,B79,$A$2:$A$1001,"&lt;"&amp;A79,$A$2:$A$1001,"&gt;="&amp;(A79-설정!$B$2))^2)/(M79-1))),2))</f>
        <v/>
      </c>
      <c r="M79" s="18" t="str">
        <f aca="false">IF(J79="","",COUNTIFS($B$2:$B$1001,B79,$A$2:$A$1001,"&lt;"&amp;A79,$A$2:$A$1001,"&gt;="&amp;(A79-설정!$B$2),$J$2:$J$1001,"&gt;=0"))</f>
        <v/>
      </c>
      <c r="N79" s="18" t="str">
        <f aca="false">IF(K79="","",IF(L79=0,"",ROUND((J79-K79)/L79,2)))</f>
        <v/>
      </c>
      <c r="O79" s="19" t="str">
        <f aca="false">IF(J79="","",IF(MIN(F79,G79)&lt;=설정!$B$5,"예",""))</f>
        <v/>
      </c>
      <c r="P79" s="19" t="str">
        <f aca="false">IF(J79="","",IF(M79&lt;설정!$B$3,"baseline 수집 중",IF(N79="","정상",IF(N79&lt;=설정!$B$4,"낮음","정상"))))</f>
        <v/>
      </c>
      <c r="Q79" s="20"/>
      <c r="R79" s="18" t="str">
        <f aca="false">IF(J79="","",J79^2)</f>
        <v/>
      </c>
    </row>
    <row r="80" customFormat="false" ht="15" hidden="false" customHeight="false" outlineLevel="0" collapsed="false">
      <c r="A80" s="16"/>
      <c r="B80" s="17"/>
      <c r="C80" s="17"/>
      <c r="D80" s="17"/>
      <c r="E80" s="17"/>
      <c r="F80" s="17"/>
      <c r="G80" s="17"/>
      <c r="H80" s="17"/>
      <c r="I80" s="17"/>
      <c r="J80" s="18" t="str">
        <f aca="false">IF(COUNT(E80:I80)&lt;5,"",SUM(E80:I80))</f>
        <v/>
      </c>
      <c r="K80" s="18" t="str">
        <f aca="false">IF(J80="","",IF(M80&lt;설정!$B$3,"",ROUND(AVERAGEIFS($J$2:$J$1001,$B$2:$B$1001,B80,$A$2:$A$1001,"&lt;"&amp;A80,$A$2:$A$1001,"&gt;="&amp;(A80-설정!$B$2)),2)))</f>
        <v/>
      </c>
      <c r="L80" s="18" t="str">
        <f aca="false">IF(K80="","",ROUND(SQRT(MAX(0,(SUMIFS($R$2:$R$1001,$B$2:$B$1001,B80,$A$2:$A$1001,"&lt;"&amp;A80,$A$2:$A$1001,"&gt;="&amp;(A80-설정!$B$2))-M80*AVERAGEIFS($J$2:$J$1001,$B$2:$B$1001,B80,$A$2:$A$1001,"&lt;"&amp;A80,$A$2:$A$1001,"&gt;="&amp;(A80-설정!$B$2))^2)/(M80-1))),2))</f>
        <v/>
      </c>
      <c r="M80" s="18" t="str">
        <f aca="false">IF(J80="","",COUNTIFS($B$2:$B$1001,B80,$A$2:$A$1001,"&lt;"&amp;A80,$A$2:$A$1001,"&gt;="&amp;(A80-설정!$B$2),$J$2:$J$1001,"&gt;=0"))</f>
        <v/>
      </c>
      <c r="N80" s="18" t="str">
        <f aca="false">IF(K80="","",IF(L80=0,"",ROUND((J80-K80)/L80,2)))</f>
        <v/>
      </c>
      <c r="O80" s="19" t="str">
        <f aca="false">IF(J80="","",IF(MIN(F80,G80)&lt;=설정!$B$5,"예",""))</f>
        <v/>
      </c>
      <c r="P80" s="19" t="str">
        <f aca="false">IF(J80="","",IF(M80&lt;설정!$B$3,"baseline 수집 중",IF(N80="","정상",IF(N80&lt;=설정!$B$4,"낮음","정상"))))</f>
        <v/>
      </c>
      <c r="Q80" s="20"/>
      <c r="R80" s="18" t="str">
        <f aca="false">IF(J80="","",J80^2)</f>
        <v/>
      </c>
    </row>
    <row r="81" customFormat="false" ht="15" hidden="false" customHeight="false" outlineLevel="0" collapsed="false">
      <c r="A81" s="16"/>
      <c r="B81" s="17"/>
      <c r="C81" s="17"/>
      <c r="D81" s="17"/>
      <c r="E81" s="17"/>
      <c r="F81" s="17"/>
      <c r="G81" s="17"/>
      <c r="H81" s="17"/>
      <c r="I81" s="17"/>
      <c r="J81" s="18" t="str">
        <f aca="false">IF(COUNT(E81:I81)&lt;5,"",SUM(E81:I81))</f>
        <v/>
      </c>
      <c r="K81" s="18" t="str">
        <f aca="false">IF(J81="","",IF(M81&lt;설정!$B$3,"",ROUND(AVERAGEIFS($J$2:$J$1001,$B$2:$B$1001,B81,$A$2:$A$1001,"&lt;"&amp;A81,$A$2:$A$1001,"&gt;="&amp;(A81-설정!$B$2)),2)))</f>
        <v/>
      </c>
      <c r="L81" s="18" t="str">
        <f aca="false">IF(K81="","",ROUND(SQRT(MAX(0,(SUMIFS($R$2:$R$1001,$B$2:$B$1001,B81,$A$2:$A$1001,"&lt;"&amp;A81,$A$2:$A$1001,"&gt;="&amp;(A81-설정!$B$2))-M81*AVERAGEIFS($J$2:$J$1001,$B$2:$B$1001,B81,$A$2:$A$1001,"&lt;"&amp;A81,$A$2:$A$1001,"&gt;="&amp;(A81-설정!$B$2))^2)/(M81-1))),2))</f>
        <v/>
      </c>
      <c r="M81" s="18" t="str">
        <f aca="false">IF(J81="","",COUNTIFS($B$2:$B$1001,B81,$A$2:$A$1001,"&lt;"&amp;A81,$A$2:$A$1001,"&gt;="&amp;(A81-설정!$B$2),$J$2:$J$1001,"&gt;=0"))</f>
        <v/>
      </c>
      <c r="N81" s="18" t="str">
        <f aca="false">IF(K81="","",IF(L81=0,"",ROUND((J81-K81)/L81,2)))</f>
        <v/>
      </c>
      <c r="O81" s="19" t="str">
        <f aca="false">IF(J81="","",IF(MIN(F81,G81)&lt;=설정!$B$5,"예",""))</f>
        <v/>
      </c>
      <c r="P81" s="19" t="str">
        <f aca="false">IF(J81="","",IF(M81&lt;설정!$B$3,"baseline 수집 중",IF(N81="","정상",IF(N81&lt;=설정!$B$4,"낮음","정상"))))</f>
        <v/>
      </c>
      <c r="Q81" s="20"/>
      <c r="R81" s="18" t="str">
        <f aca="false">IF(J81="","",J81^2)</f>
        <v/>
      </c>
    </row>
    <row r="82" customFormat="false" ht="15" hidden="false" customHeight="false" outlineLevel="0" collapsed="false">
      <c r="A82" s="16"/>
      <c r="B82" s="17"/>
      <c r="C82" s="17"/>
      <c r="D82" s="17"/>
      <c r="E82" s="17"/>
      <c r="F82" s="17"/>
      <c r="G82" s="17"/>
      <c r="H82" s="17"/>
      <c r="I82" s="17"/>
      <c r="J82" s="18" t="str">
        <f aca="false">IF(COUNT(E82:I82)&lt;5,"",SUM(E82:I82))</f>
        <v/>
      </c>
      <c r="K82" s="18" t="str">
        <f aca="false">IF(J82="","",IF(M82&lt;설정!$B$3,"",ROUND(AVERAGEIFS($J$2:$J$1001,$B$2:$B$1001,B82,$A$2:$A$1001,"&lt;"&amp;A82,$A$2:$A$1001,"&gt;="&amp;(A82-설정!$B$2)),2)))</f>
        <v/>
      </c>
      <c r="L82" s="18" t="str">
        <f aca="false">IF(K82="","",ROUND(SQRT(MAX(0,(SUMIFS($R$2:$R$1001,$B$2:$B$1001,B82,$A$2:$A$1001,"&lt;"&amp;A82,$A$2:$A$1001,"&gt;="&amp;(A82-설정!$B$2))-M82*AVERAGEIFS($J$2:$J$1001,$B$2:$B$1001,B82,$A$2:$A$1001,"&lt;"&amp;A82,$A$2:$A$1001,"&gt;="&amp;(A82-설정!$B$2))^2)/(M82-1))),2))</f>
        <v/>
      </c>
      <c r="M82" s="18" t="str">
        <f aca="false">IF(J82="","",COUNTIFS($B$2:$B$1001,B82,$A$2:$A$1001,"&lt;"&amp;A82,$A$2:$A$1001,"&gt;="&amp;(A82-설정!$B$2),$J$2:$J$1001,"&gt;=0"))</f>
        <v/>
      </c>
      <c r="N82" s="18" t="str">
        <f aca="false">IF(K82="","",IF(L82=0,"",ROUND((J82-K82)/L82,2)))</f>
        <v/>
      </c>
      <c r="O82" s="19" t="str">
        <f aca="false">IF(J82="","",IF(MIN(F82,G82)&lt;=설정!$B$5,"예",""))</f>
        <v/>
      </c>
      <c r="P82" s="19" t="str">
        <f aca="false">IF(J82="","",IF(M82&lt;설정!$B$3,"baseline 수집 중",IF(N82="","정상",IF(N82&lt;=설정!$B$4,"낮음","정상"))))</f>
        <v/>
      </c>
      <c r="Q82" s="20"/>
      <c r="R82" s="18" t="str">
        <f aca="false">IF(J82="","",J82^2)</f>
        <v/>
      </c>
    </row>
    <row r="83" customFormat="false" ht="15" hidden="false" customHeight="false" outlineLevel="0" collapsed="false">
      <c r="A83" s="16"/>
      <c r="B83" s="17"/>
      <c r="C83" s="17"/>
      <c r="D83" s="17"/>
      <c r="E83" s="17"/>
      <c r="F83" s="17"/>
      <c r="G83" s="17"/>
      <c r="H83" s="17"/>
      <c r="I83" s="17"/>
      <c r="J83" s="18" t="str">
        <f aca="false">IF(COUNT(E83:I83)&lt;5,"",SUM(E83:I83))</f>
        <v/>
      </c>
      <c r="K83" s="18" t="str">
        <f aca="false">IF(J83="","",IF(M83&lt;설정!$B$3,"",ROUND(AVERAGEIFS($J$2:$J$1001,$B$2:$B$1001,B83,$A$2:$A$1001,"&lt;"&amp;A83,$A$2:$A$1001,"&gt;="&amp;(A83-설정!$B$2)),2)))</f>
        <v/>
      </c>
      <c r="L83" s="18" t="str">
        <f aca="false">IF(K83="","",ROUND(SQRT(MAX(0,(SUMIFS($R$2:$R$1001,$B$2:$B$1001,B83,$A$2:$A$1001,"&lt;"&amp;A83,$A$2:$A$1001,"&gt;="&amp;(A83-설정!$B$2))-M83*AVERAGEIFS($J$2:$J$1001,$B$2:$B$1001,B83,$A$2:$A$1001,"&lt;"&amp;A83,$A$2:$A$1001,"&gt;="&amp;(A83-설정!$B$2))^2)/(M83-1))),2))</f>
        <v/>
      </c>
      <c r="M83" s="18" t="str">
        <f aca="false">IF(J83="","",COUNTIFS($B$2:$B$1001,B83,$A$2:$A$1001,"&lt;"&amp;A83,$A$2:$A$1001,"&gt;="&amp;(A83-설정!$B$2),$J$2:$J$1001,"&gt;=0"))</f>
        <v/>
      </c>
      <c r="N83" s="18" t="str">
        <f aca="false">IF(K83="","",IF(L83=0,"",ROUND((J83-K83)/L83,2)))</f>
        <v/>
      </c>
      <c r="O83" s="19" t="str">
        <f aca="false">IF(J83="","",IF(MIN(F83,G83)&lt;=설정!$B$5,"예",""))</f>
        <v/>
      </c>
      <c r="P83" s="19" t="str">
        <f aca="false">IF(J83="","",IF(M83&lt;설정!$B$3,"baseline 수집 중",IF(N83="","정상",IF(N83&lt;=설정!$B$4,"낮음","정상"))))</f>
        <v/>
      </c>
      <c r="Q83" s="20"/>
      <c r="R83" s="18" t="str">
        <f aca="false">IF(J83="","",J83^2)</f>
        <v/>
      </c>
    </row>
    <row r="84" customFormat="false" ht="15" hidden="false" customHeight="false" outlineLevel="0" collapsed="false">
      <c r="A84" s="16"/>
      <c r="B84" s="17"/>
      <c r="C84" s="17"/>
      <c r="D84" s="17"/>
      <c r="E84" s="17"/>
      <c r="F84" s="17"/>
      <c r="G84" s="17"/>
      <c r="H84" s="17"/>
      <c r="I84" s="17"/>
      <c r="J84" s="18" t="str">
        <f aca="false">IF(COUNT(E84:I84)&lt;5,"",SUM(E84:I84))</f>
        <v/>
      </c>
      <c r="K84" s="18" t="str">
        <f aca="false">IF(J84="","",IF(M84&lt;설정!$B$3,"",ROUND(AVERAGEIFS($J$2:$J$1001,$B$2:$B$1001,B84,$A$2:$A$1001,"&lt;"&amp;A84,$A$2:$A$1001,"&gt;="&amp;(A84-설정!$B$2)),2)))</f>
        <v/>
      </c>
      <c r="L84" s="18" t="str">
        <f aca="false">IF(K84="","",ROUND(SQRT(MAX(0,(SUMIFS($R$2:$R$1001,$B$2:$B$1001,B84,$A$2:$A$1001,"&lt;"&amp;A84,$A$2:$A$1001,"&gt;="&amp;(A84-설정!$B$2))-M84*AVERAGEIFS($J$2:$J$1001,$B$2:$B$1001,B84,$A$2:$A$1001,"&lt;"&amp;A84,$A$2:$A$1001,"&gt;="&amp;(A84-설정!$B$2))^2)/(M84-1))),2))</f>
        <v/>
      </c>
      <c r="M84" s="18" t="str">
        <f aca="false">IF(J84="","",COUNTIFS($B$2:$B$1001,B84,$A$2:$A$1001,"&lt;"&amp;A84,$A$2:$A$1001,"&gt;="&amp;(A84-설정!$B$2),$J$2:$J$1001,"&gt;=0"))</f>
        <v/>
      </c>
      <c r="N84" s="18" t="str">
        <f aca="false">IF(K84="","",IF(L84=0,"",ROUND((J84-K84)/L84,2)))</f>
        <v/>
      </c>
      <c r="O84" s="19" t="str">
        <f aca="false">IF(J84="","",IF(MIN(F84,G84)&lt;=설정!$B$5,"예",""))</f>
        <v/>
      </c>
      <c r="P84" s="19" t="str">
        <f aca="false">IF(J84="","",IF(M84&lt;설정!$B$3,"baseline 수집 중",IF(N84="","정상",IF(N84&lt;=설정!$B$4,"낮음","정상"))))</f>
        <v/>
      </c>
      <c r="Q84" s="20"/>
      <c r="R84" s="18" t="str">
        <f aca="false">IF(J84="","",J84^2)</f>
        <v/>
      </c>
    </row>
    <row r="85" customFormat="false" ht="15" hidden="false" customHeight="false" outlineLevel="0" collapsed="false">
      <c r="A85" s="16"/>
      <c r="B85" s="17"/>
      <c r="C85" s="17"/>
      <c r="D85" s="17"/>
      <c r="E85" s="17"/>
      <c r="F85" s="17"/>
      <c r="G85" s="17"/>
      <c r="H85" s="17"/>
      <c r="I85" s="17"/>
      <c r="J85" s="18" t="str">
        <f aca="false">IF(COUNT(E85:I85)&lt;5,"",SUM(E85:I85))</f>
        <v/>
      </c>
      <c r="K85" s="18" t="str">
        <f aca="false">IF(J85="","",IF(M85&lt;설정!$B$3,"",ROUND(AVERAGEIFS($J$2:$J$1001,$B$2:$B$1001,B85,$A$2:$A$1001,"&lt;"&amp;A85,$A$2:$A$1001,"&gt;="&amp;(A85-설정!$B$2)),2)))</f>
        <v/>
      </c>
      <c r="L85" s="18" t="str">
        <f aca="false">IF(K85="","",ROUND(SQRT(MAX(0,(SUMIFS($R$2:$R$1001,$B$2:$B$1001,B85,$A$2:$A$1001,"&lt;"&amp;A85,$A$2:$A$1001,"&gt;="&amp;(A85-설정!$B$2))-M85*AVERAGEIFS($J$2:$J$1001,$B$2:$B$1001,B85,$A$2:$A$1001,"&lt;"&amp;A85,$A$2:$A$1001,"&gt;="&amp;(A85-설정!$B$2))^2)/(M85-1))),2))</f>
        <v/>
      </c>
      <c r="M85" s="18" t="str">
        <f aca="false">IF(J85="","",COUNTIFS($B$2:$B$1001,B85,$A$2:$A$1001,"&lt;"&amp;A85,$A$2:$A$1001,"&gt;="&amp;(A85-설정!$B$2),$J$2:$J$1001,"&gt;=0"))</f>
        <v/>
      </c>
      <c r="N85" s="18" t="str">
        <f aca="false">IF(K85="","",IF(L85=0,"",ROUND((J85-K85)/L85,2)))</f>
        <v/>
      </c>
      <c r="O85" s="19" t="str">
        <f aca="false">IF(J85="","",IF(MIN(F85,G85)&lt;=설정!$B$5,"예",""))</f>
        <v/>
      </c>
      <c r="P85" s="19" t="str">
        <f aca="false">IF(J85="","",IF(M85&lt;설정!$B$3,"baseline 수집 중",IF(N85="","정상",IF(N85&lt;=설정!$B$4,"낮음","정상"))))</f>
        <v/>
      </c>
      <c r="Q85" s="20"/>
      <c r="R85" s="18" t="str">
        <f aca="false">IF(J85="","",J85^2)</f>
        <v/>
      </c>
    </row>
    <row r="86" customFormat="false" ht="15" hidden="false" customHeight="false" outlineLevel="0" collapsed="false">
      <c r="A86" s="16"/>
      <c r="B86" s="17"/>
      <c r="C86" s="17"/>
      <c r="D86" s="17"/>
      <c r="E86" s="17"/>
      <c r="F86" s="17"/>
      <c r="G86" s="17"/>
      <c r="H86" s="17"/>
      <c r="I86" s="17"/>
      <c r="J86" s="18" t="str">
        <f aca="false">IF(COUNT(E86:I86)&lt;5,"",SUM(E86:I86))</f>
        <v/>
      </c>
      <c r="K86" s="18" t="str">
        <f aca="false">IF(J86="","",IF(M86&lt;설정!$B$3,"",ROUND(AVERAGEIFS($J$2:$J$1001,$B$2:$B$1001,B86,$A$2:$A$1001,"&lt;"&amp;A86,$A$2:$A$1001,"&gt;="&amp;(A86-설정!$B$2)),2)))</f>
        <v/>
      </c>
      <c r="L86" s="18" t="str">
        <f aca="false">IF(K86="","",ROUND(SQRT(MAX(0,(SUMIFS($R$2:$R$1001,$B$2:$B$1001,B86,$A$2:$A$1001,"&lt;"&amp;A86,$A$2:$A$1001,"&gt;="&amp;(A86-설정!$B$2))-M86*AVERAGEIFS($J$2:$J$1001,$B$2:$B$1001,B86,$A$2:$A$1001,"&lt;"&amp;A86,$A$2:$A$1001,"&gt;="&amp;(A86-설정!$B$2))^2)/(M86-1))),2))</f>
        <v/>
      </c>
      <c r="M86" s="18" t="str">
        <f aca="false">IF(J86="","",COUNTIFS($B$2:$B$1001,B86,$A$2:$A$1001,"&lt;"&amp;A86,$A$2:$A$1001,"&gt;="&amp;(A86-설정!$B$2),$J$2:$J$1001,"&gt;=0"))</f>
        <v/>
      </c>
      <c r="N86" s="18" t="str">
        <f aca="false">IF(K86="","",IF(L86=0,"",ROUND((J86-K86)/L86,2)))</f>
        <v/>
      </c>
      <c r="O86" s="19" t="str">
        <f aca="false">IF(J86="","",IF(MIN(F86,G86)&lt;=설정!$B$5,"예",""))</f>
        <v/>
      </c>
      <c r="P86" s="19" t="str">
        <f aca="false">IF(J86="","",IF(M86&lt;설정!$B$3,"baseline 수집 중",IF(N86="","정상",IF(N86&lt;=설정!$B$4,"낮음","정상"))))</f>
        <v/>
      </c>
      <c r="Q86" s="20"/>
      <c r="R86" s="18" t="str">
        <f aca="false">IF(J86="","",J86^2)</f>
        <v/>
      </c>
    </row>
    <row r="87" customFormat="false" ht="15" hidden="false" customHeight="false" outlineLevel="0" collapsed="false">
      <c r="A87" s="16"/>
      <c r="B87" s="17"/>
      <c r="C87" s="17"/>
      <c r="D87" s="17"/>
      <c r="E87" s="17"/>
      <c r="F87" s="17"/>
      <c r="G87" s="17"/>
      <c r="H87" s="17"/>
      <c r="I87" s="17"/>
      <c r="J87" s="18" t="str">
        <f aca="false">IF(COUNT(E87:I87)&lt;5,"",SUM(E87:I87))</f>
        <v/>
      </c>
      <c r="K87" s="18" t="str">
        <f aca="false">IF(J87="","",IF(M87&lt;설정!$B$3,"",ROUND(AVERAGEIFS($J$2:$J$1001,$B$2:$B$1001,B87,$A$2:$A$1001,"&lt;"&amp;A87,$A$2:$A$1001,"&gt;="&amp;(A87-설정!$B$2)),2)))</f>
        <v/>
      </c>
      <c r="L87" s="18" t="str">
        <f aca="false">IF(K87="","",ROUND(SQRT(MAX(0,(SUMIFS($R$2:$R$1001,$B$2:$B$1001,B87,$A$2:$A$1001,"&lt;"&amp;A87,$A$2:$A$1001,"&gt;="&amp;(A87-설정!$B$2))-M87*AVERAGEIFS($J$2:$J$1001,$B$2:$B$1001,B87,$A$2:$A$1001,"&lt;"&amp;A87,$A$2:$A$1001,"&gt;="&amp;(A87-설정!$B$2))^2)/(M87-1))),2))</f>
        <v/>
      </c>
      <c r="M87" s="18" t="str">
        <f aca="false">IF(J87="","",COUNTIFS($B$2:$B$1001,B87,$A$2:$A$1001,"&lt;"&amp;A87,$A$2:$A$1001,"&gt;="&amp;(A87-설정!$B$2),$J$2:$J$1001,"&gt;=0"))</f>
        <v/>
      </c>
      <c r="N87" s="18" t="str">
        <f aca="false">IF(K87="","",IF(L87=0,"",ROUND((J87-K87)/L87,2)))</f>
        <v/>
      </c>
      <c r="O87" s="19" t="str">
        <f aca="false">IF(J87="","",IF(MIN(F87,G87)&lt;=설정!$B$5,"예",""))</f>
        <v/>
      </c>
      <c r="P87" s="19" t="str">
        <f aca="false">IF(J87="","",IF(M87&lt;설정!$B$3,"baseline 수집 중",IF(N87="","정상",IF(N87&lt;=설정!$B$4,"낮음","정상"))))</f>
        <v/>
      </c>
      <c r="Q87" s="20"/>
      <c r="R87" s="18" t="str">
        <f aca="false">IF(J87="","",J87^2)</f>
        <v/>
      </c>
    </row>
    <row r="88" customFormat="false" ht="15" hidden="false" customHeight="false" outlineLevel="0" collapsed="false">
      <c r="A88" s="16"/>
      <c r="B88" s="17"/>
      <c r="C88" s="17"/>
      <c r="D88" s="17"/>
      <c r="E88" s="17"/>
      <c r="F88" s="17"/>
      <c r="G88" s="17"/>
      <c r="H88" s="17"/>
      <c r="I88" s="17"/>
      <c r="J88" s="18" t="str">
        <f aca="false">IF(COUNT(E88:I88)&lt;5,"",SUM(E88:I88))</f>
        <v/>
      </c>
      <c r="K88" s="18" t="str">
        <f aca="false">IF(J88="","",IF(M88&lt;설정!$B$3,"",ROUND(AVERAGEIFS($J$2:$J$1001,$B$2:$B$1001,B88,$A$2:$A$1001,"&lt;"&amp;A88,$A$2:$A$1001,"&gt;="&amp;(A88-설정!$B$2)),2)))</f>
        <v/>
      </c>
      <c r="L88" s="18" t="str">
        <f aca="false">IF(K88="","",ROUND(SQRT(MAX(0,(SUMIFS($R$2:$R$1001,$B$2:$B$1001,B88,$A$2:$A$1001,"&lt;"&amp;A88,$A$2:$A$1001,"&gt;="&amp;(A88-설정!$B$2))-M88*AVERAGEIFS($J$2:$J$1001,$B$2:$B$1001,B88,$A$2:$A$1001,"&lt;"&amp;A88,$A$2:$A$1001,"&gt;="&amp;(A88-설정!$B$2))^2)/(M88-1))),2))</f>
        <v/>
      </c>
      <c r="M88" s="18" t="str">
        <f aca="false">IF(J88="","",COUNTIFS($B$2:$B$1001,B88,$A$2:$A$1001,"&lt;"&amp;A88,$A$2:$A$1001,"&gt;="&amp;(A88-설정!$B$2),$J$2:$J$1001,"&gt;=0"))</f>
        <v/>
      </c>
      <c r="N88" s="18" t="str">
        <f aca="false">IF(K88="","",IF(L88=0,"",ROUND((J88-K88)/L88,2)))</f>
        <v/>
      </c>
      <c r="O88" s="19" t="str">
        <f aca="false">IF(J88="","",IF(MIN(F88,G88)&lt;=설정!$B$5,"예",""))</f>
        <v/>
      </c>
      <c r="P88" s="19" t="str">
        <f aca="false">IF(J88="","",IF(M88&lt;설정!$B$3,"baseline 수집 중",IF(N88="","정상",IF(N88&lt;=설정!$B$4,"낮음","정상"))))</f>
        <v/>
      </c>
      <c r="Q88" s="20"/>
      <c r="R88" s="18" t="str">
        <f aca="false">IF(J88="","",J88^2)</f>
        <v/>
      </c>
    </row>
    <row r="89" customFormat="false" ht="15" hidden="false" customHeight="false" outlineLevel="0" collapsed="false">
      <c r="A89" s="16"/>
      <c r="B89" s="17"/>
      <c r="C89" s="17"/>
      <c r="D89" s="17"/>
      <c r="E89" s="17"/>
      <c r="F89" s="17"/>
      <c r="G89" s="17"/>
      <c r="H89" s="17"/>
      <c r="I89" s="17"/>
      <c r="J89" s="18" t="str">
        <f aca="false">IF(COUNT(E89:I89)&lt;5,"",SUM(E89:I89))</f>
        <v/>
      </c>
      <c r="K89" s="18" t="str">
        <f aca="false">IF(J89="","",IF(M89&lt;설정!$B$3,"",ROUND(AVERAGEIFS($J$2:$J$1001,$B$2:$B$1001,B89,$A$2:$A$1001,"&lt;"&amp;A89,$A$2:$A$1001,"&gt;="&amp;(A89-설정!$B$2)),2)))</f>
        <v/>
      </c>
      <c r="L89" s="18" t="str">
        <f aca="false">IF(K89="","",ROUND(SQRT(MAX(0,(SUMIFS($R$2:$R$1001,$B$2:$B$1001,B89,$A$2:$A$1001,"&lt;"&amp;A89,$A$2:$A$1001,"&gt;="&amp;(A89-설정!$B$2))-M89*AVERAGEIFS($J$2:$J$1001,$B$2:$B$1001,B89,$A$2:$A$1001,"&lt;"&amp;A89,$A$2:$A$1001,"&gt;="&amp;(A89-설정!$B$2))^2)/(M89-1))),2))</f>
        <v/>
      </c>
      <c r="M89" s="18" t="str">
        <f aca="false">IF(J89="","",COUNTIFS($B$2:$B$1001,B89,$A$2:$A$1001,"&lt;"&amp;A89,$A$2:$A$1001,"&gt;="&amp;(A89-설정!$B$2),$J$2:$J$1001,"&gt;=0"))</f>
        <v/>
      </c>
      <c r="N89" s="18" t="str">
        <f aca="false">IF(K89="","",IF(L89=0,"",ROUND((J89-K89)/L89,2)))</f>
        <v/>
      </c>
      <c r="O89" s="19" t="str">
        <f aca="false">IF(J89="","",IF(MIN(F89,G89)&lt;=설정!$B$5,"예",""))</f>
        <v/>
      </c>
      <c r="P89" s="19" t="str">
        <f aca="false">IF(J89="","",IF(M89&lt;설정!$B$3,"baseline 수집 중",IF(N89="","정상",IF(N89&lt;=설정!$B$4,"낮음","정상"))))</f>
        <v/>
      </c>
      <c r="Q89" s="20"/>
      <c r="R89" s="18" t="str">
        <f aca="false">IF(J89="","",J89^2)</f>
        <v/>
      </c>
    </row>
    <row r="90" customFormat="false" ht="15" hidden="false" customHeight="false" outlineLevel="0" collapsed="false">
      <c r="A90" s="16"/>
      <c r="B90" s="17"/>
      <c r="C90" s="17"/>
      <c r="D90" s="17"/>
      <c r="E90" s="17"/>
      <c r="F90" s="17"/>
      <c r="G90" s="17"/>
      <c r="H90" s="17"/>
      <c r="I90" s="17"/>
      <c r="J90" s="18" t="str">
        <f aca="false">IF(COUNT(E90:I90)&lt;5,"",SUM(E90:I90))</f>
        <v/>
      </c>
      <c r="K90" s="18" t="str">
        <f aca="false">IF(J90="","",IF(M90&lt;설정!$B$3,"",ROUND(AVERAGEIFS($J$2:$J$1001,$B$2:$B$1001,B90,$A$2:$A$1001,"&lt;"&amp;A90,$A$2:$A$1001,"&gt;="&amp;(A90-설정!$B$2)),2)))</f>
        <v/>
      </c>
      <c r="L90" s="18" t="str">
        <f aca="false">IF(K90="","",ROUND(SQRT(MAX(0,(SUMIFS($R$2:$R$1001,$B$2:$B$1001,B90,$A$2:$A$1001,"&lt;"&amp;A90,$A$2:$A$1001,"&gt;="&amp;(A90-설정!$B$2))-M90*AVERAGEIFS($J$2:$J$1001,$B$2:$B$1001,B90,$A$2:$A$1001,"&lt;"&amp;A90,$A$2:$A$1001,"&gt;="&amp;(A90-설정!$B$2))^2)/(M90-1))),2))</f>
        <v/>
      </c>
      <c r="M90" s="18" t="str">
        <f aca="false">IF(J90="","",COUNTIFS($B$2:$B$1001,B90,$A$2:$A$1001,"&lt;"&amp;A90,$A$2:$A$1001,"&gt;="&amp;(A90-설정!$B$2),$J$2:$J$1001,"&gt;=0"))</f>
        <v/>
      </c>
      <c r="N90" s="18" t="str">
        <f aca="false">IF(K90="","",IF(L90=0,"",ROUND((J90-K90)/L90,2)))</f>
        <v/>
      </c>
      <c r="O90" s="19" t="str">
        <f aca="false">IF(J90="","",IF(MIN(F90,G90)&lt;=설정!$B$5,"예",""))</f>
        <v/>
      </c>
      <c r="P90" s="19" t="str">
        <f aca="false">IF(J90="","",IF(M90&lt;설정!$B$3,"baseline 수집 중",IF(N90="","정상",IF(N90&lt;=설정!$B$4,"낮음","정상"))))</f>
        <v/>
      </c>
      <c r="Q90" s="20"/>
      <c r="R90" s="18" t="str">
        <f aca="false">IF(J90="","",J90^2)</f>
        <v/>
      </c>
    </row>
    <row r="91" customFormat="false" ht="15" hidden="false" customHeight="false" outlineLevel="0" collapsed="false">
      <c r="A91" s="16"/>
      <c r="B91" s="17"/>
      <c r="C91" s="17"/>
      <c r="D91" s="17"/>
      <c r="E91" s="17"/>
      <c r="F91" s="17"/>
      <c r="G91" s="17"/>
      <c r="H91" s="17"/>
      <c r="I91" s="17"/>
      <c r="J91" s="18" t="str">
        <f aca="false">IF(COUNT(E91:I91)&lt;5,"",SUM(E91:I91))</f>
        <v/>
      </c>
      <c r="K91" s="18" t="str">
        <f aca="false">IF(J91="","",IF(M91&lt;설정!$B$3,"",ROUND(AVERAGEIFS($J$2:$J$1001,$B$2:$B$1001,B91,$A$2:$A$1001,"&lt;"&amp;A91,$A$2:$A$1001,"&gt;="&amp;(A91-설정!$B$2)),2)))</f>
        <v/>
      </c>
      <c r="L91" s="18" t="str">
        <f aca="false">IF(K91="","",ROUND(SQRT(MAX(0,(SUMIFS($R$2:$R$1001,$B$2:$B$1001,B91,$A$2:$A$1001,"&lt;"&amp;A91,$A$2:$A$1001,"&gt;="&amp;(A91-설정!$B$2))-M91*AVERAGEIFS($J$2:$J$1001,$B$2:$B$1001,B91,$A$2:$A$1001,"&lt;"&amp;A91,$A$2:$A$1001,"&gt;="&amp;(A91-설정!$B$2))^2)/(M91-1))),2))</f>
        <v/>
      </c>
      <c r="M91" s="18" t="str">
        <f aca="false">IF(J91="","",COUNTIFS($B$2:$B$1001,B91,$A$2:$A$1001,"&lt;"&amp;A91,$A$2:$A$1001,"&gt;="&amp;(A91-설정!$B$2),$J$2:$J$1001,"&gt;=0"))</f>
        <v/>
      </c>
      <c r="N91" s="18" t="str">
        <f aca="false">IF(K91="","",IF(L91=0,"",ROUND((J91-K91)/L91,2)))</f>
        <v/>
      </c>
      <c r="O91" s="19" t="str">
        <f aca="false">IF(J91="","",IF(MIN(F91,G91)&lt;=설정!$B$5,"예",""))</f>
        <v/>
      </c>
      <c r="P91" s="19" t="str">
        <f aca="false">IF(J91="","",IF(M91&lt;설정!$B$3,"baseline 수집 중",IF(N91="","정상",IF(N91&lt;=설정!$B$4,"낮음","정상"))))</f>
        <v/>
      </c>
      <c r="Q91" s="20"/>
      <c r="R91" s="18" t="str">
        <f aca="false">IF(J91="","",J91^2)</f>
        <v/>
      </c>
    </row>
    <row r="92" customFormat="false" ht="15" hidden="false" customHeight="false" outlineLevel="0" collapsed="false">
      <c r="A92" s="16"/>
      <c r="B92" s="17"/>
      <c r="C92" s="17"/>
      <c r="D92" s="17"/>
      <c r="E92" s="17"/>
      <c r="F92" s="17"/>
      <c r="G92" s="17"/>
      <c r="H92" s="17"/>
      <c r="I92" s="17"/>
      <c r="J92" s="18" t="str">
        <f aca="false">IF(COUNT(E92:I92)&lt;5,"",SUM(E92:I92))</f>
        <v/>
      </c>
      <c r="K92" s="18" t="str">
        <f aca="false">IF(J92="","",IF(M92&lt;설정!$B$3,"",ROUND(AVERAGEIFS($J$2:$J$1001,$B$2:$B$1001,B92,$A$2:$A$1001,"&lt;"&amp;A92,$A$2:$A$1001,"&gt;="&amp;(A92-설정!$B$2)),2)))</f>
        <v/>
      </c>
      <c r="L92" s="18" t="str">
        <f aca="false">IF(K92="","",ROUND(SQRT(MAX(0,(SUMIFS($R$2:$R$1001,$B$2:$B$1001,B92,$A$2:$A$1001,"&lt;"&amp;A92,$A$2:$A$1001,"&gt;="&amp;(A92-설정!$B$2))-M92*AVERAGEIFS($J$2:$J$1001,$B$2:$B$1001,B92,$A$2:$A$1001,"&lt;"&amp;A92,$A$2:$A$1001,"&gt;="&amp;(A92-설정!$B$2))^2)/(M92-1))),2))</f>
        <v/>
      </c>
      <c r="M92" s="18" t="str">
        <f aca="false">IF(J92="","",COUNTIFS($B$2:$B$1001,B92,$A$2:$A$1001,"&lt;"&amp;A92,$A$2:$A$1001,"&gt;="&amp;(A92-설정!$B$2),$J$2:$J$1001,"&gt;=0"))</f>
        <v/>
      </c>
      <c r="N92" s="18" t="str">
        <f aca="false">IF(K92="","",IF(L92=0,"",ROUND((J92-K92)/L92,2)))</f>
        <v/>
      </c>
      <c r="O92" s="19" t="str">
        <f aca="false">IF(J92="","",IF(MIN(F92,G92)&lt;=설정!$B$5,"예",""))</f>
        <v/>
      </c>
      <c r="P92" s="19" t="str">
        <f aca="false">IF(J92="","",IF(M92&lt;설정!$B$3,"baseline 수집 중",IF(N92="","정상",IF(N92&lt;=설정!$B$4,"낮음","정상"))))</f>
        <v/>
      </c>
      <c r="Q92" s="20"/>
      <c r="R92" s="18" t="str">
        <f aca="false">IF(J92="","",J92^2)</f>
        <v/>
      </c>
    </row>
    <row r="93" customFormat="false" ht="15" hidden="false" customHeight="false" outlineLevel="0" collapsed="false">
      <c r="A93" s="16"/>
      <c r="B93" s="17"/>
      <c r="C93" s="17"/>
      <c r="D93" s="17"/>
      <c r="E93" s="17"/>
      <c r="F93" s="17"/>
      <c r="G93" s="17"/>
      <c r="H93" s="17"/>
      <c r="I93" s="17"/>
      <c r="J93" s="18" t="str">
        <f aca="false">IF(COUNT(E93:I93)&lt;5,"",SUM(E93:I93))</f>
        <v/>
      </c>
      <c r="K93" s="18" t="str">
        <f aca="false">IF(J93="","",IF(M93&lt;설정!$B$3,"",ROUND(AVERAGEIFS($J$2:$J$1001,$B$2:$B$1001,B93,$A$2:$A$1001,"&lt;"&amp;A93,$A$2:$A$1001,"&gt;="&amp;(A93-설정!$B$2)),2)))</f>
        <v/>
      </c>
      <c r="L93" s="18" t="str">
        <f aca="false">IF(K93="","",ROUND(SQRT(MAX(0,(SUMIFS($R$2:$R$1001,$B$2:$B$1001,B93,$A$2:$A$1001,"&lt;"&amp;A93,$A$2:$A$1001,"&gt;="&amp;(A93-설정!$B$2))-M93*AVERAGEIFS($J$2:$J$1001,$B$2:$B$1001,B93,$A$2:$A$1001,"&lt;"&amp;A93,$A$2:$A$1001,"&gt;="&amp;(A93-설정!$B$2))^2)/(M93-1))),2))</f>
        <v/>
      </c>
      <c r="M93" s="18" t="str">
        <f aca="false">IF(J93="","",COUNTIFS($B$2:$B$1001,B93,$A$2:$A$1001,"&lt;"&amp;A93,$A$2:$A$1001,"&gt;="&amp;(A93-설정!$B$2),$J$2:$J$1001,"&gt;=0"))</f>
        <v/>
      </c>
      <c r="N93" s="18" t="str">
        <f aca="false">IF(K93="","",IF(L93=0,"",ROUND((J93-K93)/L93,2)))</f>
        <v/>
      </c>
      <c r="O93" s="19" t="str">
        <f aca="false">IF(J93="","",IF(MIN(F93,G93)&lt;=설정!$B$5,"예",""))</f>
        <v/>
      </c>
      <c r="P93" s="19" t="str">
        <f aca="false">IF(J93="","",IF(M93&lt;설정!$B$3,"baseline 수집 중",IF(N93="","정상",IF(N93&lt;=설정!$B$4,"낮음","정상"))))</f>
        <v/>
      </c>
      <c r="Q93" s="20"/>
      <c r="R93" s="18" t="str">
        <f aca="false">IF(J93="","",J93^2)</f>
        <v/>
      </c>
    </row>
    <row r="94" customFormat="false" ht="15" hidden="false" customHeight="false" outlineLevel="0" collapsed="false">
      <c r="A94" s="16"/>
      <c r="B94" s="17"/>
      <c r="C94" s="17"/>
      <c r="D94" s="17"/>
      <c r="E94" s="17"/>
      <c r="F94" s="17"/>
      <c r="G94" s="17"/>
      <c r="H94" s="17"/>
      <c r="I94" s="17"/>
      <c r="J94" s="18" t="str">
        <f aca="false">IF(COUNT(E94:I94)&lt;5,"",SUM(E94:I94))</f>
        <v/>
      </c>
      <c r="K94" s="18" t="str">
        <f aca="false">IF(J94="","",IF(M94&lt;설정!$B$3,"",ROUND(AVERAGEIFS($J$2:$J$1001,$B$2:$B$1001,B94,$A$2:$A$1001,"&lt;"&amp;A94,$A$2:$A$1001,"&gt;="&amp;(A94-설정!$B$2)),2)))</f>
        <v/>
      </c>
      <c r="L94" s="18" t="str">
        <f aca="false">IF(K94="","",ROUND(SQRT(MAX(0,(SUMIFS($R$2:$R$1001,$B$2:$B$1001,B94,$A$2:$A$1001,"&lt;"&amp;A94,$A$2:$A$1001,"&gt;="&amp;(A94-설정!$B$2))-M94*AVERAGEIFS($J$2:$J$1001,$B$2:$B$1001,B94,$A$2:$A$1001,"&lt;"&amp;A94,$A$2:$A$1001,"&gt;="&amp;(A94-설정!$B$2))^2)/(M94-1))),2))</f>
        <v/>
      </c>
      <c r="M94" s="18" t="str">
        <f aca="false">IF(J94="","",COUNTIFS($B$2:$B$1001,B94,$A$2:$A$1001,"&lt;"&amp;A94,$A$2:$A$1001,"&gt;="&amp;(A94-설정!$B$2),$J$2:$J$1001,"&gt;=0"))</f>
        <v/>
      </c>
      <c r="N94" s="18" t="str">
        <f aca="false">IF(K94="","",IF(L94=0,"",ROUND((J94-K94)/L94,2)))</f>
        <v/>
      </c>
      <c r="O94" s="19" t="str">
        <f aca="false">IF(J94="","",IF(MIN(F94,G94)&lt;=설정!$B$5,"예",""))</f>
        <v/>
      </c>
      <c r="P94" s="19" t="str">
        <f aca="false">IF(J94="","",IF(M94&lt;설정!$B$3,"baseline 수집 중",IF(N94="","정상",IF(N94&lt;=설정!$B$4,"낮음","정상"))))</f>
        <v/>
      </c>
      <c r="Q94" s="20"/>
      <c r="R94" s="18" t="str">
        <f aca="false">IF(J94="","",J94^2)</f>
        <v/>
      </c>
    </row>
    <row r="95" customFormat="false" ht="15" hidden="false" customHeight="false" outlineLevel="0" collapsed="false">
      <c r="A95" s="16"/>
      <c r="B95" s="17"/>
      <c r="C95" s="17"/>
      <c r="D95" s="17"/>
      <c r="E95" s="17"/>
      <c r="F95" s="17"/>
      <c r="G95" s="17"/>
      <c r="H95" s="17"/>
      <c r="I95" s="17"/>
      <c r="J95" s="18" t="str">
        <f aca="false">IF(COUNT(E95:I95)&lt;5,"",SUM(E95:I95))</f>
        <v/>
      </c>
      <c r="K95" s="18" t="str">
        <f aca="false">IF(J95="","",IF(M95&lt;설정!$B$3,"",ROUND(AVERAGEIFS($J$2:$J$1001,$B$2:$B$1001,B95,$A$2:$A$1001,"&lt;"&amp;A95,$A$2:$A$1001,"&gt;="&amp;(A95-설정!$B$2)),2)))</f>
        <v/>
      </c>
      <c r="L95" s="18" t="str">
        <f aca="false">IF(K95="","",ROUND(SQRT(MAX(0,(SUMIFS($R$2:$R$1001,$B$2:$B$1001,B95,$A$2:$A$1001,"&lt;"&amp;A95,$A$2:$A$1001,"&gt;="&amp;(A95-설정!$B$2))-M95*AVERAGEIFS($J$2:$J$1001,$B$2:$B$1001,B95,$A$2:$A$1001,"&lt;"&amp;A95,$A$2:$A$1001,"&gt;="&amp;(A95-설정!$B$2))^2)/(M95-1))),2))</f>
        <v/>
      </c>
      <c r="M95" s="18" t="str">
        <f aca="false">IF(J95="","",COUNTIFS($B$2:$B$1001,B95,$A$2:$A$1001,"&lt;"&amp;A95,$A$2:$A$1001,"&gt;="&amp;(A95-설정!$B$2),$J$2:$J$1001,"&gt;=0"))</f>
        <v/>
      </c>
      <c r="N95" s="18" t="str">
        <f aca="false">IF(K95="","",IF(L95=0,"",ROUND((J95-K95)/L95,2)))</f>
        <v/>
      </c>
      <c r="O95" s="19" t="str">
        <f aca="false">IF(J95="","",IF(MIN(F95,G95)&lt;=설정!$B$5,"예",""))</f>
        <v/>
      </c>
      <c r="P95" s="19" t="str">
        <f aca="false">IF(J95="","",IF(M95&lt;설정!$B$3,"baseline 수집 중",IF(N95="","정상",IF(N95&lt;=설정!$B$4,"낮음","정상"))))</f>
        <v/>
      </c>
      <c r="Q95" s="20"/>
      <c r="R95" s="18" t="str">
        <f aca="false">IF(J95="","",J95^2)</f>
        <v/>
      </c>
    </row>
    <row r="96" customFormat="false" ht="15" hidden="false" customHeight="false" outlineLevel="0" collapsed="false">
      <c r="A96" s="16"/>
      <c r="B96" s="17"/>
      <c r="C96" s="17"/>
      <c r="D96" s="17"/>
      <c r="E96" s="17"/>
      <c r="F96" s="17"/>
      <c r="G96" s="17"/>
      <c r="H96" s="17"/>
      <c r="I96" s="17"/>
      <c r="J96" s="18" t="str">
        <f aca="false">IF(COUNT(E96:I96)&lt;5,"",SUM(E96:I96))</f>
        <v/>
      </c>
      <c r="K96" s="18" t="str">
        <f aca="false">IF(J96="","",IF(M96&lt;설정!$B$3,"",ROUND(AVERAGEIFS($J$2:$J$1001,$B$2:$B$1001,B96,$A$2:$A$1001,"&lt;"&amp;A96,$A$2:$A$1001,"&gt;="&amp;(A96-설정!$B$2)),2)))</f>
        <v/>
      </c>
      <c r="L96" s="18" t="str">
        <f aca="false">IF(K96="","",ROUND(SQRT(MAX(0,(SUMIFS($R$2:$R$1001,$B$2:$B$1001,B96,$A$2:$A$1001,"&lt;"&amp;A96,$A$2:$A$1001,"&gt;="&amp;(A96-설정!$B$2))-M96*AVERAGEIFS($J$2:$J$1001,$B$2:$B$1001,B96,$A$2:$A$1001,"&lt;"&amp;A96,$A$2:$A$1001,"&gt;="&amp;(A96-설정!$B$2))^2)/(M96-1))),2))</f>
        <v/>
      </c>
      <c r="M96" s="18" t="str">
        <f aca="false">IF(J96="","",COUNTIFS($B$2:$B$1001,B96,$A$2:$A$1001,"&lt;"&amp;A96,$A$2:$A$1001,"&gt;="&amp;(A96-설정!$B$2),$J$2:$J$1001,"&gt;=0"))</f>
        <v/>
      </c>
      <c r="N96" s="18" t="str">
        <f aca="false">IF(K96="","",IF(L96=0,"",ROUND((J96-K96)/L96,2)))</f>
        <v/>
      </c>
      <c r="O96" s="19" t="str">
        <f aca="false">IF(J96="","",IF(MIN(F96,G96)&lt;=설정!$B$5,"예",""))</f>
        <v/>
      </c>
      <c r="P96" s="19" t="str">
        <f aca="false">IF(J96="","",IF(M96&lt;설정!$B$3,"baseline 수집 중",IF(N96="","정상",IF(N96&lt;=설정!$B$4,"낮음","정상"))))</f>
        <v/>
      </c>
      <c r="Q96" s="20"/>
      <c r="R96" s="18" t="str">
        <f aca="false">IF(J96="","",J96^2)</f>
        <v/>
      </c>
    </row>
    <row r="97" customFormat="false" ht="15" hidden="false" customHeight="false" outlineLevel="0" collapsed="false">
      <c r="A97" s="16"/>
      <c r="B97" s="17"/>
      <c r="C97" s="17"/>
      <c r="D97" s="17"/>
      <c r="E97" s="17"/>
      <c r="F97" s="17"/>
      <c r="G97" s="17"/>
      <c r="H97" s="17"/>
      <c r="I97" s="17"/>
      <c r="J97" s="18" t="str">
        <f aca="false">IF(COUNT(E97:I97)&lt;5,"",SUM(E97:I97))</f>
        <v/>
      </c>
      <c r="K97" s="18" t="str">
        <f aca="false">IF(J97="","",IF(M97&lt;설정!$B$3,"",ROUND(AVERAGEIFS($J$2:$J$1001,$B$2:$B$1001,B97,$A$2:$A$1001,"&lt;"&amp;A97,$A$2:$A$1001,"&gt;="&amp;(A97-설정!$B$2)),2)))</f>
        <v/>
      </c>
      <c r="L97" s="18" t="str">
        <f aca="false">IF(K97="","",ROUND(SQRT(MAX(0,(SUMIFS($R$2:$R$1001,$B$2:$B$1001,B97,$A$2:$A$1001,"&lt;"&amp;A97,$A$2:$A$1001,"&gt;="&amp;(A97-설정!$B$2))-M97*AVERAGEIFS($J$2:$J$1001,$B$2:$B$1001,B97,$A$2:$A$1001,"&lt;"&amp;A97,$A$2:$A$1001,"&gt;="&amp;(A97-설정!$B$2))^2)/(M97-1))),2))</f>
        <v/>
      </c>
      <c r="M97" s="18" t="str">
        <f aca="false">IF(J97="","",COUNTIFS($B$2:$B$1001,B97,$A$2:$A$1001,"&lt;"&amp;A97,$A$2:$A$1001,"&gt;="&amp;(A97-설정!$B$2),$J$2:$J$1001,"&gt;=0"))</f>
        <v/>
      </c>
      <c r="N97" s="18" t="str">
        <f aca="false">IF(K97="","",IF(L97=0,"",ROUND((J97-K97)/L97,2)))</f>
        <v/>
      </c>
      <c r="O97" s="19" t="str">
        <f aca="false">IF(J97="","",IF(MIN(F97,G97)&lt;=설정!$B$5,"예",""))</f>
        <v/>
      </c>
      <c r="P97" s="19" t="str">
        <f aca="false">IF(J97="","",IF(M97&lt;설정!$B$3,"baseline 수집 중",IF(N97="","정상",IF(N97&lt;=설정!$B$4,"낮음","정상"))))</f>
        <v/>
      </c>
      <c r="Q97" s="20"/>
      <c r="R97" s="18" t="str">
        <f aca="false">IF(J97="","",J97^2)</f>
        <v/>
      </c>
    </row>
    <row r="98" customFormat="false" ht="15" hidden="false" customHeight="false" outlineLevel="0" collapsed="false">
      <c r="A98" s="16"/>
      <c r="B98" s="17"/>
      <c r="C98" s="17"/>
      <c r="D98" s="17"/>
      <c r="E98" s="17"/>
      <c r="F98" s="17"/>
      <c r="G98" s="17"/>
      <c r="H98" s="17"/>
      <c r="I98" s="17"/>
      <c r="J98" s="18" t="str">
        <f aca="false">IF(COUNT(E98:I98)&lt;5,"",SUM(E98:I98))</f>
        <v/>
      </c>
      <c r="K98" s="18" t="str">
        <f aca="false">IF(J98="","",IF(M98&lt;설정!$B$3,"",ROUND(AVERAGEIFS($J$2:$J$1001,$B$2:$B$1001,B98,$A$2:$A$1001,"&lt;"&amp;A98,$A$2:$A$1001,"&gt;="&amp;(A98-설정!$B$2)),2)))</f>
        <v/>
      </c>
      <c r="L98" s="18" t="str">
        <f aca="false">IF(K98="","",ROUND(SQRT(MAX(0,(SUMIFS($R$2:$R$1001,$B$2:$B$1001,B98,$A$2:$A$1001,"&lt;"&amp;A98,$A$2:$A$1001,"&gt;="&amp;(A98-설정!$B$2))-M98*AVERAGEIFS($J$2:$J$1001,$B$2:$B$1001,B98,$A$2:$A$1001,"&lt;"&amp;A98,$A$2:$A$1001,"&gt;="&amp;(A98-설정!$B$2))^2)/(M98-1))),2))</f>
        <v/>
      </c>
      <c r="M98" s="18" t="str">
        <f aca="false">IF(J98="","",COUNTIFS($B$2:$B$1001,B98,$A$2:$A$1001,"&lt;"&amp;A98,$A$2:$A$1001,"&gt;="&amp;(A98-설정!$B$2),$J$2:$J$1001,"&gt;=0"))</f>
        <v/>
      </c>
      <c r="N98" s="18" t="str">
        <f aca="false">IF(K98="","",IF(L98=0,"",ROUND((J98-K98)/L98,2)))</f>
        <v/>
      </c>
      <c r="O98" s="19" t="str">
        <f aca="false">IF(J98="","",IF(MIN(F98,G98)&lt;=설정!$B$5,"예",""))</f>
        <v/>
      </c>
      <c r="P98" s="19" t="str">
        <f aca="false">IF(J98="","",IF(M98&lt;설정!$B$3,"baseline 수집 중",IF(N98="","정상",IF(N98&lt;=설정!$B$4,"낮음","정상"))))</f>
        <v/>
      </c>
      <c r="Q98" s="20"/>
      <c r="R98" s="18" t="str">
        <f aca="false">IF(J98="","",J98^2)</f>
        <v/>
      </c>
    </row>
    <row r="99" customFormat="false" ht="15" hidden="false" customHeight="false" outlineLevel="0" collapsed="false">
      <c r="A99" s="16"/>
      <c r="B99" s="17"/>
      <c r="C99" s="17"/>
      <c r="D99" s="17"/>
      <c r="E99" s="17"/>
      <c r="F99" s="17"/>
      <c r="G99" s="17"/>
      <c r="H99" s="17"/>
      <c r="I99" s="17"/>
      <c r="J99" s="18" t="str">
        <f aca="false">IF(COUNT(E99:I99)&lt;5,"",SUM(E99:I99))</f>
        <v/>
      </c>
      <c r="K99" s="18" t="str">
        <f aca="false">IF(J99="","",IF(M99&lt;설정!$B$3,"",ROUND(AVERAGEIFS($J$2:$J$1001,$B$2:$B$1001,B99,$A$2:$A$1001,"&lt;"&amp;A99,$A$2:$A$1001,"&gt;="&amp;(A99-설정!$B$2)),2)))</f>
        <v/>
      </c>
      <c r="L99" s="18" t="str">
        <f aca="false">IF(K99="","",ROUND(SQRT(MAX(0,(SUMIFS($R$2:$R$1001,$B$2:$B$1001,B99,$A$2:$A$1001,"&lt;"&amp;A99,$A$2:$A$1001,"&gt;="&amp;(A99-설정!$B$2))-M99*AVERAGEIFS($J$2:$J$1001,$B$2:$B$1001,B99,$A$2:$A$1001,"&lt;"&amp;A99,$A$2:$A$1001,"&gt;="&amp;(A99-설정!$B$2))^2)/(M99-1))),2))</f>
        <v/>
      </c>
      <c r="M99" s="18" t="str">
        <f aca="false">IF(J99="","",COUNTIFS($B$2:$B$1001,B99,$A$2:$A$1001,"&lt;"&amp;A99,$A$2:$A$1001,"&gt;="&amp;(A99-설정!$B$2),$J$2:$J$1001,"&gt;=0"))</f>
        <v/>
      </c>
      <c r="N99" s="18" t="str">
        <f aca="false">IF(K99="","",IF(L99=0,"",ROUND((J99-K99)/L99,2)))</f>
        <v/>
      </c>
      <c r="O99" s="19" t="str">
        <f aca="false">IF(J99="","",IF(MIN(F99,G99)&lt;=설정!$B$5,"예",""))</f>
        <v/>
      </c>
      <c r="P99" s="19" t="str">
        <f aca="false">IF(J99="","",IF(M99&lt;설정!$B$3,"baseline 수집 중",IF(N99="","정상",IF(N99&lt;=설정!$B$4,"낮음","정상"))))</f>
        <v/>
      </c>
      <c r="Q99" s="20"/>
      <c r="R99" s="18" t="str">
        <f aca="false">IF(J99="","",J99^2)</f>
        <v/>
      </c>
    </row>
    <row r="100" customFormat="false" ht="15" hidden="false" customHeight="false" outlineLevel="0" collapsed="false">
      <c r="A100" s="16"/>
      <c r="B100" s="17"/>
      <c r="C100" s="17"/>
      <c r="D100" s="17"/>
      <c r="E100" s="17"/>
      <c r="F100" s="17"/>
      <c r="G100" s="17"/>
      <c r="H100" s="17"/>
      <c r="I100" s="17"/>
      <c r="J100" s="18" t="str">
        <f aca="false">IF(COUNT(E100:I100)&lt;5,"",SUM(E100:I100))</f>
        <v/>
      </c>
      <c r="K100" s="18" t="str">
        <f aca="false">IF(J100="","",IF(M100&lt;설정!$B$3,"",ROUND(AVERAGEIFS($J$2:$J$1001,$B$2:$B$1001,B100,$A$2:$A$1001,"&lt;"&amp;A100,$A$2:$A$1001,"&gt;="&amp;(A100-설정!$B$2)),2)))</f>
        <v/>
      </c>
      <c r="L100" s="18" t="str">
        <f aca="false">IF(K100="","",ROUND(SQRT(MAX(0,(SUMIFS($R$2:$R$1001,$B$2:$B$1001,B100,$A$2:$A$1001,"&lt;"&amp;A100,$A$2:$A$1001,"&gt;="&amp;(A100-설정!$B$2))-M100*AVERAGEIFS($J$2:$J$1001,$B$2:$B$1001,B100,$A$2:$A$1001,"&lt;"&amp;A100,$A$2:$A$1001,"&gt;="&amp;(A100-설정!$B$2))^2)/(M100-1))),2))</f>
        <v/>
      </c>
      <c r="M100" s="18" t="str">
        <f aca="false">IF(J100="","",COUNTIFS($B$2:$B$1001,B100,$A$2:$A$1001,"&lt;"&amp;A100,$A$2:$A$1001,"&gt;="&amp;(A100-설정!$B$2),$J$2:$J$1001,"&gt;=0"))</f>
        <v/>
      </c>
      <c r="N100" s="18" t="str">
        <f aca="false">IF(K100="","",IF(L100=0,"",ROUND((J100-K100)/L100,2)))</f>
        <v/>
      </c>
      <c r="O100" s="19" t="str">
        <f aca="false">IF(J100="","",IF(MIN(F100,G100)&lt;=설정!$B$5,"예",""))</f>
        <v/>
      </c>
      <c r="P100" s="19" t="str">
        <f aca="false">IF(J100="","",IF(M100&lt;설정!$B$3,"baseline 수집 중",IF(N100="","정상",IF(N100&lt;=설정!$B$4,"낮음","정상"))))</f>
        <v/>
      </c>
      <c r="Q100" s="20"/>
      <c r="R100" s="18" t="str">
        <f aca="false">IF(J100="","",J100^2)</f>
        <v/>
      </c>
    </row>
    <row r="101" customFormat="false" ht="15" hidden="false" customHeight="false" outlineLevel="0" collapsed="false">
      <c r="A101" s="16"/>
      <c r="B101" s="17"/>
      <c r="C101" s="17"/>
      <c r="D101" s="17"/>
      <c r="E101" s="17"/>
      <c r="F101" s="17"/>
      <c r="G101" s="17"/>
      <c r="H101" s="17"/>
      <c r="I101" s="17"/>
      <c r="J101" s="18" t="str">
        <f aca="false">IF(COUNT(E101:I101)&lt;5,"",SUM(E101:I101))</f>
        <v/>
      </c>
      <c r="K101" s="18" t="str">
        <f aca="false">IF(J101="","",IF(M101&lt;설정!$B$3,"",ROUND(AVERAGEIFS($J$2:$J$1001,$B$2:$B$1001,B101,$A$2:$A$1001,"&lt;"&amp;A101,$A$2:$A$1001,"&gt;="&amp;(A101-설정!$B$2)),2)))</f>
        <v/>
      </c>
      <c r="L101" s="18" t="str">
        <f aca="false">IF(K101="","",ROUND(SQRT(MAX(0,(SUMIFS($R$2:$R$1001,$B$2:$B$1001,B101,$A$2:$A$1001,"&lt;"&amp;A101,$A$2:$A$1001,"&gt;="&amp;(A101-설정!$B$2))-M101*AVERAGEIFS($J$2:$J$1001,$B$2:$B$1001,B101,$A$2:$A$1001,"&lt;"&amp;A101,$A$2:$A$1001,"&gt;="&amp;(A101-설정!$B$2))^2)/(M101-1))),2))</f>
        <v/>
      </c>
      <c r="M101" s="18" t="str">
        <f aca="false">IF(J101="","",COUNTIFS($B$2:$B$1001,B101,$A$2:$A$1001,"&lt;"&amp;A101,$A$2:$A$1001,"&gt;="&amp;(A101-설정!$B$2),$J$2:$J$1001,"&gt;=0"))</f>
        <v/>
      </c>
      <c r="N101" s="18" t="str">
        <f aca="false">IF(K101="","",IF(L101=0,"",ROUND((J101-K101)/L101,2)))</f>
        <v/>
      </c>
      <c r="O101" s="19" t="str">
        <f aca="false">IF(J101="","",IF(MIN(F101,G101)&lt;=설정!$B$5,"예",""))</f>
        <v/>
      </c>
      <c r="P101" s="19" t="str">
        <f aca="false">IF(J101="","",IF(M101&lt;설정!$B$3,"baseline 수집 중",IF(N101="","정상",IF(N101&lt;=설정!$B$4,"낮음","정상"))))</f>
        <v/>
      </c>
      <c r="Q101" s="20"/>
      <c r="R101" s="18" t="str">
        <f aca="false">IF(J101="","",J101^2)</f>
        <v/>
      </c>
    </row>
    <row r="102" customFormat="false" ht="15" hidden="false" customHeight="false" outlineLevel="0" collapsed="false">
      <c r="A102" s="16"/>
      <c r="B102" s="17"/>
      <c r="C102" s="17"/>
      <c r="D102" s="17"/>
      <c r="E102" s="17"/>
      <c r="F102" s="17"/>
      <c r="G102" s="17"/>
      <c r="H102" s="17"/>
      <c r="I102" s="17"/>
      <c r="J102" s="18" t="str">
        <f aca="false">IF(COUNT(E102:I102)&lt;5,"",SUM(E102:I102))</f>
        <v/>
      </c>
      <c r="K102" s="18" t="str">
        <f aca="false">IF(J102="","",IF(M102&lt;설정!$B$3,"",ROUND(AVERAGEIFS($J$2:$J$1001,$B$2:$B$1001,B102,$A$2:$A$1001,"&lt;"&amp;A102,$A$2:$A$1001,"&gt;="&amp;(A102-설정!$B$2)),2)))</f>
        <v/>
      </c>
      <c r="L102" s="18" t="str">
        <f aca="false">IF(K102="","",ROUND(SQRT(MAX(0,(SUMIFS($R$2:$R$1001,$B$2:$B$1001,B102,$A$2:$A$1001,"&lt;"&amp;A102,$A$2:$A$1001,"&gt;="&amp;(A102-설정!$B$2))-M102*AVERAGEIFS($J$2:$J$1001,$B$2:$B$1001,B102,$A$2:$A$1001,"&lt;"&amp;A102,$A$2:$A$1001,"&gt;="&amp;(A102-설정!$B$2))^2)/(M102-1))),2))</f>
        <v/>
      </c>
      <c r="M102" s="18" t="str">
        <f aca="false">IF(J102="","",COUNTIFS($B$2:$B$1001,B102,$A$2:$A$1001,"&lt;"&amp;A102,$A$2:$A$1001,"&gt;="&amp;(A102-설정!$B$2),$J$2:$J$1001,"&gt;=0"))</f>
        <v/>
      </c>
      <c r="N102" s="18" t="str">
        <f aca="false">IF(K102="","",IF(L102=0,"",ROUND((J102-K102)/L102,2)))</f>
        <v/>
      </c>
      <c r="O102" s="19" t="str">
        <f aca="false">IF(J102="","",IF(MIN(F102,G102)&lt;=설정!$B$5,"예",""))</f>
        <v/>
      </c>
      <c r="P102" s="19" t="str">
        <f aca="false">IF(J102="","",IF(M102&lt;설정!$B$3,"baseline 수집 중",IF(N102="","정상",IF(N102&lt;=설정!$B$4,"낮음","정상"))))</f>
        <v/>
      </c>
      <c r="Q102" s="20"/>
      <c r="R102" s="18" t="str">
        <f aca="false">IF(J102="","",J102^2)</f>
        <v/>
      </c>
    </row>
    <row r="103" customFormat="false" ht="15" hidden="false" customHeight="false" outlineLevel="0" collapsed="false">
      <c r="A103" s="16"/>
      <c r="B103" s="17"/>
      <c r="C103" s="17"/>
      <c r="D103" s="17"/>
      <c r="E103" s="17"/>
      <c r="F103" s="17"/>
      <c r="G103" s="17"/>
      <c r="H103" s="17"/>
      <c r="I103" s="17"/>
      <c r="J103" s="18" t="str">
        <f aca="false">IF(COUNT(E103:I103)&lt;5,"",SUM(E103:I103))</f>
        <v/>
      </c>
      <c r="K103" s="18" t="str">
        <f aca="false">IF(J103="","",IF(M103&lt;설정!$B$3,"",ROUND(AVERAGEIFS($J$2:$J$1001,$B$2:$B$1001,B103,$A$2:$A$1001,"&lt;"&amp;A103,$A$2:$A$1001,"&gt;="&amp;(A103-설정!$B$2)),2)))</f>
        <v/>
      </c>
      <c r="L103" s="18" t="str">
        <f aca="false">IF(K103="","",ROUND(SQRT(MAX(0,(SUMIFS($R$2:$R$1001,$B$2:$B$1001,B103,$A$2:$A$1001,"&lt;"&amp;A103,$A$2:$A$1001,"&gt;="&amp;(A103-설정!$B$2))-M103*AVERAGEIFS($J$2:$J$1001,$B$2:$B$1001,B103,$A$2:$A$1001,"&lt;"&amp;A103,$A$2:$A$1001,"&gt;="&amp;(A103-설정!$B$2))^2)/(M103-1))),2))</f>
        <v/>
      </c>
      <c r="M103" s="18" t="str">
        <f aca="false">IF(J103="","",COUNTIFS($B$2:$B$1001,B103,$A$2:$A$1001,"&lt;"&amp;A103,$A$2:$A$1001,"&gt;="&amp;(A103-설정!$B$2),$J$2:$J$1001,"&gt;=0"))</f>
        <v/>
      </c>
      <c r="N103" s="18" t="str">
        <f aca="false">IF(K103="","",IF(L103=0,"",ROUND((J103-K103)/L103,2)))</f>
        <v/>
      </c>
      <c r="O103" s="19" t="str">
        <f aca="false">IF(J103="","",IF(MIN(F103,G103)&lt;=설정!$B$5,"예",""))</f>
        <v/>
      </c>
      <c r="P103" s="19" t="str">
        <f aca="false">IF(J103="","",IF(M103&lt;설정!$B$3,"baseline 수집 중",IF(N103="","정상",IF(N103&lt;=설정!$B$4,"낮음","정상"))))</f>
        <v/>
      </c>
      <c r="Q103" s="20"/>
      <c r="R103" s="18" t="str">
        <f aca="false">IF(J103="","",J103^2)</f>
        <v/>
      </c>
    </row>
    <row r="104" customFormat="false" ht="15" hidden="false" customHeight="false" outlineLevel="0" collapsed="false">
      <c r="A104" s="16"/>
      <c r="B104" s="17"/>
      <c r="C104" s="17"/>
      <c r="D104" s="17"/>
      <c r="E104" s="17"/>
      <c r="F104" s="17"/>
      <c r="G104" s="17"/>
      <c r="H104" s="17"/>
      <c r="I104" s="17"/>
      <c r="J104" s="18" t="str">
        <f aca="false">IF(COUNT(E104:I104)&lt;5,"",SUM(E104:I104))</f>
        <v/>
      </c>
      <c r="K104" s="18" t="str">
        <f aca="false">IF(J104="","",IF(M104&lt;설정!$B$3,"",ROUND(AVERAGEIFS($J$2:$J$1001,$B$2:$B$1001,B104,$A$2:$A$1001,"&lt;"&amp;A104,$A$2:$A$1001,"&gt;="&amp;(A104-설정!$B$2)),2)))</f>
        <v/>
      </c>
      <c r="L104" s="18" t="str">
        <f aca="false">IF(K104="","",ROUND(SQRT(MAX(0,(SUMIFS($R$2:$R$1001,$B$2:$B$1001,B104,$A$2:$A$1001,"&lt;"&amp;A104,$A$2:$A$1001,"&gt;="&amp;(A104-설정!$B$2))-M104*AVERAGEIFS($J$2:$J$1001,$B$2:$B$1001,B104,$A$2:$A$1001,"&lt;"&amp;A104,$A$2:$A$1001,"&gt;="&amp;(A104-설정!$B$2))^2)/(M104-1))),2))</f>
        <v/>
      </c>
      <c r="M104" s="18" t="str">
        <f aca="false">IF(J104="","",COUNTIFS($B$2:$B$1001,B104,$A$2:$A$1001,"&lt;"&amp;A104,$A$2:$A$1001,"&gt;="&amp;(A104-설정!$B$2),$J$2:$J$1001,"&gt;=0"))</f>
        <v/>
      </c>
      <c r="N104" s="18" t="str">
        <f aca="false">IF(K104="","",IF(L104=0,"",ROUND((J104-K104)/L104,2)))</f>
        <v/>
      </c>
      <c r="O104" s="19" t="str">
        <f aca="false">IF(J104="","",IF(MIN(F104,G104)&lt;=설정!$B$5,"예",""))</f>
        <v/>
      </c>
      <c r="P104" s="19" t="str">
        <f aca="false">IF(J104="","",IF(M104&lt;설정!$B$3,"baseline 수집 중",IF(N104="","정상",IF(N104&lt;=설정!$B$4,"낮음","정상"))))</f>
        <v/>
      </c>
      <c r="Q104" s="20"/>
      <c r="R104" s="18" t="str">
        <f aca="false">IF(J104="","",J104^2)</f>
        <v/>
      </c>
    </row>
    <row r="105" customFormat="false" ht="15" hidden="false" customHeight="false" outlineLevel="0" collapsed="false">
      <c r="A105" s="16"/>
      <c r="B105" s="17"/>
      <c r="C105" s="17"/>
      <c r="D105" s="17"/>
      <c r="E105" s="17"/>
      <c r="F105" s="17"/>
      <c r="G105" s="17"/>
      <c r="H105" s="17"/>
      <c r="I105" s="17"/>
      <c r="J105" s="18" t="str">
        <f aca="false">IF(COUNT(E105:I105)&lt;5,"",SUM(E105:I105))</f>
        <v/>
      </c>
      <c r="K105" s="18" t="str">
        <f aca="false">IF(J105="","",IF(M105&lt;설정!$B$3,"",ROUND(AVERAGEIFS($J$2:$J$1001,$B$2:$B$1001,B105,$A$2:$A$1001,"&lt;"&amp;A105,$A$2:$A$1001,"&gt;="&amp;(A105-설정!$B$2)),2)))</f>
        <v/>
      </c>
      <c r="L105" s="18" t="str">
        <f aca="false">IF(K105="","",ROUND(SQRT(MAX(0,(SUMIFS($R$2:$R$1001,$B$2:$B$1001,B105,$A$2:$A$1001,"&lt;"&amp;A105,$A$2:$A$1001,"&gt;="&amp;(A105-설정!$B$2))-M105*AVERAGEIFS($J$2:$J$1001,$B$2:$B$1001,B105,$A$2:$A$1001,"&lt;"&amp;A105,$A$2:$A$1001,"&gt;="&amp;(A105-설정!$B$2))^2)/(M105-1))),2))</f>
        <v/>
      </c>
      <c r="M105" s="18" t="str">
        <f aca="false">IF(J105="","",COUNTIFS($B$2:$B$1001,B105,$A$2:$A$1001,"&lt;"&amp;A105,$A$2:$A$1001,"&gt;="&amp;(A105-설정!$B$2),$J$2:$J$1001,"&gt;=0"))</f>
        <v/>
      </c>
      <c r="N105" s="18" t="str">
        <f aca="false">IF(K105="","",IF(L105=0,"",ROUND((J105-K105)/L105,2)))</f>
        <v/>
      </c>
      <c r="O105" s="19" t="str">
        <f aca="false">IF(J105="","",IF(MIN(F105,G105)&lt;=설정!$B$5,"예",""))</f>
        <v/>
      </c>
      <c r="P105" s="19" t="str">
        <f aca="false">IF(J105="","",IF(M105&lt;설정!$B$3,"baseline 수집 중",IF(N105="","정상",IF(N105&lt;=설정!$B$4,"낮음","정상"))))</f>
        <v/>
      </c>
      <c r="Q105" s="20"/>
      <c r="R105" s="18" t="str">
        <f aca="false">IF(J105="","",J105^2)</f>
        <v/>
      </c>
    </row>
    <row r="106" customFormat="false" ht="15" hidden="false" customHeight="false" outlineLevel="0" collapsed="false">
      <c r="A106" s="16"/>
      <c r="B106" s="17"/>
      <c r="C106" s="17"/>
      <c r="D106" s="17"/>
      <c r="E106" s="17"/>
      <c r="F106" s="17"/>
      <c r="G106" s="17"/>
      <c r="H106" s="17"/>
      <c r="I106" s="17"/>
      <c r="J106" s="18" t="str">
        <f aca="false">IF(COUNT(E106:I106)&lt;5,"",SUM(E106:I106))</f>
        <v/>
      </c>
      <c r="K106" s="18" t="str">
        <f aca="false">IF(J106="","",IF(M106&lt;설정!$B$3,"",ROUND(AVERAGEIFS($J$2:$J$1001,$B$2:$B$1001,B106,$A$2:$A$1001,"&lt;"&amp;A106,$A$2:$A$1001,"&gt;="&amp;(A106-설정!$B$2)),2)))</f>
        <v/>
      </c>
      <c r="L106" s="18" t="str">
        <f aca="false">IF(K106="","",ROUND(SQRT(MAX(0,(SUMIFS($R$2:$R$1001,$B$2:$B$1001,B106,$A$2:$A$1001,"&lt;"&amp;A106,$A$2:$A$1001,"&gt;="&amp;(A106-설정!$B$2))-M106*AVERAGEIFS($J$2:$J$1001,$B$2:$B$1001,B106,$A$2:$A$1001,"&lt;"&amp;A106,$A$2:$A$1001,"&gt;="&amp;(A106-설정!$B$2))^2)/(M106-1))),2))</f>
        <v/>
      </c>
      <c r="M106" s="18" t="str">
        <f aca="false">IF(J106="","",COUNTIFS($B$2:$B$1001,B106,$A$2:$A$1001,"&lt;"&amp;A106,$A$2:$A$1001,"&gt;="&amp;(A106-설정!$B$2),$J$2:$J$1001,"&gt;=0"))</f>
        <v/>
      </c>
      <c r="N106" s="18" t="str">
        <f aca="false">IF(K106="","",IF(L106=0,"",ROUND((J106-K106)/L106,2)))</f>
        <v/>
      </c>
      <c r="O106" s="19" t="str">
        <f aca="false">IF(J106="","",IF(MIN(F106,G106)&lt;=설정!$B$5,"예",""))</f>
        <v/>
      </c>
      <c r="P106" s="19" t="str">
        <f aca="false">IF(J106="","",IF(M106&lt;설정!$B$3,"baseline 수집 중",IF(N106="","정상",IF(N106&lt;=설정!$B$4,"낮음","정상"))))</f>
        <v/>
      </c>
      <c r="Q106" s="20"/>
      <c r="R106" s="18" t="str">
        <f aca="false">IF(J106="","",J106^2)</f>
        <v/>
      </c>
    </row>
    <row r="107" customFormat="false" ht="15" hidden="false" customHeight="false" outlineLevel="0" collapsed="false">
      <c r="A107" s="16"/>
      <c r="B107" s="17"/>
      <c r="C107" s="17"/>
      <c r="D107" s="17"/>
      <c r="E107" s="17"/>
      <c r="F107" s="17"/>
      <c r="G107" s="17"/>
      <c r="H107" s="17"/>
      <c r="I107" s="17"/>
      <c r="J107" s="18" t="str">
        <f aca="false">IF(COUNT(E107:I107)&lt;5,"",SUM(E107:I107))</f>
        <v/>
      </c>
      <c r="K107" s="18" t="str">
        <f aca="false">IF(J107="","",IF(M107&lt;설정!$B$3,"",ROUND(AVERAGEIFS($J$2:$J$1001,$B$2:$B$1001,B107,$A$2:$A$1001,"&lt;"&amp;A107,$A$2:$A$1001,"&gt;="&amp;(A107-설정!$B$2)),2)))</f>
        <v/>
      </c>
      <c r="L107" s="18" t="str">
        <f aca="false">IF(K107="","",ROUND(SQRT(MAX(0,(SUMIFS($R$2:$R$1001,$B$2:$B$1001,B107,$A$2:$A$1001,"&lt;"&amp;A107,$A$2:$A$1001,"&gt;="&amp;(A107-설정!$B$2))-M107*AVERAGEIFS($J$2:$J$1001,$B$2:$B$1001,B107,$A$2:$A$1001,"&lt;"&amp;A107,$A$2:$A$1001,"&gt;="&amp;(A107-설정!$B$2))^2)/(M107-1))),2))</f>
        <v/>
      </c>
      <c r="M107" s="18" t="str">
        <f aca="false">IF(J107="","",COUNTIFS($B$2:$B$1001,B107,$A$2:$A$1001,"&lt;"&amp;A107,$A$2:$A$1001,"&gt;="&amp;(A107-설정!$B$2),$J$2:$J$1001,"&gt;=0"))</f>
        <v/>
      </c>
      <c r="N107" s="18" t="str">
        <f aca="false">IF(K107="","",IF(L107=0,"",ROUND((J107-K107)/L107,2)))</f>
        <v/>
      </c>
      <c r="O107" s="19" t="str">
        <f aca="false">IF(J107="","",IF(MIN(F107,G107)&lt;=설정!$B$5,"예",""))</f>
        <v/>
      </c>
      <c r="P107" s="19" t="str">
        <f aca="false">IF(J107="","",IF(M107&lt;설정!$B$3,"baseline 수집 중",IF(N107="","정상",IF(N107&lt;=설정!$B$4,"낮음","정상"))))</f>
        <v/>
      </c>
      <c r="Q107" s="20"/>
      <c r="R107" s="18" t="str">
        <f aca="false">IF(J107="","",J107^2)</f>
        <v/>
      </c>
    </row>
    <row r="108" customFormat="false" ht="15" hidden="false" customHeight="false" outlineLevel="0" collapsed="false">
      <c r="A108" s="16"/>
      <c r="B108" s="17"/>
      <c r="C108" s="17"/>
      <c r="D108" s="17"/>
      <c r="E108" s="17"/>
      <c r="F108" s="17"/>
      <c r="G108" s="17"/>
      <c r="H108" s="17"/>
      <c r="I108" s="17"/>
      <c r="J108" s="18" t="str">
        <f aca="false">IF(COUNT(E108:I108)&lt;5,"",SUM(E108:I108))</f>
        <v/>
      </c>
      <c r="K108" s="18" t="str">
        <f aca="false">IF(J108="","",IF(M108&lt;설정!$B$3,"",ROUND(AVERAGEIFS($J$2:$J$1001,$B$2:$B$1001,B108,$A$2:$A$1001,"&lt;"&amp;A108,$A$2:$A$1001,"&gt;="&amp;(A108-설정!$B$2)),2)))</f>
        <v/>
      </c>
      <c r="L108" s="18" t="str">
        <f aca="false">IF(K108="","",ROUND(SQRT(MAX(0,(SUMIFS($R$2:$R$1001,$B$2:$B$1001,B108,$A$2:$A$1001,"&lt;"&amp;A108,$A$2:$A$1001,"&gt;="&amp;(A108-설정!$B$2))-M108*AVERAGEIFS($J$2:$J$1001,$B$2:$B$1001,B108,$A$2:$A$1001,"&lt;"&amp;A108,$A$2:$A$1001,"&gt;="&amp;(A108-설정!$B$2))^2)/(M108-1))),2))</f>
        <v/>
      </c>
      <c r="M108" s="18" t="str">
        <f aca="false">IF(J108="","",COUNTIFS($B$2:$B$1001,B108,$A$2:$A$1001,"&lt;"&amp;A108,$A$2:$A$1001,"&gt;="&amp;(A108-설정!$B$2),$J$2:$J$1001,"&gt;=0"))</f>
        <v/>
      </c>
      <c r="N108" s="18" t="str">
        <f aca="false">IF(K108="","",IF(L108=0,"",ROUND((J108-K108)/L108,2)))</f>
        <v/>
      </c>
      <c r="O108" s="19" t="str">
        <f aca="false">IF(J108="","",IF(MIN(F108,G108)&lt;=설정!$B$5,"예",""))</f>
        <v/>
      </c>
      <c r="P108" s="19" t="str">
        <f aca="false">IF(J108="","",IF(M108&lt;설정!$B$3,"baseline 수집 중",IF(N108="","정상",IF(N108&lt;=설정!$B$4,"낮음","정상"))))</f>
        <v/>
      </c>
      <c r="Q108" s="20"/>
      <c r="R108" s="18" t="str">
        <f aca="false">IF(J108="","",J108^2)</f>
        <v/>
      </c>
    </row>
    <row r="109" customFormat="false" ht="15" hidden="false" customHeight="false" outlineLevel="0" collapsed="false">
      <c r="A109" s="16"/>
      <c r="B109" s="17"/>
      <c r="C109" s="17"/>
      <c r="D109" s="17"/>
      <c r="E109" s="17"/>
      <c r="F109" s="17"/>
      <c r="G109" s="17"/>
      <c r="H109" s="17"/>
      <c r="I109" s="17"/>
      <c r="J109" s="18" t="str">
        <f aca="false">IF(COUNT(E109:I109)&lt;5,"",SUM(E109:I109))</f>
        <v/>
      </c>
      <c r="K109" s="18" t="str">
        <f aca="false">IF(J109="","",IF(M109&lt;설정!$B$3,"",ROUND(AVERAGEIFS($J$2:$J$1001,$B$2:$B$1001,B109,$A$2:$A$1001,"&lt;"&amp;A109,$A$2:$A$1001,"&gt;="&amp;(A109-설정!$B$2)),2)))</f>
        <v/>
      </c>
      <c r="L109" s="18" t="str">
        <f aca="false">IF(K109="","",ROUND(SQRT(MAX(0,(SUMIFS($R$2:$R$1001,$B$2:$B$1001,B109,$A$2:$A$1001,"&lt;"&amp;A109,$A$2:$A$1001,"&gt;="&amp;(A109-설정!$B$2))-M109*AVERAGEIFS($J$2:$J$1001,$B$2:$B$1001,B109,$A$2:$A$1001,"&lt;"&amp;A109,$A$2:$A$1001,"&gt;="&amp;(A109-설정!$B$2))^2)/(M109-1))),2))</f>
        <v/>
      </c>
      <c r="M109" s="18" t="str">
        <f aca="false">IF(J109="","",COUNTIFS($B$2:$B$1001,B109,$A$2:$A$1001,"&lt;"&amp;A109,$A$2:$A$1001,"&gt;="&amp;(A109-설정!$B$2),$J$2:$J$1001,"&gt;=0"))</f>
        <v/>
      </c>
      <c r="N109" s="18" t="str">
        <f aca="false">IF(K109="","",IF(L109=0,"",ROUND((J109-K109)/L109,2)))</f>
        <v/>
      </c>
      <c r="O109" s="19" t="str">
        <f aca="false">IF(J109="","",IF(MIN(F109,G109)&lt;=설정!$B$5,"예",""))</f>
        <v/>
      </c>
      <c r="P109" s="19" t="str">
        <f aca="false">IF(J109="","",IF(M109&lt;설정!$B$3,"baseline 수집 중",IF(N109="","정상",IF(N109&lt;=설정!$B$4,"낮음","정상"))))</f>
        <v/>
      </c>
      <c r="Q109" s="20"/>
      <c r="R109" s="18" t="str">
        <f aca="false">IF(J109="","",J109^2)</f>
        <v/>
      </c>
    </row>
    <row r="110" customFormat="false" ht="15" hidden="false" customHeight="false" outlineLevel="0" collapsed="false">
      <c r="A110" s="16"/>
      <c r="B110" s="17"/>
      <c r="C110" s="17"/>
      <c r="D110" s="17"/>
      <c r="E110" s="17"/>
      <c r="F110" s="17"/>
      <c r="G110" s="17"/>
      <c r="H110" s="17"/>
      <c r="I110" s="17"/>
      <c r="J110" s="18" t="str">
        <f aca="false">IF(COUNT(E110:I110)&lt;5,"",SUM(E110:I110))</f>
        <v/>
      </c>
      <c r="K110" s="18" t="str">
        <f aca="false">IF(J110="","",IF(M110&lt;설정!$B$3,"",ROUND(AVERAGEIFS($J$2:$J$1001,$B$2:$B$1001,B110,$A$2:$A$1001,"&lt;"&amp;A110,$A$2:$A$1001,"&gt;="&amp;(A110-설정!$B$2)),2)))</f>
        <v/>
      </c>
      <c r="L110" s="18" t="str">
        <f aca="false">IF(K110="","",ROUND(SQRT(MAX(0,(SUMIFS($R$2:$R$1001,$B$2:$B$1001,B110,$A$2:$A$1001,"&lt;"&amp;A110,$A$2:$A$1001,"&gt;="&amp;(A110-설정!$B$2))-M110*AVERAGEIFS($J$2:$J$1001,$B$2:$B$1001,B110,$A$2:$A$1001,"&lt;"&amp;A110,$A$2:$A$1001,"&gt;="&amp;(A110-설정!$B$2))^2)/(M110-1))),2))</f>
        <v/>
      </c>
      <c r="M110" s="18" t="str">
        <f aca="false">IF(J110="","",COUNTIFS($B$2:$B$1001,B110,$A$2:$A$1001,"&lt;"&amp;A110,$A$2:$A$1001,"&gt;="&amp;(A110-설정!$B$2),$J$2:$J$1001,"&gt;=0"))</f>
        <v/>
      </c>
      <c r="N110" s="18" t="str">
        <f aca="false">IF(K110="","",IF(L110=0,"",ROUND((J110-K110)/L110,2)))</f>
        <v/>
      </c>
      <c r="O110" s="19" t="str">
        <f aca="false">IF(J110="","",IF(MIN(F110,G110)&lt;=설정!$B$5,"예",""))</f>
        <v/>
      </c>
      <c r="P110" s="19" t="str">
        <f aca="false">IF(J110="","",IF(M110&lt;설정!$B$3,"baseline 수집 중",IF(N110="","정상",IF(N110&lt;=설정!$B$4,"낮음","정상"))))</f>
        <v/>
      </c>
      <c r="Q110" s="20"/>
      <c r="R110" s="18" t="str">
        <f aca="false">IF(J110="","",J110^2)</f>
        <v/>
      </c>
    </row>
    <row r="111" customFormat="false" ht="15" hidden="false" customHeight="false" outlineLevel="0" collapsed="false">
      <c r="A111" s="16"/>
      <c r="B111" s="17"/>
      <c r="C111" s="17"/>
      <c r="D111" s="17"/>
      <c r="E111" s="17"/>
      <c r="F111" s="17"/>
      <c r="G111" s="17"/>
      <c r="H111" s="17"/>
      <c r="I111" s="17"/>
      <c r="J111" s="18" t="str">
        <f aca="false">IF(COUNT(E111:I111)&lt;5,"",SUM(E111:I111))</f>
        <v/>
      </c>
      <c r="K111" s="18" t="str">
        <f aca="false">IF(J111="","",IF(M111&lt;설정!$B$3,"",ROUND(AVERAGEIFS($J$2:$J$1001,$B$2:$B$1001,B111,$A$2:$A$1001,"&lt;"&amp;A111,$A$2:$A$1001,"&gt;="&amp;(A111-설정!$B$2)),2)))</f>
        <v/>
      </c>
      <c r="L111" s="18" t="str">
        <f aca="false">IF(K111="","",ROUND(SQRT(MAX(0,(SUMIFS($R$2:$R$1001,$B$2:$B$1001,B111,$A$2:$A$1001,"&lt;"&amp;A111,$A$2:$A$1001,"&gt;="&amp;(A111-설정!$B$2))-M111*AVERAGEIFS($J$2:$J$1001,$B$2:$B$1001,B111,$A$2:$A$1001,"&lt;"&amp;A111,$A$2:$A$1001,"&gt;="&amp;(A111-설정!$B$2))^2)/(M111-1))),2))</f>
        <v/>
      </c>
      <c r="M111" s="18" t="str">
        <f aca="false">IF(J111="","",COUNTIFS($B$2:$B$1001,B111,$A$2:$A$1001,"&lt;"&amp;A111,$A$2:$A$1001,"&gt;="&amp;(A111-설정!$B$2),$J$2:$J$1001,"&gt;=0"))</f>
        <v/>
      </c>
      <c r="N111" s="18" t="str">
        <f aca="false">IF(K111="","",IF(L111=0,"",ROUND((J111-K111)/L111,2)))</f>
        <v/>
      </c>
      <c r="O111" s="19" t="str">
        <f aca="false">IF(J111="","",IF(MIN(F111,G111)&lt;=설정!$B$5,"예",""))</f>
        <v/>
      </c>
      <c r="P111" s="19" t="str">
        <f aca="false">IF(J111="","",IF(M111&lt;설정!$B$3,"baseline 수집 중",IF(N111="","정상",IF(N111&lt;=설정!$B$4,"낮음","정상"))))</f>
        <v/>
      </c>
      <c r="Q111" s="20"/>
      <c r="R111" s="18" t="str">
        <f aca="false">IF(J111="","",J111^2)</f>
        <v/>
      </c>
    </row>
    <row r="112" customFormat="false" ht="15" hidden="false" customHeight="false" outlineLevel="0" collapsed="false">
      <c r="A112" s="16"/>
      <c r="B112" s="17"/>
      <c r="C112" s="17"/>
      <c r="D112" s="17"/>
      <c r="E112" s="17"/>
      <c r="F112" s="17"/>
      <c r="G112" s="17"/>
      <c r="H112" s="17"/>
      <c r="I112" s="17"/>
      <c r="J112" s="18" t="str">
        <f aca="false">IF(COUNT(E112:I112)&lt;5,"",SUM(E112:I112))</f>
        <v/>
      </c>
      <c r="K112" s="18" t="str">
        <f aca="false">IF(J112="","",IF(M112&lt;설정!$B$3,"",ROUND(AVERAGEIFS($J$2:$J$1001,$B$2:$B$1001,B112,$A$2:$A$1001,"&lt;"&amp;A112,$A$2:$A$1001,"&gt;="&amp;(A112-설정!$B$2)),2)))</f>
        <v/>
      </c>
      <c r="L112" s="18" t="str">
        <f aca="false">IF(K112="","",ROUND(SQRT(MAX(0,(SUMIFS($R$2:$R$1001,$B$2:$B$1001,B112,$A$2:$A$1001,"&lt;"&amp;A112,$A$2:$A$1001,"&gt;="&amp;(A112-설정!$B$2))-M112*AVERAGEIFS($J$2:$J$1001,$B$2:$B$1001,B112,$A$2:$A$1001,"&lt;"&amp;A112,$A$2:$A$1001,"&gt;="&amp;(A112-설정!$B$2))^2)/(M112-1))),2))</f>
        <v/>
      </c>
      <c r="M112" s="18" t="str">
        <f aca="false">IF(J112="","",COUNTIFS($B$2:$B$1001,B112,$A$2:$A$1001,"&lt;"&amp;A112,$A$2:$A$1001,"&gt;="&amp;(A112-설정!$B$2),$J$2:$J$1001,"&gt;=0"))</f>
        <v/>
      </c>
      <c r="N112" s="18" t="str">
        <f aca="false">IF(K112="","",IF(L112=0,"",ROUND((J112-K112)/L112,2)))</f>
        <v/>
      </c>
      <c r="O112" s="19" t="str">
        <f aca="false">IF(J112="","",IF(MIN(F112,G112)&lt;=설정!$B$5,"예",""))</f>
        <v/>
      </c>
      <c r="P112" s="19" t="str">
        <f aca="false">IF(J112="","",IF(M112&lt;설정!$B$3,"baseline 수집 중",IF(N112="","정상",IF(N112&lt;=설정!$B$4,"낮음","정상"))))</f>
        <v/>
      </c>
      <c r="Q112" s="20"/>
      <c r="R112" s="18" t="str">
        <f aca="false">IF(J112="","",J112^2)</f>
        <v/>
      </c>
    </row>
    <row r="113" customFormat="false" ht="15" hidden="false" customHeight="false" outlineLevel="0" collapsed="false">
      <c r="A113" s="16"/>
      <c r="B113" s="17"/>
      <c r="C113" s="17"/>
      <c r="D113" s="17"/>
      <c r="E113" s="17"/>
      <c r="F113" s="17"/>
      <c r="G113" s="17"/>
      <c r="H113" s="17"/>
      <c r="I113" s="17"/>
      <c r="J113" s="18" t="str">
        <f aca="false">IF(COUNT(E113:I113)&lt;5,"",SUM(E113:I113))</f>
        <v/>
      </c>
      <c r="K113" s="18" t="str">
        <f aca="false">IF(J113="","",IF(M113&lt;설정!$B$3,"",ROUND(AVERAGEIFS($J$2:$J$1001,$B$2:$B$1001,B113,$A$2:$A$1001,"&lt;"&amp;A113,$A$2:$A$1001,"&gt;="&amp;(A113-설정!$B$2)),2)))</f>
        <v/>
      </c>
      <c r="L113" s="18" t="str">
        <f aca="false">IF(K113="","",ROUND(SQRT(MAX(0,(SUMIFS($R$2:$R$1001,$B$2:$B$1001,B113,$A$2:$A$1001,"&lt;"&amp;A113,$A$2:$A$1001,"&gt;="&amp;(A113-설정!$B$2))-M113*AVERAGEIFS($J$2:$J$1001,$B$2:$B$1001,B113,$A$2:$A$1001,"&lt;"&amp;A113,$A$2:$A$1001,"&gt;="&amp;(A113-설정!$B$2))^2)/(M113-1))),2))</f>
        <v/>
      </c>
      <c r="M113" s="18" t="str">
        <f aca="false">IF(J113="","",COUNTIFS($B$2:$B$1001,B113,$A$2:$A$1001,"&lt;"&amp;A113,$A$2:$A$1001,"&gt;="&amp;(A113-설정!$B$2),$J$2:$J$1001,"&gt;=0"))</f>
        <v/>
      </c>
      <c r="N113" s="18" t="str">
        <f aca="false">IF(K113="","",IF(L113=0,"",ROUND((J113-K113)/L113,2)))</f>
        <v/>
      </c>
      <c r="O113" s="19" t="str">
        <f aca="false">IF(J113="","",IF(MIN(F113,G113)&lt;=설정!$B$5,"예",""))</f>
        <v/>
      </c>
      <c r="P113" s="19" t="str">
        <f aca="false">IF(J113="","",IF(M113&lt;설정!$B$3,"baseline 수집 중",IF(N113="","정상",IF(N113&lt;=설정!$B$4,"낮음","정상"))))</f>
        <v/>
      </c>
      <c r="Q113" s="20"/>
      <c r="R113" s="18" t="str">
        <f aca="false">IF(J113="","",J113^2)</f>
        <v/>
      </c>
    </row>
    <row r="114" customFormat="false" ht="15" hidden="false" customHeight="false" outlineLevel="0" collapsed="false">
      <c r="A114" s="16"/>
      <c r="B114" s="17"/>
      <c r="C114" s="17"/>
      <c r="D114" s="17"/>
      <c r="E114" s="17"/>
      <c r="F114" s="17"/>
      <c r="G114" s="17"/>
      <c r="H114" s="17"/>
      <c r="I114" s="17"/>
      <c r="J114" s="18" t="str">
        <f aca="false">IF(COUNT(E114:I114)&lt;5,"",SUM(E114:I114))</f>
        <v/>
      </c>
      <c r="K114" s="18" t="str">
        <f aca="false">IF(J114="","",IF(M114&lt;설정!$B$3,"",ROUND(AVERAGEIFS($J$2:$J$1001,$B$2:$B$1001,B114,$A$2:$A$1001,"&lt;"&amp;A114,$A$2:$A$1001,"&gt;="&amp;(A114-설정!$B$2)),2)))</f>
        <v/>
      </c>
      <c r="L114" s="18" t="str">
        <f aca="false">IF(K114="","",ROUND(SQRT(MAX(0,(SUMIFS($R$2:$R$1001,$B$2:$B$1001,B114,$A$2:$A$1001,"&lt;"&amp;A114,$A$2:$A$1001,"&gt;="&amp;(A114-설정!$B$2))-M114*AVERAGEIFS($J$2:$J$1001,$B$2:$B$1001,B114,$A$2:$A$1001,"&lt;"&amp;A114,$A$2:$A$1001,"&gt;="&amp;(A114-설정!$B$2))^2)/(M114-1))),2))</f>
        <v/>
      </c>
      <c r="M114" s="18" t="str">
        <f aca="false">IF(J114="","",COUNTIFS($B$2:$B$1001,B114,$A$2:$A$1001,"&lt;"&amp;A114,$A$2:$A$1001,"&gt;="&amp;(A114-설정!$B$2),$J$2:$J$1001,"&gt;=0"))</f>
        <v/>
      </c>
      <c r="N114" s="18" t="str">
        <f aca="false">IF(K114="","",IF(L114=0,"",ROUND((J114-K114)/L114,2)))</f>
        <v/>
      </c>
      <c r="O114" s="19" t="str">
        <f aca="false">IF(J114="","",IF(MIN(F114,G114)&lt;=설정!$B$5,"예",""))</f>
        <v/>
      </c>
      <c r="P114" s="19" t="str">
        <f aca="false">IF(J114="","",IF(M114&lt;설정!$B$3,"baseline 수집 중",IF(N114="","정상",IF(N114&lt;=설정!$B$4,"낮음","정상"))))</f>
        <v/>
      </c>
      <c r="Q114" s="20"/>
      <c r="R114" s="18" t="str">
        <f aca="false">IF(J114="","",J114^2)</f>
        <v/>
      </c>
    </row>
    <row r="115" customFormat="false" ht="15" hidden="false" customHeight="false" outlineLevel="0" collapsed="false">
      <c r="A115" s="16"/>
      <c r="B115" s="17"/>
      <c r="C115" s="17"/>
      <c r="D115" s="17"/>
      <c r="E115" s="17"/>
      <c r="F115" s="17"/>
      <c r="G115" s="17"/>
      <c r="H115" s="17"/>
      <c r="I115" s="17"/>
      <c r="J115" s="18" t="str">
        <f aca="false">IF(COUNT(E115:I115)&lt;5,"",SUM(E115:I115))</f>
        <v/>
      </c>
      <c r="K115" s="18" t="str">
        <f aca="false">IF(J115="","",IF(M115&lt;설정!$B$3,"",ROUND(AVERAGEIFS($J$2:$J$1001,$B$2:$B$1001,B115,$A$2:$A$1001,"&lt;"&amp;A115,$A$2:$A$1001,"&gt;="&amp;(A115-설정!$B$2)),2)))</f>
        <v/>
      </c>
      <c r="L115" s="18" t="str">
        <f aca="false">IF(K115="","",ROUND(SQRT(MAX(0,(SUMIFS($R$2:$R$1001,$B$2:$B$1001,B115,$A$2:$A$1001,"&lt;"&amp;A115,$A$2:$A$1001,"&gt;="&amp;(A115-설정!$B$2))-M115*AVERAGEIFS($J$2:$J$1001,$B$2:$B$1001,B115,$A$2:$A$1001,"&lt;"&amp;A115,$A$2:$A$1001,"&gt;="&amp;(A115-설정!$B$2))^2)/(M115-1))),2))</f>
        <v/>
      </c>
      <c r="M115" s="18" t="str">
        <f aca="false">IF(J115="","",COUNTIFS($B$2:$B$1001,B115,$A$2:$A$1001,"&lt;"&amp;A115,$A$2:$A$1001,"&gt;="&amp;(A115-설정!$B$2),$J$2:$J$1001,"&gt;=0"))</f>
        <v/>
      </c>
      <c r="N115" s="18" t="str">
        <f aca="false">IF(K115="","",IF(L115=0,"",ROUND((J115-K115)/L115,2)))</f>
        <v/>
      </c>
      <c r="O115" s="19" t="str">
        <f aca="false">IF(J115="","",IF(MIN(F115,G115)&lt;=설정!$B$5,"예",""))</f>
        <v/>
      </c>
      <c r="P115" s="19" t="str">
        <f aca="false">IF(J115="","",IF(M115&lt;설정!$B$3,"baseline 수집 중",IF(N115="","정상",IF(N115&lt;=설정!$B$4,"낮음","정상"))))</f>
        <v/>
      </c>
      <c r="Q115" s="20"/>
      <c r="R115" s="18" t="str">
        <f aca="false">IF(J115="","",J115^2)</f>
        <v/>
      </c>
    </row>
    <row r="116" customFormat="false" ht="15" hidden="false" customHeight="false" outlineLevel="0" collapsed="false">
      <c r="A116" s="16"/>
      <c r="B116" s="17"/>
      <c r="C116" s="17"/>
      <c r="D116" s="17"/>
      <c r="E116" s="17"/>
      <c r="F116" s="17"/>
      <c r="G116" s="17"/>
      <c r="H116" s="17"/>
      <c r="I116" s="17"/>
      <c r="J116" s="18" t="str">
        <f aca="false">IF(COUNT(E116:I116)&lt;5,"",SUM(E116:I116))</f>
        <v/>
      </c>
      <c r="K116" s="18" t="str">
        <f aca="false">IF(J116="","",IF(M116&lt;설정!$B$3,"",ROUND(AVERAGEIFS($J$2:$J$1001,$B$2:$B$1001,B116,$A$2:$A$1001,"&lt;"&amp;A116,$A$2:$A$1001,"&gt;="&amp;(A116-설정!$B$2)),2)))</f>
        <v/>
      </c>
      <c r="L116" s="18" t="str">
        <f aca="false">IF(K116="","",ROUND(SQRT(MAX(0,(SUMIFS($R$2:$R$1001,$B$2:$B$1001,B116,$A$2:$A$1001,"&lt;"&amp;A116,$A$2:$A$1001,"&gt;="&amp;(A116-설정!$B$2))-M116*AVERAGEIFS($J$2:$J$1001,$B$2:$B$1001,B116,$A$2:$A$1001,"&lt;"&amp;A116,$A$2:$A$1001,"&gt;="&amp;(A116-설정!$B$2))^2)/(M116-1))),2))</f>
        <v/>
      </c>
      <c r="M116" s="18" t="str">
        <f aca="false">IF(J116="","",COUNTIFS($B$2:$B$1001,B116,$A$2:$A$1001,"&lt;"&amp;A116,$A$2:$A$1001,"&gt;="&amp;(A116-설정!$B$2),$J$2:$J$1001,"&gt;=0"))</f>
        <v/>
      </c>
      <c r="N116" s="18" t="str">
        <f aca="false">IF(K116="","",IF(L116=0,"",ROUND((J116-K116)/L116,2)))</f>
        <v/>
      </c>
      <c r="O116" s="19" t="str">
        <f aca="false">IF(J116="","",IF(MIN(F116,G116)&lt;=설정!$B$5,"예",""))</f>
        <v/>
      </c>
      <c r="P116" s="19" t="str">
        <f aca="false">IF(J116="","",IF(M116&lt;설정!$B$3,"baseline 수집 중",IF(N116="","정상",IF(N116&lt;=설정!$B$4,"낮음","정상"))))</f>
        <v/>
      </c>
      <c r="Q116" s="20"/>
      <c r="R116" s="18" t="str">
        <f aca="false">IF(J116="","",J116^2)</f>
        <v/>
      </c>
    </row>
    <row r="117" customFormat="false" ht="15" hidden="false" customHeight="false" outlineLevel="0" collapsed="false">
      <c r="A117" s="16"/>
      <c r="B117" s="17"/>
      <c r="C117" s="17"/>
      <c r="D117" s="17"/>
      <c r="E117" s="17"/>
      <c r="F117" s="17"/>
      <c r="G117" s="17"/>
      <c r="H117" s="17"/>
      <c r="I117" s="17"/>
      <c r="J117" s="18" t="str">
        <f aca="false">IF(COUNT(E117:I117)&lt;5,"",SUM(E117:I117))</f>
        <v/>
      </c>
      <c r="K117" s="18" t="str">
        <f aca="false">IF(J117="","",IF(M117&lt;설정!$B$3,"",ROUND(AVERAGEIFS($J$2:$J$1001,$B$2:$B$1001,B117,$A$2:$A$1001,"&lt;"&amp;A117,$A$2:$A$1001,"&gt;="&amp;(A117-설정!$B$2)),2)))</f>
        <v/>
      </c>
      <c r="L117" s="18" t="str">
        <f aca="false">IF(K117="","",ROUND(SQRT(MAX(0,(SUMIFS($R$2:$R$1001,$B$2:$B$1001,B117,$A$2:$A$1001,"&lt;"&amp;A117,$A$2:$A$1001,"&gt;="&amp;(A117-설정!$B$2))-M117*AVERAGEIFS($J$2:$J$1001,$B$2:$B$1001,B117,$A$2:$A$1001,"&lt;"&amp;A117,$A$2:$A$1001,"&gt;="&amp;(A117-설정!$B$2))^2)/(M117-1))),2))</f>
        <v/>
      </c>
      <c r="M117" s="18" t="str">
        <f aca="false">IF(J117="","",COUNTIFS($B$2:$B$1001,B117,$A$2:$A$1001,"&lt;"&amp;A117,$A$2:$A$1001,"&gt;="&amp;(A117-설정!$B$2),$J$2:$J$1001,"&gt;=0"))</f>
        <v/>
      </c>
      <c r="N117" s="18" t="str">
        <f aca="false">IF(K117="","",IF(L117=0,"",ROUND((J117-K117)/L117,2)))</f>
        <v/>
      </c>
      <c r="O117" s="19" t="str">
        <f aca="false">IF(J117="","",IF(MIN(F117,G117)&lt;=설정!$B$5,"예",""))</f>
        <v/>
      </c>
      <c r="P117" s="19" t="str">
        <f aca="false">IF(J117="","",IF(M117&lt;설정!$B$3,"baseline 수집 중",IF(N117="","정상",IF(N117&lt;=설정!$B$4,"낮음","정상"))))</f>
        <v/>
      </c>
      <c r="Q117" s="20"/>
      <c r="R117" s="18" t="str">
        <f aca="false">IF(J117="","",J117^2)</f>
        <v/>
      </c>
    </row>
    <row r="118" customFormat="false" ht="15" hidden="false" customHeight="false" outlineLevel="0" collapsed="false">
      <c r="A118" s="16"/>
      <c r="B118" s="17"/>
      <c r="C118" s="17"/>
      <c r="D118" s="17"/>
      <c r="E118" s="17"/>
      <c r="F118" s="17"/>
      <c r="G118" s="17"/>
      <c r="H118" s="17"/>
      <c r="I118" s="17"/>
      <c r="J118" s="18" t="str">
        <f aca="false">IF(COUNT(E118:I118)&lt;5,"",SUM(E118:I118))</f>
        <v/>
      </c>
      <c r="K118" s="18" t="str">
        <f aca="false">IF(J118="","",IF(M118&lt;설정!$B$3,"",ROUND(AVERAGEIFS($J$2:$J$1001,$B$2:$B$1001,B118,$A$2:$A$1001,"&lt;"&amp;A118,$A$2:$A$1001,"&gt;="&amp;(A118-설정!$B$2)),2)))</f>
        <v/>
      </c>
      <c r="L118" s="18" t="str">
        <f aca="false">IF(K118="","",ROUND(SQRT(MAX(0,(SUMIFS($R$2:$R$1001,$B$2:$B$1001,B118,$A$2:$A$1001,"&lt;"&amp;A118,$A$2:$A$1001,"&gt;="&amp;(A118-설정!$B$2))-M118*AVERAGEIFS($J$2:$J$1001,$B$2:$B$1001,B118,$A$2:$A$1001,"&lt;"&amp;A118,$A$2:$A$1001,"&gt;="&amp;(A118-설정!$B$2))^2)/(M118-1))),2))</f>
        <v/>
      </c>
      <c r="M118" s="18" t="str">
        <f aca="false">IF(J118="","",COUNTIFS($B$2:$B$1001,B118,$A$2:$A$1001,"&lt;"&amp;A118,$A$2:$A$1001,"&gt;="&amp;(A118-설정!$B$2),$J$2:$J$1001,"&gt;=0"))</f>
        <v/>
      </c>
      <c r="N118" s="18" t="str">
        <f aca="false">IF(K118="","",IF(L118=0,"",ROUND((J118-K118)/L118,2)))</f>
        <v/>
      </c>
      <c r="O118" s="19" t="str">
        <f aca="false">IF(J118="","",IF(MIN(F118,G118)&lt;=설정!$B$5,"예",""))</f>
        <v/>
      </c>
      <c r="P118" s="19" t="str">
        <f aca="false">IF(J118="","",IF(M118&lt;설정!$B$3,"baseline 수집 중",IF(N118="","정상",IF(N118&lt;=설정!$B$4,"낮음","정상"))))</f>
        <v/>
      </c>
      <c r="Q118" s="20"/>
      <c r="R118" s="18" t="str">
        <f aca="false">IF(J118="","",J118^2)</f>
        <v/>
      </c>
    </row>
    <row r="119" customFormat="false" ht="15" hidden="false" customHeight="false" outlineLevel="0" collapsed="false">
      <c r="A119" s="16"/>
      <c r="B119" s="17"/>
      <c r="C119" s="17"/>
      <c r="D119" s="17"/>
      <c r="E119" s="17"/>
      <c r="F119" s="17"/>
      <c r="G119" s="17"/>
      <c r="H119" s="17"/>
      <c r="I119" s="17"/>
      <c r="J119" s="18" t="str">
        <f aca="false">IF(COUNT(E119:I119)&lt;5,"",SUM(E119:I119))</f>
        <v/>
      </c>
      <c r="K119" s="18" t="str">
        <f aca="false">IF(J119="","",IF(M119&lt;설정!$B$3,"",ROUND(AVERAGEIFS($J$2:$J$1001,$B$2:$B$1001,B119,$A$2:$A$1001,"&lt;"&amp;A119,$A$2:$A$1001,"&gt;="&amp;(A119-설정!$B$2)),2)))</f>
        <v/>
      </c>
      <c r="L119" s="18" t="str">
        <f aca="false">IF(K119="","",ROUND(SQRT(MAX(0,(SUMIFS($R$2:$R$1001,$B$2:$B$1001,B119,$A$2:$A$1001,"&lt;"&amp;A119,$A$2:$A$1001,"&gt;="&amp;(A119-설정!$B$2))-M119*AVERAGEIFS($J$2:$J$1001,$B$2:$B$1001,B119,$A$2:$A$1001,"&lt;"&amp;A119,$A$2:$A$1001,"&gt;="&amp;(A119-설정!$B$2))^2)/(M119-1))),2))</f>
        <v/>
      </c>
      <c r="M119" s="18" t="str">
        <f aca="false">IF(J119="","",COUNTIFS($B$2:$B$1001,B119,$A$2:$A$1001,"&lt;"&amp;A119,$A$2:$A$1001,"&gt;="&amp;(A119-설정!$B$2),$J$2:$J$1001,"&gt;=0"))</f>
        <v/>
      </c>
      <c r="N119" s="18" t="str">
        <f aca="false">IF(K119="","",IF(L119=0,"",ROUND((J119-K119)/L119,2)))</f>
        <v/>
      </c>
      <c r="O119" s="19" t="str">
        <f aca="false">IF(J119="","",IF(MIN(F119,G119)&lt;=설정!$B$5,"예",""))</f>
        <v/>
      </c>
      <c r="P119" s="19" t="str">
        <f aca="false">IF(J119="","",IF(M119&lt;설정!$B$3,"baseline 수집 중",IF(N119="","정상",IF(N119&lt;=설정!$B$4,"낮음","정상"))))</f>
        <v/>
      </c>
      <c r="Q119" s="20"/>
      <c r="R119" s="18" t="str">
        <f aca="false">IF(J119="","",J119^2)</f>
        <v/>
      </c>
    </row>
    <row r="120" customFormat="false" ht="15" hidden="false" customHeight="false" outlineLevel="0" collapsed="false">
      <c r="A120" s="16"/>
      <c r="B120" s="17"/>
      <c r="C120" s="17"/>
      <c r="D120" s="17"/>
      <c r="E120" s="17"/>
      <c r="F120" s="17"/>
      <c r="G120" s="17"/>
      <c r="H120" s="17"/>
      <c r="I120" s="17"/>
      <c r="J120" s="18" t="str">
        <f aca="false">IF(COUNT(E120:I120)&lt;5,"",SUM(E120:I120))</f>
        <v/>
      </c>
      <c r="K120" s="18" t="str">
        <f aca="false">IF(J120="","",IF(M120&lt;설정!$B$3,"",ROUND(AVERAGEIFS($J$2:$J$1001,$B$2:$B$1001,B120,$A$2:$A$1001,"&lt;"&amp;A120,$A$2:$A$1001,"&gt;="&amp;(A120-설정!$B$2)),2)))</f>
        <v/>
      </c>
      <c r="L120" s="18" t="str">
        <f aca="false">IF(K120="","",ROUND(SQRT(MAX(0,(SUMIFS($R$2:$R$1001,$B$2:$B$1001,B120,$A$2:$A$1001,"&lt;"&amp;A120,$A$2:$A$1001,"&gt;="&amp;(A120-설정!$B$2))-M120*AVERAGEIFS($J$2:$J$1001,$B$2:$B$1001,B120,$A$2:$A$1001,"&lt;"&amp;A120,$A$2:$A$1001,"&gt;="&amp;(A120-설정!$B$2))^2)/(M120-1))),2))</f>
        <v/>
      </c>
      <c r="M120" s="18" t="str">
        <f aca="false">IF(J120="","",COUNTIFS($B$2:$B$1001,B120,$A$2:$A$1001,"&lt;"&amp;A120,$A$2:$A$1001,"&gt;="&amp;(A120-설정!$B$2),$J$2:$J$1001,"&gt;=0"))</f>
        <v/>
      </c>
      <c r="N120" s="18" t="str">
        <f aca="false">IF(K120="","",IF(L120=0,"",ROUND((J120-K120)/L120,2)))</f>
        <v/>
      </c>
      <c r="O120" s="19" t="str">
        <f aca="false">IF(J120="","",IF(MIN(F120,G120)&lt;=설정!$B$5,"예",""))</f>
        <v/>
      </c>
      <c r="P120" s="19" t="str">
        <f aca="false">IF(J120="","",IF(M120&lt;설정!$B$3,"baseline 수집 중",IF(N120="","정상",IF(N120&lt;=설정!$B$4,"낮음","정상"))))</f>
        <v/>
      </c>
      <c r="Q120" s="20"/>
      <c r="R120" s="18" t="str">
        <f aca="false">IF(J120="","",J120^2)</f>
        <v/>
      </c>
    </row>
    <row r="121" customFormat="false" ht="15" hidden="false" customHeight="false" outlineLevel="0" collapsed="false">
      <c r="A121" s="16"/>
      <c r="B121" s="17"/>
      <c r="C121" s="17"/>
      <c r="D121" s="17"/>
      <c r="E121" s="17"/>
      <c r="F121" s="17"/>
      <c r="G121" s="17"/>
      <c r="H121" s="17"/>
      <c r="I121" s="17"/>
      <c r="J121" s="18" t="str">
        <f aca="false">IF(COUNT(E121:I121)&lt;5,"",SUM(E121:I121))</f>
        <v/>
      </c>
      <c r="K121" s="18" t="str">
        <f aca="false">IF(J121="","",IF(M121&lt;설정!$B$3,"",ROUND(AVERAGEIFS($J$2:$J$1001,$B$2:$B$1001,B121,$A$2:$A$1001,"&lt;"&amp;A121,$A$2:$A$1001,"&gt;="&amp;(A121-설정!$B$2)),2)))</f>
        <v/>
      </c>
      <c r="L121" s="18" t="str">
        <f aca="false">IF(K121="","",ROUND(SQRT(MAX(0,(SUMIFS($R$2:$R$1001,$B$2:$B$1001,B121,$A$2:$A$1001,"&lt;"&amp;A121,$A$2:$A$1001,"&gt;="&amp;(A121-설정!$B$2))-M121*AVERAGEIFS($J$2:$J$1001,$B$2:$B$1001,B121,$A$2:$A$1001,"&lt;"&amp;A121,$A$2:$A$1001,"&gt;="&amp;(A121-설정!$B$2))^2)/(M121-1))),2))</f>
        <v/>
      </c>
      <c r="M121" s="18" t="str">
        <f aca="false">IF(J121="","",COUNTIFS($B$2:$B$1001,B121,$A$2:$A$1001,"&lt;"&amp;A121,$A$2:$A$1001,"&gt;="&amp;(A121-설정!$B$2),$J$2:$J$1001,"&gt;=0"))</f>
        <v/>
      </c>
      <c r="N121" s="18" t="str">
        <f aca="false">IF(K121="","",IF(L121=0,"",ROUND((J121-K121)/L121,2)))</f>
        <v/>
      </c>
      <c r="O121" s="19" t="str">
        <f aca="false">IF(J121="","",IF(MIN(F121,G121)&lt;=설정!$B$5,"예",""))</f>
        <v/>
      </c>
      <c r="P121" s="19" t="str">
        <f aca="false">IF(J121="","",IF(M121&lt;설정!$B$3,"baseline 수집 중",IF(N121="","정상",IF(N121&lt;=설정!$B$4,"낮음","정상"))))</f>
        <v/>
      </c>
      <c r="Q121" s="20"/>
      <c r="R121" s="18" t="str">
        <f aca="false">IF(J121="","",J121^2)</f>
        <v/>
      </c>
    </row>
    <row r="122" customFormat="false" ht="15" hidden="false" customHeight="false" outlineLevel="0" collapsed="false">
      <c r="A122" s="16"/>
      <c r="B122" s="17"/>
      <c r="C122" s="17"/>
      <c r="D122" s="17"/>
      <c r="E122" s="17"/>
      <c r="F122" s="17"/>
      <c r="G122" s="17"/>
      <c r="H122" s="17"/>
      <c r="I122" s="17"/>
      <c r="J122" s="18" t="str">
        <f aca="false">IF(COUNT(E122:I122)&lt;5,"",SUM(E122:I122))</f>
        <v/>
      </c>
      <c r="K122" s="18" t="str">
        <f aca="false">IF(J122="","",IF(M122&lt;설정!$B$3,"",ROUND(AVERAGEIFS($J$2:$J$1001,$B$2:$B$1001,B122,$A$2:$A$1001,"&lt;"&amp;A122,$A$2:$A$1001,"&gt;="&amp;(A122-설정!$B$2)),2)))</f>
        <v/>
      </c>
      <c r="L122" s="18" t="str">
        <f aca="false">IF(K122="","",ROUND(SQRT(MAX(0,(SUMIFS($R$2:$R$1001,$B$2:$B$1001,B122,$A$2:$A$1001,"&lt;"&amp;A122,$A$2:$A$1001,"&gt;="&amp;(A122-설정!$B$2))-M122*AVERAGEIFS($J$2:$J$1001,$B$2:$B$1001,B122,$A$2:$A$1001,"&lt;"&amp;A122,$A$2:$A$1001,"&gt;="&amp;(A122-설정!$B$2))^2)/(M122-1))),2))</f>
        <v/>
      </c>
      <c r="M122" s="18" t="str">
        <f aca="false">IF(J122="","",COUNTIFS($B$2:$B$1001,B122,$A$2:$A$1001,"&lt;"&amp;A122,$A$2:$A$1001,"&gt;="&amp;(A122-설정!$B$2),$J$2:$J$1001,"&gt;=0"))</f>
        <v/>
      </c>
      <c r="N122" s="18" t="str">
        <f aca="false">IF(K122="","",IF(L122=0,"",ROUND((J122-K122)/L122,2)))</f>
        <v/>
      </c>
      <c r="O122" s="19" t="str">
        <f aca="false">IF(J122="","",IF(MIN(F122,G122)&lt;=설정!$B$5,"예",""))</f>
        <v/>
      </c>
      <c r="P122" s="19" t="str">
        <f aca="false">IF(J122="","",IF(M122&lt;설정!$B$3,"baseline 수집 중",IF(N122="","정상",IF(N122&lt;=설정!$B$4,"낮음","정상"))))</f>
        <v/>
      </c>
      <c r="Q122" s="20"/>
      <c r="R122" s="18" t="str">
        <f aca="false">IF(J122="","",J122^2)</f>
        <v/>
      </c>
    </row>
    <row r="123" customFormat="false" ht="15" hidden="false" customHeight="false" outlineLevel="0" collapsed="false">
      <c r="A123" s="16"/>
      <c r="B123" s="17"/>
      <c r="C123" s="17"/>
      <c r="D123" s="17"/>
      <c r="E123" s="17"/>
      <c r="F123" s="17"/>
      <c r="G123" s="17"/>
      <c r="H123" s="17"/>
      <c r="I123" s="17"/>
      <c r="J123" s="18" t="str">
        <f aca="false">IF(COUNT(E123:I123)&lt;5,"",SUM(E123:I123))</f>
        <v/>
      </c>
      <c r="K123" s="18" t="str">
        <f aca="false">IF(J123="","",IF(M123&lt;설정!$B$3,"",ROUND(AVERAGEIFS($J$2:$J$1001,$B$2:$B$1001,B123,$A$2:$A$1001,"&lt;"&amp;A123,$A$2:$A$1001,"&gt;="&amp;(A123-설정!$B$2)),2)))</f>
        <v/>
      </c>
      <c r="L123" s="18" t="str">
        <f aca="false">IF(K123="","",ROUND(SQRT(MAX(0,(SUMIFS($R$2:$R$1001,$B$2:$B$1001,B123,$A$2:$A$1001,"&lt;"&amp;A123,$A$2:$A$1001,"&gt;="&amp;(A123-설정!$B$2))-M123*AVERAGEIFS($J$2:$J$1001,$B$2:$B$1001,B123,$A$2:$A$1001,"&lt;"&amp;A123,$A$2:$A$1001,"&gt;="&amp;(A123-설정!$B$2))^2)/(M123-1))),2))</f>
        <v/>
      </c>
      <c r="M123" s="18" t="str">
        <f aca="false">IF(J123="","",COUNTIFS($B$2:$B$1001,B123,$A$2:$A$1001,"&lt;"&amp;A123,$A$2:$A$1001,"&gt;="&amp;(A123-설정!$B$2),$J$2:$J$1001,"&gt;=0"))</f>
        <v/>
      </c>
      <c r="N123" s="18" t="str">
        <f aca="false">IF(K123="","",IF(L123=0,"",ROUND((J123-K123)/L123,2)))</f>
        <v/>
      </c>
      <c r="O123" s="19" t="str">
        <f aca="false">IF(J123="","",IF(MIN(F123,G123)&lt;=설정!$B$5,"예",""))</f>
        <v/>
      </c>
      <c r="P123" s="19" t="str">
        <f aca="false">IF(J123="","",IF(M123&lt;설정!$B$3,"baseline 수집 중",IF(N123="","정상",IF(N123&lt;=설정!$B$4,"낮음","정상"))))</f>
        <v/>
      </c>
      <c r="Q123" s="20"/>
      <c r="R123" s="18" t="str">
        <f aca="false">IF(J123="","",J123^2)</f>
        <v/>
      </c>
    </row>
    <row r="124" customFormat="false" ht="15" hidden="false" customHeight="false" outlineLevel="0" collapsed="false">
      <c r="A124" s="16"/>
      <c r="B124" s="17"/>
      <c r="C124" s="17"/>
      <c r="D124" s="17"/>
      <c r="E124" s="17"/>
      <c r="F124" s="17"/>
      <c r="G124" s="17"/>
      <c r="H124" s="17"/>
      <c r="I124" s="17"/>
      <c r="J124" s="18" t="str">
        <f aca="false">IF(COUNT(E124:I124)&lt;5,"",SUM(E124:I124))</f>
        <v/>
      </c>
      <c r="K124" s="18" t="str">
        <f aca="false">IF(J124="","",IF(M124&lt;설정!$B$3,"",ROUND(AVERAGEIFS($J$2:$J$1001,$B$2:$B$1001,B124,$A$2:$A$1001,"&lt;"&amp;A124,$A$2:$A$1001,"&gt;="&amp;(A124-설정!$B$2)),2)))</f>
        <v/>
      </c>
      <c r="L124" s="18" t="str">
        <f aca="false">IF(K124="","",ROUND(SQRT(MAX(0,(SUMIFS($R$2:$R$1001,$B$2:$B$1001,B124,$A$2:$A$1001,"&lt;"&amp;A124,$A$2:$A$1001,"&gt;="&amp;(A124-설정!$B$2))-M124*AVERAGEIFS($J$2:$J$1001,$B$2:$B$1001,B124,$A$2:$A$1001,"&lt;"&amp;A124,$A$2:$A$1001,"&gt;="&amp;(A124-설정!$B$2))^2)/(M124-1))),2))</f>
        <v/>
      </c>
      <c r="M124" s="18" t="str">
        <f aca="false">IF(J124="","",COUNTIFS($B$2:$B$1001,B124,$A$2:$A$1001,"&lt;"&amp;A124,$A$2:$A$1001,"&gt;="&amp;(A124-설정!$B$2),$J$2:$J$1001,"&gt;=0"))</f>
        <v/>
      </c>
      <c r="N124" s="18" t="str">
        <f aca="false">IF(K124="","",IF(L124=0,"",ROUND((J124-K124)/L124,2)))</f>
        <v/>
      </c>
      <c r="O124" s="19" t="str">
        <f aca="false">IF(J124="","",IF(MIN(F124,G124)&lt;=설정!$B$5,"예",""))</f>
        <v/>
      </c>
      <c r="P124" s="19" t="str">
        <f aca="false">IF(J124="","",IF(M124&lt;설정!$B$3,"baseline 수집 중",IF(N124="","정상",IF(N124&lt;=설정!$B$4,"낮음","정상"))))</f>
        <v/>
      </c>
      <c r="Q124" s="20"/>
      <c r="R124" s="18" t="str">
        <f aca="false">IF(J124="","",J124^2)</f>
        <v/>
      </c>
    </row>
    <row r="125" customFormat="false" ht="15" hidden="false" customHeight="false" outlineLevel="0" collapsed="false">
      <c r="A125" s="16"/>
      <c r="B125" s="17"/>
      <c r="C125" s="17"/>
      <c r="D125" s="17"/>
      <c r="E125" s="17"/>
      <c r="F125" s="17"/>
      <c r="G125" s="17"/>
      <c r="H125" s="17"/>
      <c r="I125" s="17"/>
      <c r="J125" s="18" t="str">
        <f aca="false">IF(COUNT(E125:I125)&lt;5,"",SUM(E125:I125))</f>
        <v/>
      </c>
      <c r="K125" s="18" t="str">
        <f aca="false">IF(J125="","",IF(M125&lt;설정!$B$3,"",ROUND(AVERAGEIFS($J$2:$J$1001,$B$2:$B$1001,B125,$A$2:$A$1001,"&lt;"&amp;A125,$A$2:$A$1001,"&gt;="&amp;(A125-설정!$B$2)),2)))</f>
        <v/>
      </c>
      <c r="L125" s="18" t="str">
        <f aca="false">IF(K125="","",ROUND(SQRT(MAX(0,(SUMIFS($R$2:$R$1001,$B$2:$B$1001,B125,$A$2:$A$1001,"&lt;"&amp;A125,$A$2:$A$1001,"&gt;="&amp;(A125-설정!$B$2))-M125*AVERAGEIFS($J$2:$J$1001,$B$2:$B$1001,B125,$A$2:$A$1001,"&lt;"&amp;A125,$A$2:$A$1001,"&gt;="&amp;(A125-설정!$B$2))^2)/(M125-1))),2))</f>
        <v/>
      </c>
      <c r="M125" s="18" t="str">
        <f aca="false">IF(J125="","",COUNTIFS($B$2:$B$1001,B125,$A$2:$A$1001,"&lt;"&amp;A125,$A$2:$A$1001,"&gt;="&amp;(A125-설정!$B$2),$J$2:$J$1001,"&gt;=0"))</f>
        <v/>
      </c>
      <c r="N125" s="18" t="str">
        <f aca="false">IF(K125="","",IF(L125=0,"",ROUND((J125-K125)/L125,2)))</f>
        <v/>
      </c>
      <c r="O125" s="19" t="str">
        <f aca="false">IF(J125="","",IF(MIN(F125,G125)&lt;=설정!$B$5,"예",""))</f>
        <v/>
      </c>
      <c r="P125" s="19" t="str">
        <f aca="false">IF(J125="","",IF(M125&lt;설정!$B$3,"baseline 수집 중",IF(N125="","정상",IF(N125&lt;=설정!$B$4,"낮음","정상"))))</f>
        <v/>
      </c>
      <c r="Q125" s="20"/>
      <c r="R125" s="18" t="str">
        <f aca="false">IF(J125="","",J125^2)</f>
        <v/>
      </c>
    </row>
    <row r="126" customFormat="false" ht="15" hidden="false" customHeight="false" outlineLevel="0" collapsed="false">
      <c r="A126" s="16"/>
      <c r="B126" s="17"/>
      <c r="C126" s="17"/>
      <c r="D126" s="17"/>
      <c r="E126" s="17"/>
      <c r="F126" s="17"/>
      <c r="G126" s="17"/>
      <c r="H126" s="17"/>
      <c r="I126" s="17"/>
      <c r="J126" s="18" t="str">
        <f aca="false">IF(COUNT(E126:I126)&lt;5,"",SUM(E126:I126))</f>
        <v/>
      </c>
      <c r="K126" s="18" t="str">
        <f aca="false">IF(J126="","",IF(M126&lt;설정!$B$3,"",ROUND(AVERAGEIFS($J$2:$J$1001,$B$2:$B$1001,B126,$A$2:$A$1001,"&lt;"&amp;A126,$A$2:$A$1001,"&gt;="&amp;(A126-설정!$B$2)),2)))</f>
        <v/>
      </c>
      <c r="L126" s="18" t="str">
        <f aca="false">IF(K126="","",ROUND(SQRT(MAX(0,(SUMIFS($R$2:$R$1001,$B$2:$B$1001,B126,$A$2:$A$1001,"&lt;"&amp;A126,$A$2:$A$1001,"&gt;="&amp;(A126-설정!$B$2))-M126*AVERAGEIFS($J$2:$J$1001,$B$2:$B$1001,B126,$A$2:$A$1001,"&lt;"&amp;A126,$A$2:$A$1001,"&gt;="&amp;(A126-설정!$B$2))^2)/(M126-1))),2))</f>
        <v/>
      </c>
      <c r="M126" s="18" t="str">
        <f aca="false">IF(J126="","",COUNTIFS($B$2:$B$1001,B126,$A$2:$A$1001,"&lt;"&amp;A126,$A$2:$A$1001,"&gt;="&amp;(A126-설정!$B$2),$J$2:$J$1001,"&gt;=0"))</f>
        <v/>
      </c>
      <c r="N126" s="18" t="str">
        <f aca="false">IF(K126="","",IF(L126=0,"",ROUND((J126-K126)/L126,2)))</f>
        <v/>
      </c>
      <c r="O126" s="19" t="str">
        <f aca="false">IF(J126="","",IF(MIN(F126,G126)&lt;=설정!$B$5,"예",""))</f>
        <v/>
      </c>
      <c r="P126" s="19" t="str">
        <f aca="false">IF(J126="","",IF(M126&lt;설정!$B$3,"baseline 수집 중",IF(N126="","정상",IF(N126&lt;=설정!$B$4,"낮음","정상"))))</f>
        <v/>
      </c>
      <c r="Q126" s="20"/>
      <c r="R126" s="18" t="str">
        <f aca="false">IF(J126="","",J126^2)</f>
        <v/>
      </c>
    </row>
    <row r="127" customFormat="false" ht="15" hidden="false" customHeight="false" outlineLevel="0" collapsed="false">
      <c r="A127" s="16"/>
      <c r="B127" s="17"/>
      <c r="C127" s="17"/>
      <c r="D127" s="17"/>
      <c r="E127" s="17"/>
      <c r="F127" s="17"/>
      <c r="G127" s="17"/>
      <c r="H127" s="17"/>
      <c r="I127" s="17"/>
      <c r="J127" s="18" t="str">
        <f aca="false">IF(COUNT(E127:I127)&lt;5,"",SUM(E127:I127))</f>
        <v/>
      </c>
      <c r="K127" s="18" t="str">
        <f aca="false">IF(J127="","",IF(M127&lt;설정!$B$3,"",ROUND(AVERAGEIFS($J$2:$J$1001,$B$2:$B$1001,B127,$A$2:$A$1001,"&lt;"&amp;A127,$A$2:$A$1001,"&gt;="&amp;(A127-설정!$B$2)),2)))</f>
        <v/>
      </c>
      <c r="L127" s="18" t="str">
        <f aca="false">IF(K127="","",ROUND(SQRT(MAX(0,(SUMIFS($R$2:$R$1001,$B$2:$B$1001,B127,$A$2:$A$1001,"&lt;"&amp;A127,$A$2:$A$1001,"&gt;="&amp;(A127-설정!$B$2))-M127*AVERAGEIFS($J$2:$J$1001,$B$2:$B$1001,B127,$A$2:$A$1001,"&lt;"&amp;A127,$A$2:$A$1001,"&gt;="&amp;(A127-설정!$B$2))^2)/(M127-1))),2))</f>
        <v/>
      </c>
      <c r="M127" s="18" t="str">
        <f aca="false">IF(J127="","",COUNTIFS($B$2:$B$1001,B127,$A$2:$A$1001,"&lt;"&amp;A127,$A$2:$A$1001,"&gt;="&amp;(A127-설정!$B$2),$J$2:$J$1001,"&gt;=0"))</f>
        <v/>
      </c>
      <c r="N127" s="18" t="str">
        <f aca="false">IF(K127="","",IF(L127=0,"",ROUND((J127-K127)/L127,2)))</f>
        <v/>
      </c>
      <c r="O127" s="19" t="str">
        <f aca="false">IF(J127="","",IF(MIN(F127,G127)&lt;=설정!$B$5,"예",""))</f>
        <v/>
      </c>
      <c r="P127" s="19" t="str">
        <f aca="false">IF(J127="","",IF(M127&lt;설정!$B$3,"baseline 수집 중",IF(N127="","정상",IF(N127&lt;=설정!$B$4,"낮음","정상"))))</f>
        <v/>
      </c>
      <c r="Q127" s="20"/>
      <c r="R127" s="18" t="str">
        <f aca="false">IF(J127="","",J127^2)</f>
        <v/>
      </c>
    </row>
    <row r="128" customFormat="false" ht="15" hidden="false" customHeight="false" outlineLevel="0" collapsed="false">
      <c r="A128" s="16"/>
      <c r="B128" s="17"/>
      <c r="C128" s="17"/>
      <c r="D128" s="17"/>
      <c r="E128" s="17"/>
      <c r="F128" s="17"/>
      <c r="G128" s="17"/>
      <c r="H128" s="17"/>
      <c r="I128" s="17"/>
      <c r="J128" s="18" t="str">
        <f aca="false">IF(COUNT(E128:I128)&lt;5,"",SUM(E128:I128))</f>
        <v/>
      </c>
      <c r="K128" s="18" t="str">
        <f aca="false">IF(J128="","",IF(M128&lt;설정!$B$3,"",ROUND(AVERAGEIFS($J$2:$J$1001,$B$2:$B$1001,B128,$A$2:$A$1001,"&lt;"&amp;A128,$A$2:$A$1001,"&gt;="&amp;(A128-설정!$B$2)),2)))</f>
        <v/>
      </c>
      <c r="L128" s="18" t="str">
        <f aca="false">IF(K128="","",ROUND(SQRT(MAX(0,(SUMIFS($R$2:$R$1001,$B$2:$B$1001,B128,$A$2:$A$1001,"&lt;"&amp;A128,$A$2:$A$1001,"&gt;="&amp;(A128-설정!$B$2))-M128*AVERAGEIFS($J$2:$J$1001,$B$2:$B$1001,B128,$A$2:$A$1001,"&lt;"&amp;A128,$A$2:$A$1001,"&gt;="&amp;(A128-설정!$B$2))^2)/(M128-1))),2))</f>
        <v/>
      </c>
      <c r="M128" s="18" t="str">
        <f aca="false">IF(J128="","",COUNTIFS($B$2:$B$1001,B128,$A$2:$A$1001,"&lt;"&amp;A128,$A$2:$A$1001,"&gt;="&amp;(A128-설정!$B$2),$J$2:$J$1001,"&gt;=0"))</f>
        <v/>
      </c>
      <c r="N128" s="18" t="str">
        <f aca="false">IF(K128="","",IF(L128=0,"",ROUND((J128-K128)/L128,2)))</f>
        <v/>
      </c>
      <c r="O128" s="19" t="str">
        <f aca="false">IF(J128="","",IF(MIN(F128,G128)&lt;=설정!$B$5,"예",""))</f>
        <v/>
      </c>
      <c r="P128" s="19" t="str">
        <f aca="false">IF(J128="","",IF(M128&lt;설정!$B$3,"baseline 수집 중",IF(N128="","정상",IF(N128&lt;=설정!$B$4,"낮음","정상"))))</f>
        <v/>
      </c>
      <c r="Q128" s="20"/>
      <c r="R128" s="18" t="str">
        <f aca="false">IF(J128="","",J128^2)</f>
        <v/>
      </c>
    </row>
    <row r="129" customFormat="false" ht="15" hidden="false" customHeight="false" outlineLevel="0" collapsed="false">
      <c r="A129" s="16"/>
      <c r="B129" s="17"/>
      <c r="C129" s="17"/>
      <c r="D129" s="17"/>
      <c r="E129" s="17"/>
      <c r="F129" s="17"/>
      <c r="G129" s="17"/>
      <c r="H129" s="17"/>
      <c r="I129" s="17"/>
      <c r="J129" s="18" t="str">
        <f aca="false">IF(COUNT(E129:I129)&lt;5,"",SUM(E129:I129))</f>
        <v/>
      </c>
      <c r="K129" s="18" t="str">
        <f aca="false">IF(J129="","",IF(M129&lt;설정!$B$3,"",ROUND(AVERAGEIFS($J$2:$J$1001,$B$2:$B$1001,B129,$A$2:$A$1001,"&lt;"&amp;A129,$A$2:$A$1001,"&gt;="&amp;(A129-설정!$B$2)),2)))</f>
        <v/>
      </c>
      <c r="L129" s="18" t="str">
        <f aca="false">IF(K129="","",ROUND(SQRT(MAX(0,(SUMIFS($R$2:$R$1001,$B$2:$B$1001,B129,$A$2:$A$1001,"&lt;"&amp;A129,$A$2:$A$1001,"&gt;="&amp;(A129-설정!$B$2))-M129*AVERAGEIFS($J$2:$J$1001,$B$2:$B$1001,B129,$A$2:$A$1001,"&lt;"&amp;A129,$A$2:$A$1001,"&gt;="&amp;(A129-설정!$B$2))^2)/(M129-1))),2))</f>
        <v/>
      </c>
      <c r="M129" s="18" t="str">
        <f aca="false">IF(J129="","",COUNTIFS($B$2:$B$1001,B129,$A$2:$A$1001,"&lt;"&amp;A129,$A$2:$A$1001,"&gt;="&amp;(A129-설정!$B$2),$J$2:$J$1001,"&gt;=0"))</f>
        <v/>
      </c>
      <c r="N129" s="18" t="str">
        <f aca="false">IF(K129="","",IF(L129=0,"",ROUND((J129-K129)/L129,2)))</f>
        <v/>
      </c>
      <c r="O129" s="19" t="str">
        <f aca="false">IF(J129="","",IF(MIN(F129,G129)&lt;=설정!$B$5,"예",""))</f>
        <v/>
      </c>
      <c r="P129" s="19" t="str">
        <f aca="false">IF(J129="","",IF(M129&lt;설정!$B$3,"baseline 수집 중",IF(N129="","정상",IF(N129&lt;=설정!$B$4,"낮음","정상"))))</f>
        <v/>
      </c>
      <c r="Q129" s="20"/>
      <c r="R129" s="18" t="str">
        <f aca="false">IF(J129="","",J129^2)</f>
        <v/>
      </c>
    </row>
    <row r="130" customFormat="false" ht="15" hidden="false" customHeight="false" outlineLevel="0" collapsed="false">
      <c r="A130" s="16"/>
      <c r="B130" s="17"/>
      <c r="C130" s="17"/>
      <c r="D130" s="17"/>
      <c r="E130" s="17"/>
      <c r="F130" s="17"/>
      <c r="G130" s="17"/>
      <c r="H130" s="17"/>
      <c r="I130" s="17"/>
      <c r="J130" s="18" t="str">
        <f aca="false">IF(COUNT(E130:I130)&lt;5,"",SUM(E130:I130))</f>
        <v/>
      </c>
      <c r="K130" s="18" t="str">
        <f aca="false">IF(J130="","",IF(M130&lt;설정!$B$3,"",ROUND(AVERAGEIFS($J$2:$J$1001,$B$2:$B$1001,B130,$A$2:$A$1001,"&lt;"&amp;A130,$A$2:$A$1001,"&gt;="&amp;(A130-설정!$B$2)),2)))</f>
        <v/>
      </c>
      <c r="L130" s="18" t="str">
        <f aca="false">IF(K130="","",ROUND(SQRT(MAX(0,(SUMIFS($R$2:$R$1001,$B$2:$B$1001,B130,$A$2:$A$1001,"&lt;"&amp;A130,$A$2:$A$1001,"&gt;="&amp;(A130-설정!$B$2))-M130*AVERAGEIFS($J$2:$J$1001,$B$2:$B$1001,B130,$A$2:$A$1001,"&lt;"&amp;A130,$A$2:$A$1001,"&gt;="&amp;(A130-설정!$B$2))^2)/(M130-1))),2))</f>
        <v/>
      </c>
      <c r="M130" s="18" t="str">
        <f aca="false">IF(J130="","",COUNTIFS($B$2:$B$1001,B130,$A$2:$A$1001,"&lt;"&amp;A130,$A$2:$A$1001,"&gt;="&amp;(A130-설정!$B$2),$J$2:$J$1001,"&gt;=0"))</f>
        <v/>
      </c>
      <c r="N130" s="18" t="str">
        <f aca="false">IF(K130="","",IF(L130=0,"",ROUND((J130-K130)/L130,2)))</f>
        <v/>
      </c>
      <c r="O130" s="19" t="str">
        <f aca="false">IF(J130="","",IF(MIN(F130,G130)&lt;=설정!$B$5,"예",""))</f>
        <v/>
      </c>
      <c r="P130" s="19" t="str">
        <f aca="false">IF(J130="","",IF(M130&lt;설정!$B$3,"baseline 수집 중",IF(N130="","정상",IF(N130&lt;=설정!$B$4,"낮음","정상"))))</f>
        <v/>
      </c>
      <c r="Q130" s="20"/>
      <c r="R130" s="18" t="str">
        <f aca="false">IF(J130="","",J130^2)</f>
        <v/>
      </c>
    </row>
    <row r="131" customFormat="false" ht="15" hidden="false" customHeight="false" outlineLevel="0" collapsed="false">
      <c r="A131" s="16"/>
      <c r="B131" s="17"/>
      <c r="C131" s="17"/>
      <c r="D131" s="17"/>
      <c r="E131" s="17"/>
      <c r="F131" s="17"/>
      <c r="G131" s="17"/>
      <c r="H131" s="17"/>
      <c r="I131" s="17"/>
      <c r="J131" s="18" t="str">
        <f aca="false">IF(COUNT(E131:I131)&lt;5,"",SUM(E131:I131))</f>
        <v/>
      </c>
      <c r="K131" s="18" t="str">
        <f aca="false">IF(J131="","",IF(M131&lt;설정!$B$3,"",ROUND(AVERAGEIFS($J$2:$J$1001,$B$2:$B$1001,B131,$A$2:$A$1001,"&lt;"&amp;A131,$A$2:$A$1001,"&gt;="&amp;(A131-설정!$B$2)),2)))</f>
        <v/>
      </c>
      <c r="L131" s="18" t="str">
        <f aca="false">IF(K131="","",ROUND(SQRT(MAX(0,(SUMIFS($R$2:$R$1001,$B$2:$B$1001,B131,$A$2:$A$1001,"&lt;"&amp;A131,$A$2:$A$1001,"&gt;="&amp;(A131-설정!$B$2))-M131*AVERAGEIFS($J$2:$J$1001,$B$2:$B$1001,B131,$A$2:$A$1001,"&lt;"&amp;A131,$A$2:$A$1001,"&gt;="&amp;(A131-설정!$B$2))^2)/(M131-1))),2))</f>
        <v/>
      </c>
      <c r="M131" s="18" t="str">
        <f aca="false">IF(J131="","",COUNTIFS($B$2:$B$1001,B131,$A$2:$A$1001,"&lt;"&amp;A131,$A$2:$A$1001,"&gt;="&amp;(A131-설정!$B$2),$J$2:$J$1001,"&gt;=0"))</f>
        <v/>
      </c>
      <c r="N131" s="18" t="str">
        <f aca="false">IF(K131="","",IF(L131=0,"",ROUND((J131-K131)/L131,2)))</f>
        <v/>
      </c>
      <c r="O131" s="19" t="str">
        <f aca="false">IF(J131="","",IF(MIN(F131,G131)&lt;=설정!$B$5,"예",""))</f>
        <v/>
      </c>
      <c r="P131" s="19" t="str">
        <f aca="false">IF(J131="","",IF(M131&lt;설정!$B$3,"baseline 수집 중",IF(N131="","정상",IF(N131&lt;=설정!$B$4,"낮음","정상"))))</f>
        <v/>
      </c>
      <c r="Q131" s="20"/>
      <c r="R131" s="18" t="str">
        <f aca="false">IF(J131="","",J131^2)</f>
        <v/>
      </c>
    </row>
    <row r="132" customFormat="false" ht="15" hidden="false" customHeight="false" outlineLevel="0" collapsed="false">
      <c r="A132" s="16"/>
      <c r="B132" s="17"/>
      <c r="C132" s="17"/>
      <c r="D132" s="17"/>
      <c r="E132" s="17"/>
      <c r="F132" s="17"/>
      <c r="G132" s="17"/>
      <c r="H132" s="17"/>
      <c r="I132" s="17"/>
      <c r="J132" s="18" t="str">
        <f aca="false">IF(COUNT(E132:I132)&lt;5,"",SUM(E132:I132))</f>
        <v/>
      </c>
      <c r="K132" s="18" t="str">
        <f aca="false">IF(J132="","",IF(M132&lt;설정!$B$3,"",ROUND(AVERAGEIFS($J$2:$J$1001,$B$2:$B$1001,B132,$A$2:$A$1001,"&lt;"&amp;A132,$A$2:$A$1001,"&gt;="&amp;(A132-설정!$B$2)),2)))</f>
        <v/>
      </c>
      <c r="L132" s="18" t="str">
        <f aca="false">IF(K132="","",ROUND(SQRT(MAX(0,(SUMIFS($R$2:$R$1001,$B$2:$B$1001,B132,$A$2:$A$1001,"&lt;"&amp;A132,$A$2:$A$1001,"&gt;="&amp;(A132-설정!$B$2))-M132*AVERAGEIFS($J$2:$J$1001,$B$2:$B$1001,B132,$A$2:$A$1001,"&lt;"&amp;A132,$A$2:$A$1001,"&gt;="&amp;(A132-설정!$B$2))^2)/(M132-1))),2))</f>
        <v/>
      </c>
      <c r="M132" s="18" t="str">
        <f aca="false">IF(J132="","",COUNTIFS($B$2:$B$1001,B132,$A$2:$A$1001,"&lt;"&amp;A132,$A$2:$A$1001,"&gt;="&amp;(A132-설정!$B$2),$J$2:$J$1001,"&gt;=0"))</f>
        <v/>
      </c>
      <c r="N132" s="18" t="str">
        <f aca="false">IF(K132="","",IF(L132=0,"",ROUND((J132-K132)/L132,2)))</f>
        <v/>
      </c>
      <c r="O132" s="19" t="str">
        <f aca="false">IF(J132="","",IF(MIN(F132,G132)&lt;=설정!$B$5,"예",""))</f>
        <v/>
      </c>
      <c r="P132" s="19" t="str">
        <f aca="false">IF(J132="","",IF(M132&lt;설정!$B$3,"baseline 수집 중",IF(N132="","정상",IF(N132&lt;=설정!$B$4,"낮음","정상"))))</f>
        <v/>
      </c>
      <c r="Q132" s="20"/>
      <c r="R132" s="18" t="str">
        <f aca="false">IF(J132="","",J132^2)</f>
        <v/>
      </c>
    </row>
    <row r="133" customFormat="false" ht="15" hidden="false" customHeight="false" outlineLevel="0" collapsed="false">
      <c r="A133" s="16"/>
      <c r="B133" s="17"/>
      <c r="C133" s="17"/>
      <c r="D133" s="17"/>
      <c r="E133" s="17"/>
      <c r="F133" s="17"/>
      <c r="G133" s="17"/>
      <c r="H133" s="17"/>
      <c r="I133" s="17"/>
      <c r="J133" s="18" t="str">
        <f aca="false">IF(COUNT(E133:I133)&lt;5,"",SUM(E133:I133))</f>
        <v/>
      </c>
      <c r="K133" s="18" t="str">
        <f aca="false">IF(J133="","",IF(M133&lt;설정!$B$3,"",ROUND(AVERAGEIFS($J$2:$J$1001,$B$2:$B$1001,B133,$A$2:$A$1001,"&lt;"&amp;A133,$A$2:$A$1001,"&gt;="&amp;(A133-설정!$B$2)),2)))</f>
        <v/>
      </c>
      <c r="L133" s="18" t="str">
        <f aca="false">IF(K133="","",ROUND(SQRT(MAX(0,(SUMIFS($R$2:$R$1001,$B$2:$B$1001,B133,$A$2:$A$1001,"&lt;"&amp;A133,$A$2:$A$1001,"&gt;="&amp;(A133-설정!$B$2))-M133*AVERAGEIFS($J$2:$J$1001,$B$2:$B$1001,B133,$A$2:$A$1001,"&lt;"&amp;A133,$A$2:$A$1001,"&gt;="&amp;(A133-설정!$B$2))^2)/(M133-1))),2))</f>
        <v/>
      </c>
      <c r="M133" s="18" t="str">
        <f aca="false">IF(J133="","",COUNTIFS($B$2:$B$1001,B133,$A$2:$A$1001,"&lt;"&amp;A133,$A$2:$A$1001,"&gt;="&amp;(A133-설정!$B$2),$J$2:$J$1001,"&gt;=0"))</f>
        <v/>
      </c>
      <c r="N133" s="18" t="str">
        <f aca="false">IF(K133="","",IF(L133=0,"",ROUND((J133-K133)/L133,2)))</f>
        <v/>
      </c>
      <c r="O133" s="19" t="str">
        <f aca="false">IF(J133="","",IF(MIN(F133,G133)&lt;=설정!$B$5,"예",""))</f>
        <v/>
      </c>
      <c r="P133" s="19" t="str">
        <f aca="false">IF(J133="","",IF(M133&lt;설정!$B$3,"baseline 수집 중",IF(N133="","정상",IF(N133&lt;=설정!$B$4,"낮음","정상"))))</f>
        <v/>
      </c>
      <c r="Q133" s="20"/>
      <c r="R133" s="18" t="str">
        <f aca="false">IF(J133="","",J133^2)</f>
        <v/>
      </c>
    </row>
    <row r="134" customFormat="false" ht="15" hidden="false" customHeight="false" outlineLevel="0" collapsed="false">
      <c r="A134" s="16"/>
      <c r="B134" s="17"/>
      <c r="C134" s="17"/>
      <c r="D134" s="17"/>
      <c r="E134" s="17"/>
      <c r="F134" s="17"/>
      <c r="G134" s="17"/>
      <c r="H134" s="17"/>
      <c r="I134" s="17"/>
      <c r="J134" s="18" t="str">
        <f aca="false">IF(COUNT(E134:I134)&lt;5,"",SUM(E134:I134))</f>
        <v/>
      </c>
      <c r="K134" s="18" t="str">
        <f aca="false">IF(J134="","",IF(M134&lt;설정!$B$3,"",ROUND(AVERAGEIFS($J$2:$J$1001,$B$2:$B$1001,B134,$A$2:$A$1001,"&lt;"&amp;A134,$A$2:$A$1001,"&gt;="&amp;(A134-설정!$B$2)),2)))</f>
        <v/>
      </c>
      <c r="L134" s="18" t="str">
        <f aca="false">IF(K134="","",ROUND(SQRT(MAX(0,(SUMIFS($R$2:$R$1001,$B$2:$B$1001,B134,$A$2:$A$1001,"&lt;"&amp;A134,$A$2:$A$1001,"&gt;="&amp;(A134-설정!$B$2))-M134*AVERAGEIFS($J$2:$J$1001,$B$2:$B$1001,B134,$A$2:$A$1001,"&lt;"&amp;A134,$A$2:$A$1001,"&gt;="&amp;(A134-설정!$B$2))^2)/(M134-1))),2))</f>
        <v/>
      </c>
      <c r="M134" s="18" t="str">
        <f aca="false">IF(J134="","",COUNTIFS($B$2:$B$1001,B134,$A$2:$A$1001,"&lt;"&amp;A134,$A$2:$A$1001,"&gt;="&amp;(A134-설정!$B$2),$J$2:$J$1001,"&gt;=0"))</f>
        <v/>
      </c>
      <c r="N134" s="18" t="str">
        <f aca="false">IF(K134="","",IF(L134=0,"",ROUND((J134-K134)/L134,2)))</f>
        <v/>
      </c>
      <c r="O134" s="19" t="str">
        <f aca="false">IF(J134="","",IF(MIN(F134,G134)&lt;=설정!$B$5,"예",""))</f>
        <v/>
      </c>
      <c r="P134" s="19" t="str">
        <f aca="false">IF(J134="","",IF(M134&lt;설정!$B$3,"baseline 수집 중",IF(N134="","정상",IF(N134&lt;=설정!$B$4,"낮음","정상"))))</f>
        <v/>
      </c>
      <c r="Q134" s="20"/>
      <c r="R134" s="18" t="str">
        <f aca="false">IF(J134="","",J134^2)</f>
        <v/>
      </c>
    </row>
    <row r="135" customFormat="false" ht="15" hidden="false" customHeight="false" outlineLevel="0" collapsed="false">
      <c r="A135" s="16"/>
      <c r="B135" s="17"/>
      <c r="C135" s="17"/>
      <c r="D135" s="17"/>
      <c r="E135" s="17"/>
      <c r="F135" s="17"/>
      <c r="G135" s="17"/>
      <c r="H135" s="17"/>
      <c r="I135" s="17"/>
      <c r="J135" s="18" t="str">
        <f aca="false">IF(COUNT(E135:I135)&lt;5,"",SUM(E135:I135))</f>
        <v/>
      </c>
      <c r="K135" s="18" t="str">
        <f aca="false">IF(J135="","",IF(M135&lt;설정!$B$3,"",ROUND(AVERAGEIFS($J$2:$J$1001,$B$2:$B$1001,B135,$A$2:$A$1001,"&lt;"&amp;A135,$A$2:$A$1001,"&gt;="&amp;(A135-설정!$B$2)),2)))</f>
        <v/>
      </c>
      <c r="L135" s="18" t="str">
        <f aca="false">IF(K135="","",ROUND(SQRT(MAX(0,(SUMIFS($R$2:$R$1001,$B$2:$B$1001,B135,$A$2:$A$1001,"&lt;"&amp;A135,$A$2:$A$1001,"&gt;="&amp;(A135-설정!$B$2))-M135*AVERAGEIFS($J$2:$J$1001,$B$2:$B$1001,B135,$A$2:$A$1001,"&lt;"&amp;A135,$A$2:$A$1001,"&gt;="&amp;(A135-설정!$B$2))^2)/(M135-1))),2))</f>
        <v/>
      </c>
      <c r="M135" s="18" t="str">
        <f aca="false">IF(J135="","",COUNTIFS($B$2:$B$1001,B135,$A$2:$A$1001,"&lt;"&amp;A135,$A$2:$A$1001,"&gt;="&amp;(A135-설정!$B$2),$J$2:$J$1001,"&gt;=0"))</f>
        <v/>
      </c>
      <c r="N135" s="18" t="str">
        <f aca="false">IF(K135="","",IF(L135=0,"",ROUND((J135-K135)/L135,2)))</f>
        <v/>
      </c>
      <c r="O135" s="19" t="str">
        <f aca="false">IF(J135="","",IF(MIN(F135,G135)&lt;=설정!$B$5,"예",""))</f>
        <v/>
      </c>
      <c r="P135" s="19" t="str">
        <f aca="false">IF(J135="","",IF(M135&lt;설정!$B$3,"baseline 수집 중",IF(N135="","정상",IF(N135&lt;=설정!$B$4,"낮음","정상"))))</f>
        <v/>
      </c>
      <c r="Q135" s="20"/>
      <c r="R135" s="18" t="str">
        <f aca="false">IF(J135="","",J135^2)</f>
        <v/>
      </c>
    </row>
    <row r="136" customFormat="false" ht="15" hidden="false" customHeight="false" outlineLevel="0" collapsed="false">
      <c r="A136" s="16"/>
      <c r="B136" s="17"/>
      <c r="C136" s="17"/>
      <c r="D136" s="17"/>
      <c r="E136" s="17"/>
      <c r="F136" s="17"/>
      <c r="G136" s="17"/>
      <c r="H136" s="17"/>
      <c r="I136" s="17"/>
      <c r="J136" s="18" t="str">
        <f aca="false">IF(COUNT(E136:I136)&lt;5,"",SUM(E136:I136))</f>
        <v/>
      </c>
      <c r="K136" s="18" t="str">
        <f aca="false">IF(J136="","",IF(M136&lt;설정!$B$3,"",ROUND(AVERAGEIFS($J$2:$J$1001,$B$2:$B$1001,B136,$A$2:$A$1001,"&lt;"&amp;A136,$A$2:$A$1001,"&gt;="&amp;(A136-설정!$B$2)),2)))</f>
        <v/>
      </c>
      <c r="L136" s="18" t="str">
        <f aca="false">IF(K136="","",ROUND(SQRT(MAX(0,(SUMIFS($R$2:$R$1001,$B$2:$B$1001,B136,$A$2:$A$1001,"&lt;"&amp;A136,$A$2:$A$1001,"&gt;="&amp;(A136-설정!$B$2))-M136*AVERAGEIFS($J$2:$J$1001,$B$2:$B$1001,B136,$A$2:$A$1001,"&lt;"&amp;A136,$A$2:$A$1001,"&gt;="&amp;(A136-설정!$B$2))^2)/(M136-1))),2))</f>
        <v/>
      </c>
      <c r="M136" s="18" t="str">
        <f aca="false">IF(J136="","",COUNTIFS($B$2:$B$1001,B136,$A$2:$A$1001,"&lt;"&amp;A136,$A$2:$A$1001,"&gt;="&amp;(A136-설정!$B$2),$J$2:$J$1001,"&gt;=0"))</f>
        <v/>
      </c>
      <c r="N136" s="18" t="str">
        <f aca="false">IF(K136="","",IF(L136=0,"",ROUND((J136-K136)/L136,2)))</f>
        <v/>
      </c>
      <c r="O136" s="19" t="str">
        <f aca="false">IF(J136="","",IF(MIN(F136,G136)&lt;=설정!$B$5,"예",""))</f>
        <v/>
      </c>
      <c r="P136" s="19" t="str">
        <f aca="false">IF(J136="","",IF(M136&lt;설정!$B$3,"baseline 수집 중",IF(N136="","정상",IF(N136&lt;=설정!$B$4,"낮음","정상"))))</f>
        <v/>
      </c>
      <c r="Q136" s="20"/>
      <c r="R136" s="18" t="str">
        <f aca="false">IF(J136="","",J136^2)</f>
        <v/>
      </c>
    </row>
    <row r="137" customFormat="false" ht="15" hidden="false" customHeight="false" outlineLevel="0" collapsed="false">
      <c r="A137" s="16"/>
      <c r="B137" s="17"/>
      <c r="C137" s="17"/>
      <c r="D137" s="17"/>
      <c r="E137" s="17"/>
      <c r="F137" s="17"/>
      <c r="G137" s="17"/>
      <c r="H137" s="17"/>
      <c r="I137" s="17"/>
      <c r="J137" s="18" t="str">
        <f aca="false">IF(COUNT(E137:I137)&lt;5,"",SUM(E137:I137))</f>
        <v/>
      </c>
      <c r="K137" s="18" t="str">
        <f aca="false">IF(J137="","",IF(M137&lt;설정!$B$3,"",ROUND(AVERAGEIFS($J$2:$J$1001,$B$2:$B$1001,B137,$A$2:$A$1001,"&lt;"&amp;A137,$A$2:$A$1001,"&gt;="&amp;(A137-설정!$B$2)),2)))</f>
        <v/>
      </c>
      <c r="L137" s="18" t="str">
        <f aca="false">IF(K137="","",ROUND(SQRT(MAX(0,(SUMIFS($R$2:$R$1001,$B$2:$B$1001,B137,$A$2:$A$1001,"&lt;"&amp;A137,$A$2:$A$1001,"&gt;="&amp;(A137-설정!$B$2))-M137*AVERAGEIFS($J$2:$J$1001,$B$2:$B$1001,B137,$A$2:$A$1001,"&lt;"&amp;A137,$A$2:$A$1001,"&gt;="&amp;(A137-설정!$B$2))^2)/(M137-1))),2))</f>
        <v/>
      </c>
      <c r="M137" s="18" t="str">
        <f aca="false">IF(J137="","",COUNTIFS($B$2:$B$1001,B137,$A$2:$A$1001,"&lt;"&amp;A137,$A$2:$A$1001,"&gt;="&amp;(A137-설정!$B$2),$J$2:$J$1001,"&gt;=0"))</f>
        <v/>
      </c>
      <c r="N137" s="18" t="str">
        <f aca="false">IF(K137="","",IF(L137=0,"",ROUND((J137-K137)/L137,2)))</f>
        <v/>
      </c>
      <c r="O137" s="19" t="str">
        <f aca="false">IF(J137="","",IF(MIN(F137,G137)&lt;=설정!$B$5,"예",""))</f>
        <v/>
      </c>
      <c r="P137" s="19" t="str">
        <f aca="false">IF(J137="","",IF(M137&lt;설정!$B$3,"baseline 수집 중",IF(N137="","정상",IF(N137&lt;=설정!$B$4,"낮음","정상"))))</f>
        <v/>
      </c>
      <c r="Q137" s="20"/>
      <c r="R137" s="18" t="str">
        <f aca="false">IF(J137="","",J137^2)</f>
        <v/>
      </c>
    </row>
    <row r="138" customFormat="false" ht="15" hidden="false" customHeight="false" outlineLevel="0" collapsed="false">
      <c r="A138" s="16"/>
      <c r="B138" s="17"/>
      <c r="C138" s="17"/>
      <c r="D138" s="17"/>
      <c r="E138" s="17"/>
      <c r="F138" s="17"/>
      <c r="G138" s="17"/>
      <c r="H138" s="17"/>
      <c r="I138" s="17"/>
      <c r="J138" s="18" t="str">
        <f aca="false">IF(COUNT(E138:I138)&lt;5,"",SUM(E138:I138))</f>
        <v/>
      </c>
      <c r="K138" s="18" t="str">
        <f aca="false">IF(J138="","",IF(M138&lt;설정!$B$3,"",ROUND(AVERAGEIFS($J$2:$J$1001,$B$2:$B$1001,B138,$A$2:$A$1001,"&lt;"&amp;A138,$A$2:$A$1001,"&gt;="&amp;(A138-설정!$B$2)),2)))</f>
        <v/>
      </c>
      <c r="L138" s="18" t="str">
        <f aca="false">IF(K138="","",ROUND(SQRT(MAX(0,(SUMIFS($R$2:$R$1001,$B$2:$B$1001,B138,$A$2:$A$1001,"&lt;"&amp;A138,$A$2:$A$1001,"&gt;="&amp;(A138-설정!$B$2))-M138*AVERAGEIFS($J$2:$J$1001,$B$2:$B$1001,B138,$A$2:$A$1001,"&lt;"&amp;A138,$A$2:$A$1001,"&gt;="&amp;(A138-설정!$B$2))^2)/(M138-1))),2))</f>
        <v/>
      </c>
      <c r="M138" s="18" t="str">
        <f aca="false">IF(J138="","",COUNTIFS($B$2:$B$1001,B138,$A$2:$A$1001,"&lt;"&amp;A138,$A$2:$A$1001,"&gt;="&amp;(A138-설정!$B$2),$J$2:$J$1001,"&gt;=0"))</f>
        <v/>
      </c>
      <c r="N138" s="18" t="str">
        <f aca="false">IF(K138="","",IF(L138=0,"",ROUND((J138-K138)/L138,2)))</f>
        <v/>
      </c>
      <c r="O138" s="19" t="str">
        <f aca="false">IF(J138="","",IF(MIN(F138,G138)&lt;=설정!$B$5,"예",""))</f>
        <v/>
      </c>
      <c r="P138" s="19" t="str">
        <f aca="false">IF(J138="","",IF(M138&lt;설정!$B$3,"baseline 수집 중",IF(N138="","정상",IF(N138&lt;=설정!$B$4,"낮음","정상"))))</f>
        <v/>
      </c>
      <c r="Q138" s="20"/>
      <c r="R138" s="18" t="str">
        <f aca="false">IF(J138="","",J138^2)</f>
        <v/>
      </c>
    </row>
    <row r="139" customFormat="false" ht="15" hidden="false" customHeight="false" outlineLevel="0" collapsed="false">
      <c r="A139" s="16"/>
      <c r="B139" s="17"/>
      <c r="C139" s="17"/>
      <c r="D139" s="17"/>
      <c r="E139" s="17"/>
      <c r="F139" s="17"/>
      <c r="G139" s="17"/>
      <c r="H139" s="17"/>
      <c r="I139" s="17"/>
      <c r="J139" s="18" t="str">
        <f aca="false">IF(COUNT(E139:I139)&lt;5,"",SUM(E139:I139))</f>
        <v/>
      </c>
      <c r="K139" s="18" t="str">
        <f aca="false">IF(J139="","",IF(M139&lt;설정!$B$3,"",ROUND(AVERAGEIFS($J$2:$J$1001,$B$2:$B$1001,B139,$A$2:$A$1001,"&lt;"&amp;A139,$A$2:$A$1001,"&gt;="&amp;(A139-설정!$B$2)),2)))</f>
        <v/>
      </c>
      <c r="L139" s="18" t="str">
        <f aca="false">IF(K139="","",ROUND(SQRT(MAX(0,(SUMIFS($R$2:$R$1001,$B$2:$B$1001,B139,$A$2:$A$1001,"&lt;"&amp;A139,$A$2:$A$1001,"&gt;="&amp;(A139-설정!$B$2))-M139*AVERAGEIFS($J$2:$J$1001,$B$2:$B$1001,B139,$A$2:$A$1001,"&lt;"&amp;A139,$A$2:$A$1001,"&gt;="&amp;(A139-설정!$B$2))^2)/(M139-1))),2))</f>
        <v/>
      </c>
      <c r="M139" s="18" t="str">
        <f aca="false">IF(J139="","",COUNTIFS($B$2:$B$1001,B139,$A$2:$A$1001,"&lt;"&amp;A139,$A$2:$A$1001,"&gt;="&amp;(A139-설정!$B$2),$J$2:$J$1001,"&gt;=0"))</f>
        <v/>
      </c>
      <c r="N139" s="18" t="str">
        <f aca="false">IF(K139="","",IF(L139=0,"",ROUND((J139-K139)/L139,2)))</f>
        <v/>
      </c>
      <c r="O139" s="19" t="str">
        <f aca="false">IF(J139="","",IF(MIN(F139,G139)&lt;=설정!$B$5,"예",""))</f>
        <v/>
      </c>
      <c r="P139" s="19" t="str">
        <f aca="false">IF(J139="","",IF(M139&lt;설정!$B$3,"baseline 수집 중",IF(N139="","정상",IF(N139&lt;=설정!$B$4,"낮음","정상"))))</f>
        <v/>
      </c>
      <c r="Q139" s="20"/>
      <c r="R139" s="18" t="str">
        <f aca="false">IF(J139="","",J139^2)</f>
        <v/>
      </c>
    </row>
    <row r="140" customFormat="false" ht="15" hidden="false" customHeight="false" outlineLevel="0" collapsed="false">
      <c r="A140" s="16"/>
      <c r="B140" s="17"/>
      <c r="C140" s="17"/>
      <c r="D140" s="17"/>
      <c r="E140" s="17"/>
      <c r="F140" s="17"/>
      <c r="G140" s="17"/>
      <c r="H140" s="17"/>
      <c r="I140" s="17"/>
      <c r="J140" s="18" t="str">
        <f aca="false">IF(COUNT(E140:I140)&lt;5,"",SUM(E140:I140))</f>
        <v/>
      </c>
      <c r="K140" s="18" t="str">
        <f aca="false">IF(J140="","",IF(M140&lt;설정!$B$3,"",ROUND(AVERAGEIFS($J$2:$J$1001,$B$2:$B$1001,B140,$A$2:$A$1001,"&lt;"&amp;A140,$A$2:$A$1001,"&gt;="&amp;(A140-설정!$B$2)),2)))</f>
        <v/>
      </c>
      <c r="L140" s="18" t="str">
        <f aca="false">IF(K140="","",ROUND(SQRT(MAX(0,(SUMIFS($R$2:$R$1001,$B$2:$B$1001,B140,$A$2:$A$1001,"&lt;"&amp;A140,$A$2:$A$1001,"&gt;="&amp;(A140-설정!$B$2))-M140*AVERAGEIFS($J$2:$J$1001,$B$2:$B$1001,B140,$A$2:$A$1001,"&lt;"&amp;A140,$A$2:$A$1001,"&gt;="&amp;(A140-설정!$B$2))^2)/(M140-1))),2))</f>
        <v/>
      </c>
      <c r="M140" s="18" t="str">
        <f aca="false">IF(J140="","",COUNTIFS($B$2:$B$1001,B140,$A$2:$A$1001,"&lt;"&amp;A140,$A$2:$A$1001,"&gt;="&amp;(A140-설정!$B$2),$J$2:$J$1001,"&gt;=0"))</f>
        <v/>
      </c>
      <c r="N140" s="18" t="str">
        <f aca="false">IF(K140="","",IF(L140=0,"",ROUND((J140-K140)/L140,2)))</f>
        <v/>
      </c>
      <c r="O140" s="19" t="str">
        <f aca="false">IF(J140="","",IF(MIN(F140,G140)&lt;=설정!$B$5,"예",""))</f>
        <v/>
      </c>
      <c r="P140" s="19" t="str">
        <f aca="false">IF(J140="","",IF(M140&lt;설정!$B$3,"baseline 수집 중",IF(N140="","정상",IF(N140&lt;=설정!$B$4,"낮음","정상"))))</f>
        <v/>
      </c>
      <c r="Q140" s="20"/>
      <c r="R140" s="18" t="str">
        <f aca="false">IF(J140="","",J140^2)</f>
        <v/>
      </c>
    </row>
    <row r="141" customFormat="false" ht="15" hidden="false" customHeight="false" outlineLevel="0" collapsed="false">
      <c r="A141" s="16"/>
      <c r="B141" s="17"/>
      <c r="C141" s="17"/>
      <c r="D141" s="17"/>
      <c r="E141" s="17"/>
      <c r="F141" s="17"/>
      <c r="G141" s="17"/>
      <c r="H141" s="17"/>
      <c r="I141" s="17"/>
      <c r="J141" s="18" t="str">
        <f aca="false">IF(COUNT(E141:I141)&lt;5,"",SUM(E141:I141))</f>
        <v/>
      </c>
      <c r="K141" s="18" t="str">
        <f aca="false">IF(J141="","",IF(M141&lt;설정!$B$3,"",ROUND(AVERAGEIFS($J$2:$J$1001,$B$2:$B$1001,B141,$A$2:$A$1001,"&lt;"&amp;A141,$A$2:$A$1001,"&gt;="&amp;(A141-설정!$B$2)),2)))</f>
        <v/>
      </c>
      <c r="L141" s="18" t="str">
        <f aca="false">IF(K141="","",ROUND(SQRT(MAX(0,(SUMIFS($R$2:$R$1001,$B$2:$B$1001,B141,$A$2:$A$1001,"&lt;"&amp;A141,$A$2:$A$1001,"&gt;="&amp;(A141-설정!$B$2))-M141*AVERAGEIFS($J$2:$J$1001,$B$2:$B$1001,B141,$A$2:$A$1001,"&lt;"&amp;A141,$A$2:$A$1001,"&gt;="&amp;(A141-설정!$B$2))^2)/(M141-1))),2))</f>
        <v/>
      </c>
      <c r="M141" s="18" t="str">
        <f aca="false">IF(J141="","",COUNTIFS($B$2:$B$1001,B141,$A$2:$A$1001,"&lt;"&amp;A141,$A$2:$A$1001,"&gt;="&amp;(A141-설정!$B$2),$J$2:$J$1001,"&gt;=0"))</f>
        <v/>
      </c>
      <c r="N141" s="18" t="str">
        <f aca="false">IF(K141="","",IF(L141=0,"",ROUND((J141-K141)/L141,2)))</f>
        <v/>
      </c>
      <c r="O141" s="19" t="str">
        <f aca="false">IF(J141="","",IF(MIN(F141,G141)&lt;=설정!$B$5,"예",""))</f>
        <v/>
      </c>
      <c r="P141" s="19" t="str">
        <f aca="false">IF(J141="","",IF(M141&lt;설정!$B$3,"baseline 수집 중",IF(N141="","정상",IF(N141&lt;=설정!$B$4,"낮음","정상"))))</f>
        <v/>
      </c>
      <c r="Q141" s="20"/>
      <c r="R141" s="18" t="str">
        <f aca="false">IF(J141="","",J141^2)</f>
        <v/>
      </c>
    </row>
    <row r="142" customFormat="false" ht="15" hidden="false" customHeight="false" outlineLevel="0" collapsed="false">
      <c r="A142" s="16"/>
      <c r="B142" s="17"/>
      <c r="C142" s="17"/>
      <c r="D142" s="17"/>
      <c r="E142" s="17"/>
      <c r="F142" s="17"/>
      <c r="G142" s="17"/>
      <c r="H142" s="17"/>
      <c r="I142" s="17"/>
      <c r="J142" s="18" t="str">
        <f aca="false">IF(COUNT(E142:I142)&lt;5,"",SUM(E142:I142))</f>
        <v/>
      </c>
      <c r="K142" s="18" t="str">
        <f aca="false">IF(J142="","",IF(M142&lt;설정!$B$3,"",ROUND(AVERAGEIFS($J$2:$J$1001,$B$2:$B$1001,B142,$A$2:$A$1001,"&lt;"&amp;A142,$A$2:$A$1001,"&gt;="&amp;(A142-설정!$B$2)),2)))</f>
        <v/>
      </c>
      <c r="L142" s="18" t="str">
        <f aca="false">IF(K142="","",ROUND(SQRT(MAX(0,(SUMIFS($R$2:$R$1001,$B$2:$B$1001,B142,$A$2:$A$1001,"&lt;"&amp;A142,$A$2:$A$1001,"&gt;="&amp;(A142-설정!$B$2))-M142*AVERAGEIFS($J$2:$J$1001,$B$2:$B$1001,B142,$A$2:$A$1001,"&lt;"&amp;A142,$A$2:$A$1001,"&gt;="&amp;(A142-설정!$B$2))^2)/(M142-1))),2))</f>
        <v/>
      </c>
      <c r="M142" s="18" t="str">
        <f aca="false">IF(J142="","",COUNTIFS($B$2:$B$1001,B142,$A$2:$A$1001,"&lt;"&amp;A142,$A$2:$A$1001,"&gt;="&amp;(A142-설정!$B$2),$J$2:$J$1001,"&gt;=0"))</f>
        <v/>
      </c>
      <c r="N142" s="18" t="str">
        <f aca="false">IF(K142="","",IF(L142=0,"",ROUND((J142-K142)/L142,2)))</f>
        <v/>
      </c>
      <c r="O142" s="19" t="str">
        <f aca="false">IF(J142="","",IF(MIN(F142,G142)&lt;=설정!$B$5,"예",""))</f>
        <v/>
      </c>
      <c r="P142" s="19" t="str">
        <f aca="false">IF(J142="","",IF(M142&lt;설정!$B$3,"baseline 수집 중",IF(N142="","정상",IF(N142&lt;=설정!$B$4,"낮음","정상"))))</f>
        <v/>
      </c>
      <c r="Q142" s="20"/>
      <c r="R142" s="18" t="str">
        <f aca="false">IF(J142="","",J142^2)</f>
        <v/>
      </c>
    </row>
    <row r="143" customFormat="false" ht="15" hidden="false" customHeight="false" outlineLevel="0" collapsed="false">
      <c r="A143" s="16"/>
      <c r="B143" s="17"/>
      <c r="C143" s="17"/>
      <c r="D143" s="17"/>
      <c r="E143" s="17"/>
      <c r="F143" s="17"/>
      <c r="G143" s="17"/>
      <c r="H143" s="17"/>
      <c r="I143" s="17"/>
      <c r="J143" s="18" t="str">
        <f aca="false">IF(COUNT(E143:I143)&lt;5,"",SUM(E143:I143))</f>
        <v/>
      </c>
      <c r="K143" s="18" t="str">
        <f aca="false">IF(J143="","",IF(M143&lt;설정!$B$3,"",ROUND(AVERAGEIFS($J$2:$J$1001,$B$2:$B$1001,B143,$A$2:$A$1001,"&lt;"&amp;A143,$A$2:$A$1001,"&gt;="&amp;(A143-설정!$B$2)),2)))</f>
        <v/>
      </c>
      <c r="L143" s="18" t="str">
        <f aca="false">IF(K143="","",ROUND(SQRT(MAX(0,(SUMIFS($R$2:$R$1001,$B$2:$B$1001,B143,$A$2:$A$1001,"&lt;"&amp;A143,$A$2:$A$1001,"&gt;="&amp;(A143-설정!$B$2))-M143*AVERAGEIFS($J$2:$J$1001,$B$2:$B$1001,B143,$A$2:$A$1001,"&lt;"&amp;A143,$A$2:$A$1001,"&gt;="&amp;(A143-설정!$B$2))^2)/(M143-1))),2))</f>
        <v/>
      </c>
      <c r="M143" s="18" t="str">
        <f aca="false">IF(J143="","",COUNTIFS($B$2:$B$1001,B143,$A$2:$A$1001,"&lt;"&amp;A143,$A$2:$A$1001,"&gt;="&amp;(A143-설정!$B$2),$J$2:$J$1001,"&gt;=0"))</f>
        <v/>
      </c>
      <c r="N143" s="18" t="str">
        <f aca="false">IF(K143="","",IF(L143=0,"",ROUND((J143-K143)/L143,2)))</f>
        <v/>
      </c>
      <c r="O143" s="19" t="str">
        <f aca="false">IF(J143="","",IF(MIN(F143,G143)&lt;=설정!$B$5,"예",""))</f>
        <v/>
      </c>
      <c r="P143" s="19" t="str">
        <f aca="false">IF(J143="","",IF(M143&lt;설정!$B$3,"baseline 수집 중",IF(N143="","정상",IF(N143&lt;=설정!$B$4,"낮음","정상"))))</f>
        <v/>
      </c>
      <c r="Q143" s="20"/>
      <c r="R143" s="18" t="str">
        <f aca="false">IF(J143="","",J143^2)</f>
        <v/>
      </c>
    </row>
    <row r="144" customFormat="false" ht="15" hidden="false" customHeight="false" outlineLevel="0" collapsed="false">
      <c r="A144" s="16"/>
      <c r="B144" s="17"/>
      <c r="C144" s="17"/>
      <c r="D144" s="17"/>
      <c r="E144" s="17"/>
      <c r="F144" s="17"/>
      <c r="G144" s="17"/>
      <c r="H144" s="17"/>
      <c r="I144" s="17"/>
      <c r="J144" s="18" t="str">
        <f aca="false">IF(COUNT(E144:I144)&lt;5,"",SUM(E144:I144))</f>
        <v/>
      </c>
      <c r="K144" s="18" t="str">
        <f aca="false">IF(J144="","",IF(M144&lt;설정!$B$3,"",ROUND(AVERAGEIFS($J$2:$J$1001,$B$2:$B$1001,B144,$A$2:$A$1001,"&lt;"&amp;A144,$A$2:$A$1001,"&gt;="&amp;(A144-설정!$B$2)),2)))</f>
        <v/>
      </c>
      <c r="L144" s="18" t="str">
        <f aca="false">IF(K144="","",ROUND(SQRT(MAX(0,(SUMIFS($R$2:$R$1001,$B$2:$B$1001,B144,$A$2:$A$1001,"&lt;"&amp;A144,$A$2:$A$1001,"&gt;="&amp;(A144-설정!$B$2))-M144*AVERAGEIFS($J$2:$J$1001,$B$2:$B$1001,B144,$A$2:$A$1001,"&lt;"&amp;A144,$A$2:$A$1001,"&gt;="&amp;(A144-설정!$B$2))^2)/(M144-1))),2))</f>
        <v/>
      </c>
      <c r="M144" s="18" t="str">
        <f aca="false">IF(J144="","",COUNTIFS($B$2:$B$1001,B144,$A$2:$A$1001,"&lt;"&amp;A144,$A$2:$A$1001,"&gt;="&amp;(A144-설정!$B$2),$J$2:$J$1001,"&gt;=0"))</f>
        <v/>
      </c>
      <c r="N144" s="18" t="str">
        <f aca="false">IF(K144="","",IF(L144=0,"",ROUND((J144-K144)/L144,2)))</f>
        <v/>
      </c>
      <c r="O144" s="19" t="str">
        <f aca="false">IF(J144="","",IF(MIN(F144,G144)&lt;=설정!$B$5,"예",""))</f>
        <v/>
      </c>
      <c r="P144" s="19" t="str">
        <f aca="false">IF(J144="","",IF(M144&lt;설정!$B$3,"baseline 수집 중",IF(N144="","정상",IF(N144&lt;=설정!$B$4,"낮음","정상"))))</f>
        <v/>
      </c>
      <c r="Q144" s="20"/>
      <c r="R144" s="18" t="str">
        <f aca="false">IF(J144="","",J144^2)</f>
        <v/>
      </c>
    </row>
    <row r="145" customFormat="false" ht="15" hidden="false" customHeight="false" outlineLevel="0" collapsed="false">
      <c r="A145" s="16"/>
      <c r="B145" s="17"/>
      <c r="C145" s="17"/>
      <c r="D145" s="17"/>
      <c r="E145" s="17"/>
      <c r="F145" s="17"/>
      <c r="G145" s="17"/>
      <c r="H145" s="17"/>
      <c r="I145" s="17"/>
      <c r="J145" s="18" t="str">
        <f aca="false">IF(COUNT(E145:I145)&lt;5,"",SUM(E145:I145))</f>
        <v/>
      </c>
      <c r="K145" s="18" t="str">
        <f aca="false">IF(J145="","",IF(M145&lt;설정!$B$3,"",ROUND(AVERAGEIFS($J$2:$J$1001,$B$2:$B$1001,B145,$A$2:$A$1001,"&lt;"&amp;A145,$A$2:$A$1001,"&gt;="&amp;(A145-설정!$B$2)),2)))</f>
        <v/>
      </c>
      <c r="L145" s="18" t="str">
        <f aca="false">IF(K145="","",ROUND(SQRT(MAX(0,(SUMIFS($R$2:$R$1001,$B$2:$B$1001,B145,$A$2:$A$1001,"&lt;"&amp;A145,$A$2:$A$1001,"&gt;="&amp;(A145-설정!$B$2))-M145*AVERAGEIFS($J$2:$J$1001,$B$2:$B$1001,B145,$A$2:$A$1001,"&lt;"&amp;A145,$A$2:$A$1001,"&gt;="&amp;(A145-설정!$B$2))^2)/(M145-1))),2))</f>
        <v/>
      </c>
      <c r="M145" s="18" t="str">
        <f aca="false">IF(J145="","",COUNTIFS($B$2:$B$1001,B145,$A$2:$A$1001,"&lt;"&amp;A145,$A$2:$A$1001,"&gt;="&amp;(A145-설정!$B$2),$J$2:$J$1001,"&gt;=0"))</f>
        <v/>
      </c>
      <c r="N145" s="18" t="str">
        <f aca="false">IF(K145="","",IF(L145=0,"",ROUND((J145-K145)/L145,2)))</f>
        <v/>
      </c>
      <c r="O145" s="19" t="str">
        <f aca="false">IF(J145="","",IF(MIN(F145,G145)&lt;=설정!$B$5,"예",""))</f>
        <v/>
      </c>
      <c r="P145" s="19" t="str">
        <f aca="false">IF(J145="","",IF(M145&lt;설정!$B$3,"baseline 수집 중",IF(N145="","정상",IF(N145&lt;=설정!$B$4,"낮음","정상"))))</f>
        <v/>
      </c>
      <c r="Q145" s="20"/>
      <c r="R145" s="18" t="str">
        <f aca="false">IF(J145="","",J145^2)</f>
        <v/>
      </c>
    </row>
    <row r="146" customFormat="false" ht="15" hidden="false" customHeight="false" outlineLevel="0" collapsed="false">
      <c r="A146" s="16"/>
      <c r="B146" s="17"/>
      <c r="C146" s="17"/>
      <c r="D146" s="17"/>
      <c r="E146" s="17"/>
      <c r="F146" s="17"/>
      <c r="G146" s="17"/>
      <c r="H146" s="17"/>
      <c r="I146" s="17"/>
      <c r="J146" s="18" t="str">
        <f aca="false">IF(COUNT(E146:I146)&lt;5,"",SUM(E146:I146))</f>
        <v/>
      </c>
      <c r="K146" s="18" t="str">
        <f aca="false">IF(J146="","",IF(M146&lt;설정!$B$3,"",ROUND(AVERAGEIFS($J$2:$J$1001,$B$2:$B$1001,B146,$A$2:$A$1001,"&lt;"&amp;A146,$A$2:$A$1001,"&gt;="&amp;(A146-설정!$B$2)),2)))</f>
        <v/>
      </c>
      <c r="L146" s="18" t="str">
        <f aca="false">IF(K146="","",ROUND(SQRT(MAX(0,(SUMIFS($R$2:$R$1001,$B$2:$B$1001,B146,$A$2:$A$1001,"&lt;"&amp;A146,$A$2:$A$1001,"&gt;="&amp;(A146-설정!$B$2))-M146*AVERAGEIFS($J$2:$J$1001,$B$2:$B$1001,B146,$A$2:$A$1001,"&lt;"&amp;A146,$A$2:$A$1001,"&gt;="&amp;(A146-설정!$B$2))^2)/(M146-1))),2))</f>
        <v/>
      </c>
      <c r="M146" s="18" t="str">
        <f aca="false">IF(J146="","",COUNTIFS($B$2:$B$1001,B146,$A$2:$A$1001,"&lt;"&amp;A146,$A$2:$A$1001,"&gt;="&amp;(A146-설정!$B$2),$J$2:$J$1001,"&gt;=0"))</f>
        <v/>
      </c>
      <c r="N146" s="18" t="str">
        <f aca="false">IF(K146="","",IF(L146=0,"",ROUND((J146-K146)/L146,2)))</f>
        <v/>
      </c>
      <c r="O146" s="19" t="str">
        <f aca="false">IF(J146="","",IF(MIN(F146,G146)&lt;=설정!$B$5,"예",""))</f>
        <v/>
      </c>
      <c r="P146" s="19" t="str">
        <f aca="false">IF(J146="","",IF(M146&lt;설정!$B$3,"baseline 수집 중",IF(N146="","정상",IF(N146&lt;=설정!$B$4,"낮음","정상"))))</f>
        <v/>
      </c>
      <c r="Q146" s="20"/>
      <c r="R146" s="18" t="str">
        <f aca="false">IF(J146="","",J146^2)</f>
        <v/>
      </c>
    </row>
    <row r="147" customFormat="false" ht="15" hidden="false" customHeight="false" outlineLevel="0" collapsed="false">
      <c r="A147" s="16"/>
      <c r="B147" s="17"/>
      <c r="C147" s="17"/>
      <c r="D147" s="17"/>
      <c r="E147" s="17"/>
      <c r="F147" s="17"/>
      <c r="G147" s="17"/>
      <c r="H147" s="17"/>
      <c r="I147" s="17"/>
      <c r="J147" s="18" t="str">
        <f aca="false">IF(COUNT(E147:I147)&lt;5,"",SUM(E147:I147))</f>
        <v/>
      </c>
      <c r="K147" s="18" t="str">
        <f aca="false">IF(J147="","",IF(M147&lt;설정!$B$3,"",ROUND(AVERAGEIFS($J$2:$J$1001,$B$2:$B$1001,B147,$A$2:$A$1001,"&lt;"&amp;A147,$A$2:$A$1001,"&gt;="&amp;(A147-설정!$B$2)),2)))</f>
        <v/>
      </c>
      <c r="L147" s="18" t="str">
        <f aca="false">IF(K147="","",ROUND(SQRT(MAX(0,(SUMIFS($R$2:$R$1001,$B$2:$B$1001,B147,$A$2:$A$1001,"&lt;"&amp;A147,$A$2:$A$1001,"&gt;="&amp;(A147-설정!$B$2))-M147*AVERAGEIFS($J$2:$J$1001,$B$2:$B$1001,B147,$A$2:$A$1001,"&lt;"&amp;A147,$A$2:$A$1001,"&gt;="&amp;(A147-설정!$B$2))^2)/(M147-1))),2))</f>
        <v/>
      </c>
      <c r="M147" s="18" t="str">
        <f aca="false">IF(J147="","",COUNTIFS($B$2:$B$1001,B147,$A$2:$A$1001,"&lt;"&amp;A147,$A$2:$A$1001,"&gt;="&amp;(A147-설정!$B$2),$J$2:$J$1001,"&gt;=0"))</f>
        <v/>
      </c>
      <c r="N147" s="18" t="str">
        <f aca="false">IF(K147="","",IF(L147=0,"",ROUND((J147-K147)/L147,2)))</f>
        <v/>
      </c>
      <c r="O147" s="19" t="str">
        <f aca="false">IF(J147="","",IF(MIN(F147,G147)&lt;=설정!$B$5,"예",""))</f>
        <v/>
      </c>
      <c r="P147" s="19" t="str">
        <f aca="false">IF(J147="","",IF(M147&lt;설정!$B$3,"baseline 수집 중",IF(N147="","정상",IF(N147&lt;=설정!$B$4,"낮음","정상"))))</f>
        <v/>
      </c>
      <c r="Q147" s="20"/>
      <c r="R147" s="18" t="str">
        <f aca="false">IF(J147="","",J147^2)</f>
        <v/>
      </c>
    </row>
    <row r="148" customFormat="false" ht="15" hidden="false" customHeight="false" outlineLevel="0" collapsed="false">
      <c r="A148" s="16"/>
      <c r="B148" s="17"/>
      <c r="C148" s="17"/>
      <c r="D148" s="17"/>
      <c r="E148" s="17"/>
      <c r="F148" s="17"/>
      <c r="G148" s="17"/>
      <c r="H148" s="17"/>
      <c r="I148" s="17"/>
      <c r="J148" s="18" t="str">
        <f aca="false">IF(COUNT(E148:I148)&lt;5,"",SUM(E148:I148))</f>
        <v/>
      </c>
      <c r="K148" s="18" t="str">
        <f aca="false">IF(J148="","",IF(M148&lt;설정!$B$3,"",ROUND(AVERAGEIFS($J$2:$J$1001,$B$2:$B$1001,B148,$A$2:$A$1001,"&lt;"&amp;A148,$A$2:$A$1001,"&gt;="&amp;(A148-설정!$B$2)),2)))</f>
        <v/>
      </c>
      <c r="L148" s="18" t="str">
        <f aca="false">IF(K148="","",ROUND(SQRT(MAX(0,(SUMIFS($R$2:$R$1001,$B$2:$B$1001,B148,$A$2:$A$1001,"&lt;"&amp;A148,$A$2:$A$1001,"&gt;="&amp;(A148-설정!$B$2))-M148*AVERAGEIFS($J$2:$J$1001,$B$2:$B$1001,B148,$A$2:$A$1001,"&lt;"&amp;A148,$A$2:$A$1001,"&gt;="&amp;(A148-설정!$B$2))^2)/(M148-1))),2))</f>
        <v/>
      </c>
      <c r="M148" s="18" t="str">
        <f aca="false">IF(J148="","",COUNTIFS($B$2:$B$1001,B148,$A$2:$A$1001,"&lt;"&amp;A148,$A$2:$A$1001,"&gt;="&amp;(A148-설정!$B$2),$J$2:$J$1001,"&gt;=0"))</f>
        <v/>
      </c>
      <c r="N148" s="18" t="str">
        <f aca="false">IF(K148="","",IF(L148=0,"",ROUND((J148-K148)/L148,2)))</f>
        <v/>
      </c>
      <c r="O148" s="19" t="str">
        <f aca="false">IF(J148="","",IF(MIN(F148,G148)&lt;=설정!$B$5,"예",""))</f>
        <v/>
      </c>
      <c r="P148" s="19" t="str">
        <f aca="false">IF(J148="","",IF(M148&lt;설정!$B$3,"baseline 수집 중",IF(N148="","정상",IF(N148&lt;=설정!$B$4,"낮음","정상"))))</f>
        <v/>
      </c>
      <c r="Q148" s="20"/>
      <c r="R148" s="18" t="str">
        <f aca="false">IF(J148="","",J148^2)</f>
        <v/>
      </c>
    </row>
    <row r="149" customFormat="false" ht="15" hidden="false" customHeight="false" outlineLevel="0" collapsed="false">
      <c r="A149" s="16"/>
      <c r="B149" s="17"/>
      <c r="C149" s="17"/>
      <c r="D149" s="17"/>
      <c r="E149" s="17"/>
      <c r="F149" s="17"/>
      <c r="G149" s="17"/>
      <c r="H149" s="17"/>
      <c r="I149" s="17"/>
      <c r="J149" s="18" t="str">
        <f aca="false">IF(COUNT(E149:I149)&lt;5,"",SUM(E149:I149))</f>
        <v/>
      </c>
      <c r="K149" s="18" t="str">
        <f aca="false">IF(J149="","",IF(M149&lt;설정!$B$3,"",ROUND(AVERAGEIFS($J$2:$J$1001,$B$2:$B$1001,B149,$A$2:$A$1001,"&lt;"&amp;A149,$A$2:$A$1001,"&gt;="&amp;(A149-설정!$B$2)),2)))</f>
        <v/>
      </c>
      <c r="L149" s="18" t="str">
        <f aca="false">IF(K149="","",ROUND(SQRT(MAX(0,(SUMIFS($R$2:$R$1001,$B$2:$B$1001,B149,$A$2:$A$1001,"&lt;"&amp;A149,$A$2:$A$1001,"&gt;="&amp;(A149-설정!$B$2))-M149*AVERAGEIFS($J$2:$J$1001,$B$2:$B$1001,B149,$A$2:$A$1001,"&lt;"&amp;A149,$A$2:$A$1001,"&gt;="&amp;(A149-설정!$B$2))^2)/(M149-1))),2))</f>
        <v/>
      </c>
      <c r="M149" s="18" t="str">
        <f aca="false">IF(J149="","",COUNTIFS($B$2:$B$1001,B149,$A$2:$A$1001,"&lt;"&amp;A149,$A$2:$A$1001,"&gt;="&amp;(A149-설정!$B$2),$J$2:$J$1001,"&gt;=0"))</f>
        <v/>
      </c>
      <c r="N149" s="18" t="str">
        <f aca="false">IF(K149="","",IF(L149=0,"",ROUND((J149-K149)/L149,2)))</f>
        <v/>
      </c>
      <c r="O149" s="19" t="str">
        <f aca="false">IF(J149="","",IF(MIN(F149,G149)&lt;=설정!$B$5,"예",""))</f>
        <v/>
      </c>
      <c r="P149" s="19" t="str">
        <f aca="false">IF(J149="","",IF(M149&lt;설정!$B$3,"baseline 수집 중",IF(N149="","정상",IF(N149&lt;=설정!$B$4,"낮음","정상"))))</f>
        <v/>
      </c>
      <c r="Q149" s="20"/>
      <c r="R149" s="18" t="str">
        <f aca="false">IF(J149="","",J149^2)</f>
        <v/>
      </c>
    </row>
    <row r="150" customFormat="false" ht="15" hidden="false" customHeight="false" outlineLevel="0" collapsed="false">
      <c r="A150" s="16"/>
      <c r="B150" s="17"/>
      <c r="C150" s="17"/>
      <c r="D150" s="17"/>
      <c r="E150" s="17"/>
      <c r="F150" s="17"/>
      <c r="G150" s="17"/>
      <c r="H150" s="17"/>
      <c r="I150" s="17"/>
      <c r="J150" s="18" t="str">
        <f aca="false">IF(COUNT(E150:I150)&lt;5,"",SUM(E150:I150))</f>
        <v/>
      </c>
      <c r="K150" s="18" t="str">
        <f aca="false">IF(J150="","",IF(M150&lt;설정!$B$3,"",ROUND(AVERAGEIFS($J$2:$J$1001,$B$2:$B$1001,B150,$A$2:$A$1001,"&lt;"&amp;A150,$A$2:$A$1001,"&gt;="&amp;(A150-설정!$B$2)),2)))</f>
        <v/>
      </c>
      <c r="L150" s="18" t="str">
        <f aca="false">IF(K150="","",ROUND(SQRT(MAX(0,(SUMIFS($R$2:$R$1001,$B$2:$B$1001,B150,$A$2:$A$1001,"&lt;"&amp;A150,$A$2:$A$1001,"&gt;="&amp;(A150-설정!$B$2))-M150*AVERAGEIFS($J$2:$J$1001,$B$2:$B$1001,B150,$A$2:$A$1001,"&lt;"&amp;A150,$A$2:$A$1001,"&gt;="&amp;(A150-설정!$B$2))^2)/(M150-1))),2))</f>
        <v/>
      </c>
      <c r="M150" s="18" t="str">
        <f aca="false">IF(J150="","",COUNTIFS($B$2:$B$1001,B150,$A$2:$A$1001,"&lt;"&amp;A150,$A$2:$A$1001,"&gt;="&amp;(A150-설정!$B$2),$J$2:$J$1001,"&gt;=0"))</f>
        <v/>
      </c>
      <c r="N150" s="18" t="str">
        <f aca="false">IF(K150="","",IF(L150=0,"",ROUND((J150-K150)/L150,2)))</f>
        <v/>
      </c>
      <c r="O150" s="19" t="str">
        <f aca="false">IF(J150="","",IF(MIN(F150,G150)&lt;=설정!$B$5,"예",""))</f>
        <v/>
      </c>
      <c r="P150" s="19" t="str">
        <f aca="false">IF(J150="","",IF(M150&lt;설정!$B$3,"baseline 수집 중",IF(N150="","정상",IF(N150&lt;=설정!$B$4,"낮음","정상"))))</f>
        <v/>
      </c>
      <c r="Q150" s="20"/>
      <c r="R150" s="18" t="str">
        <f aca="false">IF(J150="","",J150^2)</f>
        <v/>
      </c>
    </row>
    <row r="151" customFormat="false" ht="15" hidden="false" customHeight="false" outlineLevel="0" collapsed="false">
      <c r="A151" s="16"/>
      <c r="B151" s="17"/>
      <c r="C151" s="17"/>
      <c r="D151" s="17"/>
      <c r="E151" s="17"/>
      <c r="F151" s="17"/>
      <c r="G151" s="17"/>
      <c r="H151" s="17"/>
      <c r="I151" s="17"/>
      <c r="J151" s="18" t="str">
        <f aca="false">IF(COUNT(E151:I151)&lt;5,"",SUM(E151:I151))</f>
        <v/>
      </c>
      <c r="K151" s="18" t="str">
        <f aca="false">IF(J151="","",IF(M151&lt;설정!$B$3,"",ROUND(AVERAGEIFS($J$2:$J$1001,$B$2:$B$1001,B151,$A$2:$A$1001,"&lt;"&amp;A151,$A$2:$A$1001,"&gt;="&amp;(A151-설정!$B$2)),2)))</f>
        <v/>
      </c>
      <c r="L151" s="18" t="str">
        <f aca="false">IF(K151="","",ROUND(SQRT(MAX(0,(SUMIFS($R$2:$R$1001,$B$2:$B$1001,B151,$A$2:$A$1001,"&lt;"&amp;A151,$A$2:$A$1001,"&gt;="&amp;(A151-설정!$B$2))-M151*AVERAGEIFS($J$2:$J$1001,$B$2:$B$1001,B151,$A$2:$A$1001,"&lt;"&amp;A151,$A$2:$A$1001,"&gt;="&amp;(A151-설정!$B$2))^2)/(M151-1))),2))</f>
        <v/>
      </c>
      <c r="M151" s="18" t="str">
        <f aca="false">IF(J151="","",COUNTIFS($B$2:$B$1001,B151,$A$2:$A$1001,"&lt;"&amp;A151,$A$2:$A$1001,"&gt;="&amp;(A151-설정!$B$2),$J$2:$J$1001,"&gt;=0"))</f>
        <v/>
      </c>
      <c r="N151" s="18" t="str">
        <f aca="false">IF(K151="","",IF(L151=0,"",ROUND((J151-K151)/L151,2)))</f>
        <v/>
      </c>
      <c r="O151" s="19" t="str">
        <f aca="false">IF(J151="","",IF(MIN(F151,G151)&lt;=설정!$B$5,"예",""))</f>
        <v/>
      </c>
      <c r="P151" s="19" t="str">
        <f aca="false">IF(J151="","",IF(M151&lt;설정!$B$3,"baseline 수집 중",IF(N151="","정상",IF(N151&lt;=설정!$B$4,"낮음","정상"))))</f>
        <v/>
      </c>
      <c r="Q151" s="20"/>
      <c r="R151" s="18" t="str">
        <f aca="false">IF(J151="","",J151^2)</f>
        <v/>
      </c>
    </row>
    <row r="152" customFormat="false" ht="15" hidden="false" customHeight="false" outlineLevel="0" collapsed="false">
      <c r="A152" s="16"/>
      <c r="B152" s="17"/>
      <c r="C152" s="17"/>
      <c r="D152" s="17"/>
      <c r="E152" s="17"/>
      <c r="F152" s="17"/>
      <c r="G152" s="17"/>
      <c r="H152" s="17"/>
      <c r="I152" s="17"/>
      <c r="J152" s="18" t="str">
        <f aca="false">IF(COUNT(E152:I152)&lt;5,"",SUM(E152:I152))</f>
        <v/>
      </c>
      <c r="K152" s="18" t="str">
        <f aca="false">IF(J152="","",IF(M152&lt;설정!$B$3,"",ROUND(AVERAGEIFS($J$2:$J$1001,$B$2:$B$1001,B152,$A$2:$A$1001,"&lt;"&amp;A152,$A$2:$A$1001,"&gt;="&amp;(A152-설정!$B$2)),2)))</f>
        <v/>
      </c>
      <c r="L152" s="18" t="str">
        <f aca="false">IF(K152="","",ROUND(SQRT(MAX(0,(SUMIFS($R$2:$R$1001,$B$2:$B$1001,B152,$A$2:$A$1001,"&lt;"&amp;A152,$A$2:$A$1001,"&gt;="&amp;(A152-설정!$B$2))-M152*AVERAGEIFS($J$2:$J$1001,$B$2:$B$1001,B152,$A$2:$A$1001,"&lt;"&amp;A152,$A$2:$A$1001,"&gt;="&amp;(A152-설정!$B$2))^2)/(M152-1))),2))</f>
        <v/>
      </c>
      <c r="M152" s="18" t="str">
        <f aca="false">IF(J152="","",COUNTIFS($B$2:$B$1001,B152,$A$2:$A$1001,"&lt;"&amp;A152,$A$2:$A$1001,"&gt;="&amp;(A152-설정!$B$2),$J$2:$J$1001,"&gt;=0"))</f>
        <v/>
      </c>
      <c r="N152" s="18" t="str">
        <f aca="false">IF(K152="","",IF(L152=0,"",ROUND((J152-K152)/L152,2)))</f>
        <v/>
      </c>
      <c r="O152" s="19" t="str">
        <f aca="false">IF(J152="","",IF(MIN(F152,G152)&lt;=설정!$B$5,"예",""))</f>
        <v/>
      </c>
      <c r="P152" s="19" t="str">
        <f aca="false">IF(J152="","",IF(M152&lt;설정!$B$3,"baseline 수집 중",IF(N152="","정상",IF(N152&lt;=설정!$B$4,"낮음","정상"))))</f>
        <v/>
      </c>
      <c r="Q152" s="20"/>
      <c r="R152" s="18" t="str">
        <f aca="false">IF(J152="","",J152^2)</f>
        <v/>
      </c>
    </row>
    <row r="153" customFormat="false" ht="15" hidden="false" customHeight="false" outlineLevel="0" collapsed="false">
      <c r="A153" s="16"/>
      <c r="B153" s="17"/>
      <c r="C153" s="17"/>
      <c r="D153" s="17"/>
      <c r="E153" s="17"/>
      <c r="F153" s="17"/>
      <c r="G153" s="17"/>
      <c r="H153" s="17"/>
      <c r="I153" s="17"/>
      <c r="J153" s="18" t="str">
        <f aca="false">IF(COUNT(E153:I153)&lt;5,"",SUM(E153:I153))</f>
        <v/>
      </c>
      <c r="K153" s="18" t="str">
        <f aca="false">IF(J153="","",IF(M153&lt;설정!$B$3,"",ROUND(AVERAGEIFS($J$2:$J$1001,$B$2:$B$1001,B153,$A$2:$A$1001,"&lt;"&amp;A153,$A$2:$A$1001,"&gt;="&amp;(A153-설정!$B$2)),2)))</f>
        <v/>
      </c>
      <c r="L153" s="18" t="str">
        <f aca="false">IF(K153="","",ROUND(SQRT(MAX(0,(SUMIFS($R$2:$R$1001,$B$2:$B$1001,B153,$A$2:$A$1001,"&lt;"&amp;A153,$A$2:$A$1001,"&gt;="&amp;(A153-설정!$B$2))-M153*AVERAGEIFS($J$2:$J$1001,$B$2:$B$1001,B153,$A$2:$A$1001,"&lt;"&amp;A153,$A$2:$A$1001,"&gt;="&amp;(A153-설정!$B$2))^2)/(M153-1))),2))</f>
        <v/>
      </c>
      <c r="M153" s="18" t="str">
        <f aca="false">IF(J153="","",COUNTIFS($B$2:$B$1001,B153,$A$2:$A$1001,"&lt;"&amp;A153,$A$2:$A$1001,"&gt;="&amp;(A153-설정!$B$2),$J$2:$J$1001,"&gt;=0"))</f>
        <v/>
      </c>
      <c r="N153" s="18" t="str">
        <f aca="false">IF(K153="","",IF(L153=0,"",ROUND((J153-K153)/L153,2)))</f>
        <v/>
      </c>
      <c r="O153" s="19" t="str">
        <f aca="false">IF(J153="","",IF(MIN(F153,G153)&lt;=설정!$B$5,"예",""))</f>
        <v/>
      </c>
      <c r="P153" s="19" t="str">
        <f aca="false">IF(J153="","",IF(M153&lt;설정!$B$3,"baseline 수집 중",IF(N153="","정상",IF(N153&lt;=설정!$B$4,"낮음","정상"))))</f>
        <v/>
      </c>
      <c r="Q153" s="20"/>
      <c r="R153" s="18" t="str">
        <f aca="false">IF(J153="","",J153^2)</f>
        <v/>
      </c>
    </row>
    <row r="154" customFormat="false" ht="15" hidden="false" customHeight="false" outlineLevel="0" collapsed="false">
      <c r="A154" s="16"/>
      <c r="B154" s="17"/>
      <c r="C154" s="17"/>
      <c r="D154" s="17"/>
      <c r="E154" s="17"/>
      <c r="F154" s="17"/>
      <c r="G154" s="17"/>
      <c r="H154" s="17"/>
      <c r="I154" s="17"/>
      <c r="J154" s="18" t="str">
        <f aca="false">IF(COUNT(E154:I154)&lt;5,"",SUM(E154:I154))</f>
        <v/>
      </c>
      <c r="K154" s="18" t="str">
        <f aca="false">IF(J154="","",IF(M154&lt;설정!$B$3,"",ROUND(AVERAGEIFS($J$2:$J$1001,$B$2:$B$1001,B154,$A$2:$A$1001,"&lt;"&amp;A154,$A$2:$A$1001,"&gt;="&amp;(A154-설정!$B$2)),2)))</f>
        <v/>
      </c>
      <c r="L154" s="18" t="str">
        <f aca="false">IF(K154="","",ROUND(SQRT(MAX(0,(SUMIFS($R$2:$R$1001,$B$2:$B$1001,B154,$A$2:$A$1001,"&lt;"&amp;A154,$A$2:$A$1001,"&gt;="&amp;(A154-설정!$B$2))-M154*AVERAGEIFS($J$2:$J$1001,$B$2:$B$1001,B154,$A$2:$A$1001,"&lt;"&amp;A154,$A$2:$A$1001,"&gt;="&amp;(A154-설정!$B$2))^2)/(M154-1))),2))</f>
        <v/>
      </c>
      <c r="M154" s="18" t="str">
        <f aca="false">IF(J154="","",COUNTIFS($B$2:$B$1001,B154,$A$2:$A$1001,"&lt;"&amp;A154,$A$2:$A$1001,"&gt;="&amp;(A154-설정!$B$2),$J$2:$J$1001,"&gt;=0"))</f>
        <v/>
      </c>
      <c r="N154" s="18" t="str">
        <f aca="false">IF(K154="","",IF(L154=0,"",ROUND((J154-K154)/L154,2)))</f>
        <v/>
      </c>
      <c r="O154" s="19" t="str">
        <f aca="false">IF(J154="","",IF(MIN(F154,G154)&lt;=설정!$B$5,"예",""))</f>
        <v/>
      </c>
      <c r="P154" s="19" t="str">
        <f aca="false">IF(J154="","",IF(M154&lt;설정!$B$3,"baseline 수집 중",IF(N154="","정상",IF(N154&lt;=설정!$B$4,"낮음","정상"))))</f>
        <v/>
      </c>
      <c r="Q154" s="20"/>
      <c r="R154" s="18" t="str">
        <f aca="false">IF(J154="","",J154^2)</f>
        <v/>
      </c>
    </row>
    <row r="155" customFormat="false" ht="15" hidden="false" customHeight="false" outlineLevel="0" collapsed="false">
      <c r="A155" s="16"/>
      <c r="B155" s="17"/>
      <c r="C155" s="17"/>
      <c r="D155" s="17"/>
      <c r="E155" s="17"/>
      <c r="F155" s="17"/>
      <c r="G155" s="17"/>
      <c r="H155" s="17"/>
      <c r="I155" s="17"/>
      <c r="J155" s="18" t="str">
        <f aca="false">IF(COUNT(E155:I155)&lt;5,"",SUM(E155:I155))</f>
        <v/>
      </c>
      <c r="K155" s="18" t="str">
        <f aca="false">IF(J155="","",IF(M155&lt;설정!$B$3,"",ROUND(AVERAGEIFS($J$2:$J$1001,$B$2:$B$1001,B155,$A$2:$A$1001,"&lt;"&amp;A155,$A$2:$A$1001,"&gt;="&amp;(A155-설정!$B$2)),2)))</f>
        <v/>
      </c>
      <c r="L155" s="18" t="str">
        <f aca="false">IF(K155="","",ROUND(SQRT(MAX(0,(SUMIFS($R$2:$R$1001,$B$2:$B$1001,B155,$A$2:$A$1001,"&lt;"&amp;A155,$A$2:$A$1001,"&gt;="&amp;(A155-설정!$B$2))-M155*AVERAGEIFS($J$2:$J$1001,$B$2:$B$1001,B155,$A$2:$A$1001,"&lt;"&amp;A155,$A$2:$A$1001,"&gt;="&amp;(A155-설정!$B$2))^2)/(M155-1))),2))</f>
        <v/>
      </c>
      <c r="M155" s="18" t="str">
        <f aca="false">IF(J155="","",COUNTIFS($B$2:$B$1001,B155,$A$2:$A$1001,"&lt;"&amp;A155,$A$2:$A$1001,"&gt;="&amp;(A155-설정!$B$2),$J$2:$J$1001,"&gt;=0"))</f>
        <v/>
      </c>
      <c r="N155" s="18" t="str">
        <f aca="false">IF(K155="","",IF(L155=0,"",ROUND((J155-K155)/L155,2)))</f>
        <v/>
      </c>
      <c r="O155" s="19" t="str">
        <f aca="false">IF(J155="","",IF(MIN(F155,G155)&lt;=설정!$B$5,"예",""))</f>
        <v/>
      </c>
      <c r="P155" s="19" t="str">
        <f aca="false">IF(J155="","",IF(M155&lt;설정!$B$3,"baseline 수집 중",IF(N155="","정상",IF(N155&lt;=설정!$B$4,"낮음","정상"))))</f>
        <v/>
      </c>
      <c r="Q155" s="20"/>
      <c r="R155" s="18" t="str">
        <f aca="false">IF(J155="","",J155^2)</f>
        <v/>
      </c>
    </row>
    <row r="156" customFormat="false" ht="15" hidden="false" customHeight="false" outlineLevel="0" collapsed="false">
      <c r="A156" s="16"/>
      <c r="B156" s="17"/>
      <c r="C156" s="17"/>
      <c r="D156" s="17"/>
      <c r="E156" s="17"/>
      <c r="F156" s="17"/>
      <c r="G156" s="17"/>
      <c r="H156" s="17"/>
      <c r="I156" s="17"/>
      <c r="J156" s="18" t="str">
        <f aca="false">IF(COUNT(E156:I156)&lt;5,"",SUM(E156:I156))</f>
        <v/>
      </c>
      <c r="K156" s="18" t="str">
        <f aca="false">IF(J156="","",IF(M156&lt;설정!$B$3,"",ROUND(AVERAGEIFS($J$2:$J$1001,$B$2:$B$1001,B156,$A$2:$A$1001,"&lt;"&amp;A156,$A$2:$A$1001,"&gt;="&amp;(A156-설정!$B$2)),2)))</f>
        <v/>
      </c>
      <c r="L156" s="18" t="str">
        <f aca="false">IF(K156="","",ROUND(SQRT(MAX(0,(SUMIFS($R$2:$R$1001,$B$2:$B$1001,B156,$A$2:$A$1001,"&lt;"&amp;A156,$A$2:$A$1001,"&gt;="&amp;(A156-설정!$B$2))-M156*AVERAGEIFS($J$2:$J$1001,$B$2:$B$1001,B156,$A$2:$A$1001,"&lt;"&amp;A156,$A$2:$A$1001,"&gt;="&amp;(A156-설정!$B$2))^2)/(M156-1))),2))</f>
        <v/>
      </c>
      <c r="M156" s="18" t="str">
        <f aca="false">IF(J156="","",COUNTIFS($B$2:$B$1001,B156,$A$2:$A$1001,"&lt;"&amp;A156,$A$2:$A$1001,"&gt;="&amp;(A156-설정!$B$2),$J$2:$J$1001,"&gt;=0"))</f>
        <v/>
      </c>
      <c r="N156" s="18" t="str">
        <f aca="false">IF(K156="","",IF(L156=0,"",ROUND((J156-K156)/L156,2)))</f>
        <v/>
      </c>
      <c r="O156" s="19" t="str">
        <f aca="false">IF(J156="","",IF(MIN(F156,G156)&lt;=설정!$B$5,"예",""))</f>
        <v/>
      </c>
      <c r="P156" s="19" t="str">
        <f aca="false">IF(J156="","",IF(M156&lt;설정!$B$3,"baseline 수집 중",IF(N156="","정상",IF(N156&lt;=설정!$B$4,"낮음","정상"))))</f>
        <v/>
      </c>
      <c r="Q156" s="20"/>
      <c r="R156" s="18" t="str">
        <f aca="false">IF(J156="","",J156^2)</f>
        <v/>
      </c>
    </row>
    <row r="157" customFormat="false" ht="15" hidden="false" customHeight="false" outlineLevel="0" collapsed="false">
      <c r="A157" s="16"/>
      <c r="B157" s="17"/>
      <c r="C157" s="17"/>
      <c r="D157" s="17"/>
      <c r="E157" s="17"/>
      <c r="F157" s="17"/>
      <c r="G157" s="17"/>
      <c r="H157" s="17"/>
      <c r="I157" s="17"/>
      <c r="J157" s="18" t="str">
        <f aca="false">IF(COUNT(E157:I157)&lt;5,"",SUM(E157:I157))</f>
        <v/>
      </c>
      <c r="K157" s="18" t="str">
        <f aca="false">IF(J157="","",IF(M157&lt;설정!$B$3,"",ROUND(AVERAGEIFS($J$2:$J$1001,$B$2:$B$1001,B157,$A$2:$A$1001,"&lt;"&amp;A157,$A$2:$A$1001,"&gt;="&amp;(A157-설정!$B$2)),2)))</f>
        <v/>
      </c>
      <c r="L157" s="18" t="str">
        <f aca="false">IF(K157="","",ROUND(SQRT(MAX(0,(SUMIFS($R$2:$R$1001,$B$2:$B$1001,B157,$A$2:$A$1001,"&lt;"&amp;A157,$A$2:$A$1001,"&gt;="&amp;(A157-설정!$B$2))-M157*AVERAGEIFS($J$2:$J$1001,$B$2:$B$1001,B157,$A$2:$A$1001,"&lt;"&amp;A157,$A$2:$A$1001,"&gt;="&amp;(A157-설정!$B$2))^2)/(M157-1))),2))</f>
        <v/>
      </c>
      <c r="M157" s="18" t="str">
        <f aca="false">IF(J157="","",COUNTIFS($B$2:$B$1001,B157,$A$2:$A$1001,"&lt;"&amp;A157,$A$2:$A$1001,"&gt;="&amp;(A157-설정!$B$2),$J$2:$J$1001,"&gt;=0"))</f>
        <v/>
      </c>
      <c r="N157" s="18" t="str">
        <f aca="false">IF(K157="","",IF(L157=0,"",ROUND((J157-K157)/L157,2)))</f>
        <v/>
      </c>
      <c r="O157" s="19" t="str">
        <f aca="false">IF(J157="","",IF(MIN(F157,G157)&lt;=설정!$B$5,"예",""))</f>
        <v/>
      </c>
      <c r="P157" s="19" t="str">
        <f aca="false">IF(J157="","",IF(M157&lt;설정!$B$3,"baseline 수집 중",IF(N157="","정상",IF(N157&lt;=설정!$B$4,"낮음","정상"))))</f>
        <v/>
      </c>
      <c r="Q157" s="20"/>
      <c r="R157" s="18" t="str">
        <f aca="false">IF(J157="","",J157^2)</f>
        <v/>
      </c>
    </row>
    <row r="158" customFormat="false" ht="15" hidden="false" customHeight="false" outlineLevel="0" collapsed="false">
      <c r="A158" s="16"/>
      <c r="B158" s="17"/>
      <c r="C158" s="17"/>
      <c r="D158" s="17"/>
      <c r="E158" s="17"/>
      <c r="F158" s="17"/>
      <c r="G158" s="17"/>
      <c r="H158" s="17"/>
      <c r="I158" s="17"/>
      <c r="J158" s="18" t="str">
        <f aca="false">IF(COUNT(E158:I158)&lt;5,"",SUM(E158:I158))</f>
        <v/>
      </c>
      <c r="K158" s="18" t="str">
        <f aca="false">IF(J158="","",IF(M158&lt;설정!$B$3,"",ROUND(AVERAGEIFS($J$2:$J$1001,$B$2:$B$1001,B158,$A$2:$A$1001,"&lt;"&amp;A158,$A$2:$A$1001,"&gt;="&amp;(A158-설정!$B$2)),2)))</f>
        <v/>
      </c>
      <c r="L158" s="18" t="str">
        <f aca="false">IF(K158="","",ROUND(SQRT(MAX(0,(SUMIFS($R$2:$R$1001,$B$2:$B$1001,B158,$A$2:$A$1001,"&lt;"&amp;A158,$A$2:$A$1001,"&gt;="&amp;(A158-설정!$B$2))-M158*AVERAGEIFS($J$2:$J$1001,$B$2:$B$1001,B158,$A$2:$A$1001,"&lt;"&amp;A158,$A$2:$A$1001,"&gt;="&amp;(A158-설정!$B$2))^2)/(M158-1))),2))</f>
        <v/>
      </c>
      <c r="M158" s="18" t="str">
        <f aca="false">IF(J158="","",COUNTIFS($B$2:$B$1001,B158,$A$2:$A$1001,"&lt;"&amp;A158,$A$2:$A$1001,"&gt;="&amp;(A158-설정!$B$2),$J$2:$J$1001,"&gt;=0"))</f>
        <v/>
      </c>
      <c r="N158" s="18" t="str">
        <f aca="false">IF(K158="","",IF(L158=0,"",ROUND((J158-K158)/L158,2)))</f>
        <v/>
      </c>
      <c r="O158" s="19" t="str">
        <f aca="false">IF(J158="","",IF(MIN(F158,G158)&lt;=설정!$B$5,"예",""))</f>
        <v/>
      </c>
      <c r="P158" s="19" t="str">
        <f aca="false">IF(J158="","",IF(M158&lt;설정!$B$3,"baseline 수집 중",IF(N158="","정상",IF(N158&lt;=설정!$B$4,"낮음","정상"))))</f>
        <v/>
      </c>
      <c r="Q158" s="20"/>
      <c r="R158" s="18" t="str">
        <f aca="false">IF(J158="","",J158^2)</f>
        <v/>
      </c>
    </row>
    <row r="159" customFormat="false" ht="15" hidden="false" customHeight="false" outlineLevel="0" collapsed="false">
      <c r="A159" s="16"/>
      <c r="B159" s="17"/>
      <c r="C159" s="17"/>
      <c r="D159" s="17"/>
      <c r="E159" s="17"/>
      <c r="F159" s="17"/>
      <c r="G159" s="17"/>
      <c r="H159" s="17"/>
      <c r="I159" s="17"/>
      <c r="J159" s="18" t="str">
        <f aca="false">IF(COUNT(E159:I159)&lt;5,"",SUM(E159:I159))</f>
        <v/>
      </c>
      <c r="K159" s="18" t="str">
        <f aca="false">IF(J159="","",IF(M159&lt;설정!$B$3,"",ROUND(AVERAGEIFS($J$2:$J$1001,$B$2:$B$1001,B159,$A$2:$A$1001,"&lt;"&amp;A159,$A$2:$A$1001,"&gt;="&amp;(A159-설정!$B$2)),2)))</f>
        <v/>
      </c>
      <c r="L159" s="18" t="str">
        <f aca="false">IF(K159="","",ROUND(SQRT(MAX(0,(SUMIFS($R$2:$R$1001,$B$2:$B$1001,B159,$A$2:$A$1001,"&lt;"&amp;A159,$A$2:$A$1001,"&gt;="&amp;(A159-설정!$B$2))-M159*AVERAGEIFS($J$2:$J$1001,$B$2:$B$1001,B159,$A$2:$A$1001,"&lt;"&amp;A159,$A$2:$A$1001,"&gt;="&amp;(A159-설정!$B$2))^2)/(M159-1))),2))</f>
        <v/>
      </c>
      <c r="M159" s="18" t="str">
        <f aca="false">IF(J159="","",COUNTIFS($B$2:$B$1001,B159,$A$2:$A$1001,"&lt;"&amp;A159,$A$2:$A$1001,"&gt;="&amp;(A159-설정!$B$2),$J$2:$J$1001,"&gt;=0"))</f>
        <v/>
      </c>
      <c r="N159" s="18" t="str">
        <f aca="false">IF(K159="","",IF(L159=0,"",ROUND((J159-K159)/L159,2)))</f>
        <v/>
      </c>
      <c r="O159" s="19" t="str">
        <f aca="false">IF(J159="","",IF(MIN(F159,G159)&lt;=설정!$B$5,"예",""))</f>
        <v/>
      </c>
      <c r="P159" s="19" t="str">
        <f aca="false">IF(J159="","",IF(M159&lt;설정!$B$3,"baseline 수집 중",IF(N159="","정상",IF(N159&lt;=설정!$B$4,"낮음","정상"))))</f>
        <v/>
      </c>
      <c r="Q159" s="20"/>
      <c r="R159" s="18" t="str">
        <f aca="false">IF(J159="","",J159^2)</f>
        <v/>
      </c>
    </row>
    <row r="160" customFormat="false" ht="15" hidden="false" customHeight="false" outlineLevel="0" collapsed="false">
      <c r="A160" s="16"/>
      <c r="B160" s="17"/>
      <c r="C160" s="17"/>
      <c r="D160" s="17"/>
      <c r="E160" s="17"/>
      <c r="F160" s="17"/>
      <c r="G160" s="17"/>
      <c r="H160" s="17"/>
      <c r="I160" s="17"/>
      <c r="J160" s="18" t="str">
        <f aca="false">IF(COUNT(E160:I160)&lt;5,"",SUM(E160:I160))</f>
        <v/>
      </c>
      <c r="K160" s="18" t="str">
        <f aca="false">IF(J160="","",IF(M160&lt;설정!$B$3,"",ROUND(AVERAGEIFS($J$2:$J$1001,$B$2:$B$1001,B160,$A$2:$A$1001,"&lt;"&amp;A160,$A$2:$A$1001,"&gt;="&amp;(A160-설정!$B$2)),2)))</f>
        <v/>
      </c>
      <c r="L160" s="18" t="str">
        <f aca="false">IF(K160="","",ROUND(SQRT(MAX(0,(SUMIFS($R$2:$R$1001,$B$2:$B$1001,B160,$A$2:$A$1001,"&lt;"&amp;A160,$A$2:$A$1001,"&gt;="&amp;(A160-설정!$B$2))-M160*AVERAGEIFS($J$2:$J$1001,$B$2:$B$1001,B160,$A$2:$A$1001,"&lt;"&amp;A160,$A$2:$A$1001,"&gt;="&amp;(A160-설정!$B$2))^2)/(M160-1))),2))</f>
        <v/>
      </c>
      <c r="M160" s="18" t="str">
        <f aca="false">IF(J160="","",COUNTIFS($B$2:$B$1001,B160,$A$2:$A$1001,"&lt;"&amp;A160,$A$2:$A$1001,"&gt;="&amp;(A160-설정!$B$2),$J$2:$J$1001,"&gt;=0"))</f>
        <v/>
      </c>
      <c r="N160" s="18" t="str">
        <f aca="false">IF(K160="","",IF(L160=0,"",ROUND((J160-K160)/L160,2)))</f>
        <v/>
      </c>
      <c r="O160" s="19" t="str">
        <f aca="false">IF(J160="","",IF(MIN(F160,G160)&lt;=설정!$B$5,"예",""))</f>
        <v/>
      </c>
      <c r="P160" s="19" t="str">
        <f aca="false">IF(J160="","",IF(M160&lt;설정!$B$3,"baseline 수집 중",IF(N160="","정상",IF(N160&lt;=설정!$B$4,"낮음","정상"))))</f>
        <v/>
      </c>
      <c r="Q160" s="20"/>
      <c r="R160" s="18" t="str">
        <f aca="false">IF(J160="","",J160^2)</f>
        <v/>
      </c>
    </row>
    <row r="161" customFormat="false" ht="15" hidden="false" customHeight="false" outlineLevel="0" collapsed="false">
      <c r="A161" s="16"/>
      <c r="B161" s="17"/>
      <c r="C161" s="17"/>
      <c r="D161" s="17"/>
      <c r="E161" s="17"/>
      <c r="F161" s="17"/>
      <c r="G161" s="17"/>
      <c r="H161" s="17"/>
      <c r="I161" s="17"/>
      <c r="J161" s="18" t="str">
        <f aca="false">IF(COUNT(E161:I161)&lt;5,"",SUM(E161:I161))</f>
        <v/>
      </c>
      <c r="K161" s="18" t="str">
        <f aca="false">IF(J161="","",IF(M161&lt;설정!$B$3,"",ROUND(AVERAGEIFS($J$2:$J$1001,$B$2:$B$1001,B161,$A$2:$A$1001,"&lt;"&amp;A161,$A$2:$A$1001,"&gt;="&amp;(A161-설정!$B$2)),2)))</f>
        <v/>
      </c>
      <c r="L161" s="18" t="str">
        <f aca="false">IF(K161="","",ROUND(SQRT(MAX(0,(SUMIFS($R$2:$R$1001,$B$2:$B$1001,B161,$A$2:$A$1001,"&lt;"&amp;A161,$A$2:$A$1001,"&gt;="&amp;(A161-설정!$B$2))-M161*AVERAGEIFS($J$2:$J$1001,$B$2:$B$1001,B161,$A$2:$A$1001,"&lt;"&amp;A161,$A$2:$A$1001,"&gt;="&amp;(A161-설정!$B$2))^2)/(M161-1))),2))</f>
        <v/>
      </c>
      <c r="M161" s="18" t="str">
        <f aca="false">IF(J161="","",COUNTIFS($B$2:$B$1001,B161,$A$2:$A$1001,"&lt;"&amp;A161,$A$2:$A$1001,"&gt;="&amp;(A161-설정!$B$2),$J$2:$J$1001,"&gt;=0"))</f>
        <v/>
      </c>
      <c r="N161" s="18" t="str">
        <f aca="false">IF(K161="","",IF(L161=0,"",ROUND((J161-K161)/L161,2)))</f>
        <v/>
      </c>
      <c r="O161" s="19" t="str">
        <f aca="false">IF(J161="","",IF(MIN(F161,G161)&lt;=설정!$B$5,"예",""))</f>
        <v/>
      </c>
      <c r="P161" s="19" t="str">
        <f aca="false">IF(J161="","",IF(M161&lt;설정!$B$3,"baseline 수집 중",IF(N161="","정상",IF(N161&lt;=설정!$B$4,"낮음","정상"))))</f>
        <v/>
      </c>
      <c r="Q161" s="20"/>
      <c r="R161" s="18" t="str">
        <f aca="false">IF(J161="","",J161^2)</f>
        <v/>
      </c>
    </row>
    <row r="162" customFormat="false" ht="15" hidden="false" customHeight="false" outlineLevel="0" collapsed="false">
      <c r="A162" s="16"/>
      <c r="B162" s="17"/>
      <c r="C162" s="17"/>
      <c r="D162" s="17"/>
      <c r="E162" s="17"/>
      <c r="F162" s="17"/>
      <c r="G162" s="17"/>
      <c r="H162" s="17"/>
      <c r="I162" s="17"/>
      <c r="J162" s="18" t="str">
        <f aca="false">IF(COUNT(E162:I162)&lt;5,"",SUM(E162:I162))</f>
        <v/>
      </c>
      <c r="K162" s="18" t="str">
        <f aca="false">IF(J162="","",IF(M162&lt;설정!$B$3,"",ROUND(AVERAGEIFS($J$2:$J$1001,$B$2:$B$1001,B162,$A$2:$A$1001,"&lt;"&amp;A162,$A$2:$A$1001,"&gt;="&amp;(A162-설정!$B$2)),2)))</f>
        <v/>
      </c>
      <c r="L162" s="18" t="str">
        <f aca="false">IF(K162="","",ROUND(SQRT(MAX(0,(SUMIFS($R$2:$R$1001,$B$2:$B$1001,B162,$A$2:$A$1001,"&lt;"&amp;A162,$A$2:$A$1001,"&gt;="&amp;(A162-설정!$B$2))-M162*AVERAGEIFS($J$2:$J$1001,$B$2:$B$1001,B162,$A$2:$A$1001,"&lt;"&amp;A162,$A$2:$A$1001,"&gt;="&amp;(A162-설정!$B$2))^2)/(M162-1))),2))</f>
        <v/>
      </c>
      <c r="M162" s="18" t="str">
        <f aca="false">IF(J162="","",COUNTIFS($B$2:$B$1001,B162,$A$2:$A$1001,"&lt;"&amp;A162,$A$2:$A$1001,"&gt;="&amp;(A162-설정!$B$2),$J$2:$J$1001,"&gt;=0"))</f>
        <v/>
      </c>
      <c r="N162" s="18" t="str">
        <f aca="false">IF(K162="","",IF(L162=0,"",ROUND((J162-K162)/L162,2)))</f>
        <v/>
      </c>
      <c r="O162" s="19" t="str">
        <f aca="false">IF(J162="","",IF(MIN(F162,G162)&lt;=설정!$B$5,"예",""))</f>
        <v/>
      </c>
      <c r="P162" s="19" t="str">
        <f aca="false">IF(J162="","",IF(M162&lt;설정!$B$3,"baseline 수집 중",IF(N162="","정상",IF(N162&lt;=설정!$B$4,"낮음","정상"))))</f>
        <v/>
      </c>
      <c r="Q162" s="20"/>
      <c r="R162" s="18" t="str">
        <f aca="false">IF(J162="","",J162^2)</f>
        <v/>
      </c>
    </row>
    <row r="163" customFormat="false" ht="15" hidden="false" customHeight="false" outlineLevel="0" collapsed="false">
      <c r="A163" s="16"/>
      <c r="B163" s="17"/>
      <c r="C163" s="17"/>
      <c r="D163" s="17"/>
      <c r="E163" s="17"/>
      <c r="F163" s="17"/>
      <c r="G163" s="17"/>
      <c r="H163" s="17"/>
      <c r="I163" s="17"/>
      <c r="J163" s="18" t="str">
        <f aca="false">IF(COUNT(E163:I163)&lt;5,"",SUM(E163:I163))</f>
        <v/>
      </c>
      <c r="K163" s="18" t="str">
        <f aca="false">IF(J163="","",IF(M163&lt;설정!$B$3,"",ROUND(AVERAGEIFS($J$2:$J$1001,$B$2:$B$1001,B163,$A$2:$A$1001,"&lt;"&amp;A163,$A$2:$A$1001,"&gt;="&amp;(A163-설정!$B$2)),2)))</f>
        <v/>
      </c>
      <c r="L163" s="18" t="str">
        <f aca="false">IF(K163="","",ROUND(SQRT(MAX(0,(SUMIFS($R$2:$R$1001,$B$2:$B$1001,B163,$A$2:$A$1001,"&lt;"&amp;A163,$A$2:$A$1001,"&gt;="&amp;(A163-설정!$B$2))-M163*AVERAGEIFS($J$2:$J$1001,$B$2:$B$1001,B163,$A$2:$A$1001,"&lt;"&amp;A163,$A$2:$A$1001,"&gt;="&amp;(A163-설정!$B$2))^2)/(M163-1))),2))</f>
        <v/>
      </c>
      <c r="M163" s="18" t="str">
        <f aca="false">IF(J163="","",COUNTIFS($B$2:$B$1001,B163,$A$2:$A$1001,"&lt;"&amp;A163,$A$2:$A$1001,"&gt;="&amp;(A163-설정!$B$2),$J$2:$J$1001,"&gt;=0"))</f>
        <v/>
      </c>
      <c r="N163" s="18" t="str">
        <f aca="false">IF(K163="","",IF(L163=0,"",ROUND((J163-K163)/L163,2)))</f>
        <v/>
      </c>
      <c r="O163" s="19" t="str">
        <f aca="false">IF(J163="","",IF(MIN(F163,G163)&lt;=설정!$B$5,"예",""))</f>
        <v/>
      </c>
      <c r="P163" s="19" t="str">
        <f aca="false">IF(J163="","",IF(M163&lt;설정!$B$3,"baseline 수집 중",IF(N163="","정상",IF(N163&lt;=설정!$B$4,"낮음","정상"))))</f>
        <v/>
      </c>
      <c r="Q163" s="20"/>
      <c r="R163" s="18" t="str">
        <f aca="false">IF(J163="","",J163^2)</f>
        <v/>
      </c>
    </row>
    <row r="164" customFormat="false" ht="15" hidden="false" customHeight="false" outlineLevel="0" collapsed="false">
      <c r="A164" s="16"/>
      <c r="B164" s="17"/>
      <c r="C164" s="17"/>
      <c r="D164" s="17"/>
      <c r="E164" s="17"/>
      <c r="F164" s="17"/>
      <c r="G164" s="17"/>
      <c r="H164" s="17"/>
      <c r="I164" s="17"/>
      <c r="J164" s="18" t="str">
        <f aca="false">IF(COUNT(E164:I164)&lt;5,"",SUM(E164:I164))</f>
        <v/>
      </c>
      <c r="K164" s="18" t="str">
        <f aca="false">IF(J164="","",IF(M164&lt;설정!$B$3,"",ROUND(AVERAGEIFS($J$2:$J$1001,$B$2:$B$1001,B164,$A$2:$A$1001,"&lt;"&amp;A164,$A$2:$A$1001,"&gt;="&amp;(A164-설정!$B$2)),2)))</f>
        <v/>
      </c>
      <c r="L164" s="18" t="str">
        <f aca="false">IF(K164="","",ROUND(SQRT(MAX(0,(SUMIFS($R$2:$R$1001,$B$2:$B$1001,B164,$A$2:$A$1001,"&lt;"&amp;A164,$A$2:$A$1001,"&gt;="&amp;(A164-설정!$B$2))-M164*AVERAGEIFS($J$2:$J$1001,$B$2:$B$1001,B164,$A$2:$A$1001,"&lt;"&amp;A164,$A$2:$A$1001,"&gt;="&amp;(A164-설정!$B$2))^2)/(M164-1))),2))</f>
        <v/>
      </c>
      <c r="M164" s="18" t="str">
        <f aca="false">IF(J164="","",COUNTIFS($B$2:$B$1001,B164,$A$2:$A$1001,"&lt;"&amp;A164,$A$2:$A$1001,"&gt;="&amp;(A164-설정!$B$2),$J$2:$J$1001,"&gt;=0"))</f>
        <v/>
      </c>
      <c r="N164" s="18" t="str">
        <f aca="false">IF(K164="","",IF(L164=0,"",ROUND((J164-K164)/L164,2)))</f>
        <v/>
      </c>
      <c r="O164" s="19" t="str">
        <f aca="false">IF(J164="","",IF(MIN(F164,G164)&lt;=설정!$B$5,"예",""))</f>
        <v/>
      </c>
      <c r="P164" s="19" t="str">
        <f aca="false">IF(J164="","",IF(M164&lt;설정!$B$3,"baseline 수집 중",IF(N164="","정상",IF(N164&lt;=설정!$B$4,"낮음","정상"))))</f>
        <v/>
      </c>
      <c r="Q164" s="20"/>
      <c r="R164" s="18" t="str">
        <f aca="false">IF(J164="","",J164^2)</f>
        <v/>
      </c>
    </row>
    <row r="165" customFormat="false" ht="15" hidden="false" customHeight="false" outlineLevel="0" collapsed="false">
      <c r="A165" s="16"/>
      <c r="B165" s="17"/>
      <c r="C165" s="17"/>
      <c r="D165" s="17"/>
      <c r="E165" s="17"/>
      <c r="F165" s="17"/>
      <c r="G165" s="17"/>
      <c r="H165" s="17"/>
      <c r="I165" s="17"/>
      <c r="J165" s="18" t="str">
        <f aca="false">IF(COUNT(E165:I165)&lt;5,"",SUM(E165:I165))</f>
        <v/>
      </c>
      <c r="K165" s="18" t="str">
        <f aca="false">IF(J165="","",IF(M165&lt;설정!$B$3,"",ROUND(AVERAGEIFS($J$2:$J$1001,$B$2:$B$1001,B165,$A$2:$A$1001,"&lt;"&amp;A165,$A$2:$A$1001,"&gt;="&amp;(A165-설정!$B$2)),2)))</f>
        <v/>
      </c>
      <c r="L165" s="18" t="str">
        <f aca="false">IF(K165="","",ROUND(SQRT(MAX(0,(SUMIFS($R$2:$R$1001,$B$2:$B$1001,B165,$A$2:$A$1001,"&lt;"&amp;A165,$A$2:$A$1001,"&gt;="&amp;(A165-설정!$B$2))-M165*AVERAGEIFS($J$2:$J$1001,$B$2:$B$1001,B165,$A$2:$A$1001,"&lt;"&amp;A165,$A$2:$A$1001,"&gt;="&amp;(A165-설정!$B$2))^2)/(M165-1))),2))</f>
        <v/>
      </c>
      <c r="M165" s="18" t="str">
        <f aca="false">IF(J165="","",COUNTIFS($B$2:$B$1001,B165,$A$2:$A$1001,"&lt;"&amp;A165,$A$2:$A$1001,"&gt;="&amp;(A165-설정!$B$2),$J$2:$J$1001,"&gt;=0"))</f>
        <v/>
      </c>
      <c r="N165" s="18" t="str">
        <f aca="false">IF(K165="","",IF(L165=0,"",ROUND((J165-K165)/L165,2)))</f>
        <v/>
      </c>
      <c r="O165" s="19" t="str">
        <f aca="false">IF(J165="","",IF(MIN(F165,G165)&lt;=설정!$B$5,"예",""))</f>
        <v/>
      </c>
      <c r="P165" s="19" t="str">
        <f aca="false">IF(J165="","",IF(M165&lt;설정!$B$3,"baseline 수집 중",IF(N165="","정상",IF(N165&lt;=설정!$B$4,"낮음","정상"))))</f>
        <v/>
      </c>
      <c r="Q165" s="20"/>
      <c r="R165" s="18" t="str">
        <f aca="false">IF(J165="","",J165^2)</f>
        <v/>
      </c>
    </row>
    <row r="166" customFormat="false" ht="15" hidden="false" customHeight="false" outlineLevel="0" collapsed="false">
      <c r="A166" s="16"/>
      <c r="B166" s="17"/>
      <c r="C166" s="17"/>
      <c r="D166" s="17"/>
      <c r="E166" s="17"/>
      <c r="F166" s="17"/>
      <c r="G166" s="17"/>
      <c r="H166" s="17"/>
      <c r="I166" s="17"/>
      <c r="J166" s="18" t="str">
        <f aca="false">IF(COUNT(E166:I166)&lt;5,"",SUM(E166:I166))</f>
        <v/>
      </c>
      <c r="K166" s="18" t="str">
        <f aca="false">IF(J166="","",IF(M166&lt;설정!$B$3,"",ROUND(AVERAGEIFS($J$2:$J$1001,$B$2:$B$1001,B166,$A$2:$A$1001,"&lt;"&amp;A166,$A$2:$A$1001,"&gt;="&amp;(A166-설정!$B$2)),2)))</f>
        <v/>
      </c>
      <c r="L166" s="18" t="str">
        <f aca="false">IF(K166="","",ROUND(SQRT(MAX(0,(SUMIFS($R$2:$R$1001,$B$2:$B$1001,B166,$A$2:$A$1001,"&lt;"&amp;A166,$A$2:$A$1001,"&gt;="&amp;(A166-설정!$B$2))-M166*AVERAGEIFS($J$2:$J$1001,$B$2:$B$1001,B166,$A$2:$A$1001,"&lt;"&amp;A166,$A$2:$A$1001,"&gt;="&amp;(A166-설정!$B$2))^2)/(M166-1))),2))</f>
        <v/>
      </c>
      <c r="M166" s="18" t="str">
        <f aca="false">IF(J166="","",COUNTIFS($B$2:$B$1001,B166,$A$2:$A$1001,"&lt;"&amp;A166,$A$2:$A$1001,"&gt;="&amp;(A166-설정!$B$2),$J$2:$J$1001,"&gt;=0"))</f>
        <v/>
      </c>
      <c r="N166" s="18" t="str">
        <f aca="false">IF(K166="","",IF(L166=0,"",ROUND((J166-K166)/L166,2)))</f>
        <v/>
      </c>
      <c r="O166" s="19" t="str">
        <f aca="false">IF(J166="","",IF(MIN(F166,G166)&lt;=설정!$B$5,"예",""))</f>
        <v/>
      </c>
      <c r="P166" s="19" t="str">
        <f aca="false">IF(J166="","",IF(M166&lt;설정!$B$3,"baseline 수집 중",IF(N166="","정상",IF(N166&lt;=설정!$B$4,"낮음","정상"))))</f>
        <v/>
      </c>
      <c r="Q166" s="20"/>
      <c r="R166" s="18" t="str">
        <f aca="false">IF(J166="","",J166^2)</f>
        <v/>
      </c>
    </row>
    <row r="167" customFormat="false" ht="15" hidden="false" customHeight="false" outlineLevel="0" collapsed="false">
      <c r="A167" s="16"/>
      <c r="B167" s="17"/>
      <c r="C167" s="17"/>
      <c r="D167" s="17"/>
      <c r="E167" s="17"/>
      <c r="F167" s="17"/>
      <c r="G167" s="17"/>
      <c r="H167" s="17"/>
      <c r="I167" s="17"/>
      <c r="J167" s="18" t="str">
        <f aca="false">IF(COUNT(E167:I167)&lt;5,"",SUM(E167:I167))</f>
        <v/>
      </c>
      <c r="K167" s="18" t="str">
        <f aca="false">IF(J167="","",IF(M167&lt;설정!$B$3,"",ROUND(AVERAGEIFS($J$2:$J$1001,$B$2:$B$1001,B167,$A$2:$A$1001,"&lt;"&amp;A167,$A$2:$A$1001,"&gt;="&amp;(A167-설정!$B$2)),2)))</f>
        <v/>
      </c>
      <c r="L167" s="18" t="str">
        <f aca="false">IF(K167="","",ROUND(SQRT(MAX(0,(SUMIFS($R$2:$R$1001,$B$2:$B$1001,B167,$A$2:$A$1001,"&lt;"&amp;A167,$A$2:$A$1001,"&gt;="&amp;(A167-설정!$B$2))-M167*AVERAGEIFS($J$2:$J$1001,$B$2:$B$1001,B167,$A$2:$A$1001,"&lt;"&amp;A167,$A$2:$A$1001,"&gt;="&amp;(A167-설정!$B$2))^2)/(M167-1))),2))</f>
        <v/>
      </c>
      <c r="M167" s="18" t="str">
        <f aca="false">IF(J167="","",COUNTIFS($B$2:$B$1001,B167,$A$2:$A$1001,"&lt;"&amp;A167,$A$2:$A$1001,"&gt;="&amp;(A167-설정!$B$2),$J$2:$J$1001,"&gt;=0"))</f>
        <v/>
      </c>
      <c r="N167" s="18" t="str">
        <f aca="false">IF(K167="","",IF(L167=0,"",ROUND((J167-K167)/L167,2)))</f>
        <v/>
      </c>
      <c r="O167" s="19" t="str">
        <f aca="false">IF(J167="","",IF(MIN(F167,G167)&lt;=설정!$B$5,"예",""))</f>
        <v/>
      </c>
      <c r="P167" s="19" t="str">
        <f aca="false">IF(J167="","",IF(M167&lt;설정!$B$3,"baseline 수집 중",IF(N167="","정상",IF(N167&lt;=설정!$B$4,"낮음","정상"))))</f>
        <v/>
      </c>
      <c r="Q167" s="20"/>
      <c r="R167" s="18" t="str">
        <f aca="false">IF(J167="","",J167^2)</f>
        <v/>
      </c>
    </row>
    <row r="168" customFormat="false" ht="15" hidden="false" customHeight="false" outlineLevel="0" collapsed="false">
      <c r="A168" s="16"/>
      <c r="B168" s="17"/>
      <c r="C168" s="17"/>
      <c r="D168" s="17"/>
      <c r="E168" s="17"/>
      <c r="F168" s="17"/>
      <c r="G168" s="17"/>
      <c r="H168" s="17"/>
      <c r="I168" s="17"/>
      <c r="J168" s="18" t="str">
        <f aca="false">IF(COUNT(E168:I168)&lt;5,"",SUM(E168:I168))</f>
        <v/>
      </c>
      <c r="K168" s="18" t="str">
        <f aca="false">IF(J168="","",IF(M168&lt;설정!$B$3,"",ROUND(AVERAGEIFS($J$2:$J$1001,$B$2:$B$1001,B168,$A$2:$A$1001,"&lt;"&amp;A168,$A$2:$A$1001,"&gt;="&amp;(A168-설정!$B$2)),2)))</f>
        <v/>
      </c>
      <c r="L168" s="18" t="str">
        <f aca="false">IF(K168="","",ROUND(SQRT(MAX(0,(SUMIFS($R$2:$R$1001,$B$2:$B$1001,B168,$A$2:$A$1001,"&lt;"&amp;A168,$A$2:$A$1001,"&gt;="&amp;(A168-설정!$B$2))-M168*AVERAGEIFS($J$2:$J$1001,$B$2:$B$1001,B168,$A$2:$A$1001,"&lt;"&amp;A168,$A$2:$A$1001,"&gt;="&amp;(A168-설정!$B$2))^2)/(M168-1))),2))</f>
        <v/>
      </c>
      <c r="M168" s="18" t="str">
        <f aca="false">IF(J168="","",COUNTIFS($B$2:$B$1001,B168,$A$2:$A$1001,"&lt;"&amp;A168,$A$2:$A$1001,"&gt;="&amp;(A168-설정!$B$2),$J$2:$J$1001,"&gt;=0"))</f>
        <v/>
      </c>
      <c r="N168" s="18" t="str">
        <f aca="false">IF(K168="","",IF(L168=0,"",ROUND((J168-K168)/L168,2)))</f>
        <v/>
      </c>
      <c r="O168" s="19" t="str">
        <f aca="false">IF(J168="","",IF(MIN(F168,G168)&lt;=설정!$B$5,"예",""))</f>
        <v/>
      </c>
      <c r="P168" s="19" t="str">
        <f aca="false">IF(J168="","",IF(M168&lt;설정!$B$3,"baseline 수집 중",IF(N168="","정상",IF(N168&lt;=설정!$B$4,"낮음","정상"))))</f>
        <v/>
      </c>
      <c r="Q168" s="20"/>
      <c r="R168" s="18" t="str">
        <f aca="false">IF(J168="","",J168^2)</f>
        <v/>
      </c>
    </row>
    <row r="169" customFormat="false" ht="15" hidden="false" customHeight="false" outlineLevel="0" collapsed="false">
      <c r="A169" s="16"/>
      <c r="B169" s="17"/>
      <c r="C169" s="17"/>
      <c r="D169" s="17"/>
      <c r="E169" s="17"/>
      <c r="F169" s="17"/>
      <c r="G169" s="17"/>
      <c r="H169" s="17"/>
      <c r="I169" s="17"/>
      <c r="J169" s="18" t="str">
        <f aca="false">IF(COUNT(E169:I169)&lt;5,"",SUM(E169:I169))</f>
        <v/>
      </c>
      <c r="K169" s="18" t="str">
        <f aca="false">IF(J169="","",IF(M169&lt;설정!$B$3,"",ROUND(AVERAGEIFS($J$2:$J$1001,$B$2:$B$1001,B169,$A$2:$A$1001,"&lt;"&amp;A169,$A$2:$A$1001,"&gt;="&amp;(A169-설정!$B$2)),2)))</f>
        <v/>
      </c>
      <c r="L169" s="18" t="str">
        <f aca="false">IF(K169="","",ROUND(SQRT(MAX(0,(SUMIFS($R$2:$R$1001,$B$2:$B$1001,B169,$A$2:$A$1001,"&lt;"&amp;A169,$A$2:$A$1001,"&gt;="&amp;(A169-설정!$B$2))-M169*AVERAGEIFS($J$2:$J$1001,$B$2:$B$1001,B169,$A$2:$A$1001,"&lt;"&amp;A169,$A$2:$A$1001,"&gt;="&amp;(A169-설정!$B$2))^2)/(M169-1))),2))</f>
        <v/>
      </c>
      <c r="M169" s="18" t="str">
        <f aca="false">IF(J169="","",COUNTIFS($B$2:$B$1001,B169,$A$2:$A$1001,"&lt;"&amp;A169,$A$2:$A$1001,"&gt;="&amp;(A169-설정!$B$2),$J$2:$J$1001,"&gt;=0"))</f>
        <v/>
      </c>
      <c r="N169" s="18" t="str">
        <f aca="false">IF(K169="","",IF(L169=0,"",ROUND((J169-K169)/L169,2)))</f>
        <v/>
      </c>
      <c r="O169" s="19" t="str">
        <f aca="false">IF(J169="","",IF(MIN(F169,G169)&lt;=설정!$B$5,"예",""))</f>
        <v/>
      </c>
      <c r="P169" s="19" t="str">
        <f aca="false">IF(J169="","",IF(M169&lt;설정!$B$3,"baseline 수집 중",IF(N169="","정상",IF(N169&lt;=설정!$B$4,"낮음","정상"))))</f>
        <v/>
      </c>
      <c r="Q169" s="20"/>
      <c r="R169" s="18" t="str">
        <f aca="false">IF(J169="","",J169^2)</f>
        <v/>
      </c>
    </row>
    <row r="170" customFormat="false" ht="15" hidden="false" customHeight="false" outlineLevel="0" collapsed="false">
      <c r="A170" s="16"/>
      <c r="B170" s="17"/>
      <c r="C170" s="17"/>
      <c r="D170" s="17"/>
      <c r="E170" s="17"/>
      <c r="F170" s="17"/>
      <c r="G170" s="17"/>
      <c r="H170" s="17"/>
      <c r="I170" s="17"/>
      <c r="J170" s="18" t="str">
        <f aca="false">IF(COUNT(E170:I170)&lt;5,"",SUM(E170:I170))</f>
        <v/>
      </c>
      <c r="K170" s="18" t="str">
        <f aca="false">IF(J170="","",IF(M170&lt;설정!$B$3,"",ROUND(AVERAGEIFS($J$2:$J$1001,$B$2:$B$1001,B170,$A$2:$A$1001,"&lt;"&amp;A170,$A$2:$A$1001,"&gt;="&amp;(A170-설정!$B$2)),2)))</f>
        <v/>
      </c>
      <c r="L170" s="18" t="str">
        <f aca="false">IF(K170="","",ROUND(SQRT(MAX(0,(SUMIFS($R$2:$R$1001,$B$2:$B$1001,B170,$A$2:$A$1001,"&lt;"&amp;A170,$A$2:$A$1001,"&gt;="&amp;(A170-설정!$B$2))-M170*AVERAGEIFS($J$2:$J$1001,$B$2:$B$1001,B170,$A$2:$A$1001,"&lt;"&amp;A170,$A$2:$A$1001,"&gt;="&amp;(A170-설정!$B$2))^2)/(M170-1))),2))</f>
        <v/>
      </c>
      <c r="M170" s="18" t="str">
        <f aca="false">IF(J170="","",COUNTIFS($B$2:$B$1001,B170,$A$2:$A$1001,"&lt;"&amp;A170,$A$2:$A$1001,"&gt;="&amp;(A170-설정!$B$2),$J$2:$J$1001,"&gt;=0"))</f>
        <v/>
      </c>
      <c r="N170" s="18" t="str">
        <f aca="false">IF(K170="","",IF(L170=0,"",ROUND((J170-K170)/L170,2)))</f>
        <v/>
      </c>
      <c r="O170" s="19" t="str">
        <f aca="false">IF(J170="","",IF(MIN(F170,G170)&lt;=설정!$B$5,"예",""))</f>
        <v/>
      </c>
      <c r="P170" s="19" t="str">
        <f aca="false">IF(J170="","",IF(M170&lt;설정!$B$3,"baseline 수집 중",IF(N170="","정상",IF(N170&lt;=설정!$B$4,"낮음","정상"))))</f>
        <v/>
      </c>
      <c r="Q170" s="20"/>
      <c r="R170" s="18" t="str">
        <f aca="false">IF(J170="","",J170^2)</f>
        <v/>
      </c>
    </row>
    <row r="171" customFormat="false" ht="15" hidden="false" customHeight="false" outlineLevel="0" collapsed="false">
      <c r="A171" s="16"/>
      <c r="B171" s="17"/>
      <c r="C171" s="17"/>
      <c r="D171" s="17"/>
      <c r="E171" s="17"/>
      <c r="F171" s="17"/>
      <c r="G171" s="17"/>
      <c r="H171" s="17"/>
      <c r="I171" s="17"/>
      <c r="J171" s="18" t="str">
        <f aca="false">IF(COUNT(E171:I171)&lt;5,"",SUM(E171:I171))</f>
        <v/>
      </c>
      <c r="K171" s="18" t="str">
        <f aca="false">IF(J171="","",IF(M171&lt;설정!$B$3,"",ROUND(AVERAGEIFS($J$2:$J$1001,$B$2:$B$1001,B171,$A$2:$A$1001,"&lt;"&amp;A171,$A$2:$A$1001,"&gt;="&amp;(A171-설정!$B$2)),2)))</f>
        <v/>
      </c>
      <c r="L171" s="18" t="str">
        <f aca="false">IF(K171="","",ROUND(SQRT(MAX(0,(SUMIFS($R$2:$R$1001,$B$2:$B$1001,B171,$A$2:$A$1001,"&lt;"&amp;A171,$A$2:$A$1001,"&gt;="&amp;(A171-설정!$B$2))-M171*AVERAGEIFS($J$2:$J$1001,$B$2:$B$1001,B171,$A$2:$A$1001,"&lt;"&amp;A171,$A$2:$A$1001,"&gt;="&amp;(A171-설정!$B$2))^2)/(M171-1))),2))</f>
        <v/>
      </c>
      <c r="M171" s="18" t="str">
        <f aca="false">IF(J171="","",COUNTIFS($B$2:$B$1001,B171,$A$2:$A$1001,"&lt;"&amp;A171,$A$2:$A$1001,"&gt;="&amp;(A171-설정!$B$2),$J$2:$J$1001,"&gt;=0"))</f>
        <v/>
      </c>
      <c r="N171" s="18" t="str">
        <f aca="false">IF(K171="","",IF(L171=0,"",ROUND((J171-K171)/L171,2)))</f>
        <v/>
      </c>
      <c r="O171" s="19" t="str">
        <f aca="false">IF(J171="","",IF(MIN(F171,G171)&lt;=설정!$B$5,"예",""))</f>
        <v/>
      </c>
      <c r="P171" s="19" t="str">
        <f aca="false">IF(J171="","",IF(M171&lt;설정!$B$3,"baseline 수집 중",IF(N171="","정상",IF(N171&lt;=설정!$B$4,"낮음","정상"))))</f>
        <v/>
      </c>
      <c r="Q171" s="20"/>
      <c r="R171" s="18" t="str">
        <f aca="false">IF(J171="","",J171^2)</f>
        <v/>
      </c>
    </row>
    <row r="172" customFormat="false" ht="15" hidden="false" customHeight="false" outlineLevel="0" collapsed="false">
      <c r="A172" s="16"/>
      <c r="B172" s="17"/>
      <c r="C172" s="17"/>
      <c r="D172" s="17"/>
      <c r="E172" s="17"/>
      <c r="F172" s="17"/>
      <c r="G172" s="17"/>
      <c r="H172" s="17"/>
      <c r="I172" s="17"/>
      <c r="J172" s="18" t="str">
        <f aca="false">IF(COUNT(E172:I172)&lt;5,"",SUM(E172:I172))</f>
        <v/>
      </c>
      <c r="K172" s="18" t="str">
        <f aca="false">IF(J172="","",IF(M172&lt;설정!$B$3,"",ROUND(AVERAGEIFS($J$2:$J$1001,$B$2:$B$1001,B172,$A$2:$A$1001,"&lt;"&amp;A172,$A$2:$A$1001,"&gt;="&amp;(A172-설정!$B$2)),2)))</f>
        <v/>
      </c>
      <c r="L172" s="18" t="str">
        <f aca="false">IF(K172="","",ROUND(SQRT(MAX(0,(SUMIFS($R$2:$R$1001,$B$2:$B$1001,B172,$A$2:$A$1001,"&lt;"&amp;A172,$A$2:$A$1001,"&gt;="&amp;(A172-설정!$B$2))-M172*AVERAGEIFS($J$2:$J$1001,$B$2:$B$1001,B172,$A$2:$A$1001,"&lt;"&amp;A172,$A$2:$A$1001,"&gt;="&amp;(A172-설정!$B$2))^2)/(M172-1))),2))</f>
        <v/>
      </c>
      <c r="M172" s="18" t="str">
        <f aca="false">IF(J172="","",COUNTIFS($B$2:$B$1001,B172,$A$2:$A$1001,"&lt;"&amp;A172,$A$2:$A$1001,"&gt;="&amp;(A172-설정!$B$2),$J$2:$J$1001,"&gt;=0"))</f>
        <v/>
      </c>
      <c r="N172" s="18" t="str">
        <f aca="false">IF(K172="","",IF(L172=0,"",ROUND((J172-K172)/L172,2)))</f>
        <v/>
      </c>
      <c r="O172" s="19" t="str">
        <f aca="false">IF(J172="","",IF(MIN(F172,G172)&lt;=설정!$B$5,"예",""))</f>
        <v/>
      </c>
      <c r="P172" s="19" t="str">
        <f aca="false">IF(J172="","",IF(M172&lt;설정!$B$3,"baseline 수집 중",IF(N172="","정상",IF(N172&lt;=설정!$B$4,"낮음","정상"))))</f>
        <v/>
      </c>
      <c r="Q172" s="20"/>
      <c r="R172" s="18" t="str">
        <f aca="false">IF(J172="","",J172^2)</f>
        <v/>
      </c>
    </row>
    <row r="173" customFormat="false" ht="15" hidden="false" customHeight="false" outlineLevel="0" collapsed="false">
      <c r="A173" s="16"/>
      <c r="B173" s="17"/>
      <c r="C173" s="17"/>
      <c r="D173" s="17"/>
      <c r="E173" s="17"/>
      <c r="F173" s="17"/>
      <c r="G173" s="17"/>
      <c r="H173" s="17"/>
      <c r="I173" s="17"/>
      <c r="J173" s="18" t="str">
        <f aca="false">IF(COUNT(E173:I173)&lt;5,"",SUM(E173:I173))</f>
        <v/>
      </c>
      <c r="K173" s="18" t="str">
        <f aca="false">IF(J173="","",IF(M173&lt;설정!$B$3,"",ROUND(AVERAGEIFS($J$2:$J$1001,$B$2:$B$1001,B173,$A$2:$A$1001,"&lt;"&amp;A173,$A$2:$A$1001,"&gt;="&amp;(A173-설정!$B$2)),2)))</f>
        <v/>
      </c>
      <c r="L173" s="18" t="str">
        <f aca="false">IF(K173="","",ROUND(SQRT(MAX(0,(SUMIFS($R$2:$R$1001,$B$2:$B$1001,B173,$A$2:$A$1001,"&lt;"&amp;A173,$A$2:$A$1001,"&gt;="&amp;(A173-설정!$B$2))-M173*AVERAGEIFS($J$2:$J$1001,$B$2:$B$1001,B173,$A$2:$A$1001,"&lt;"&amp;A173,$A$2:$A$1001,"&gt;="&amp;(A173-설정!$B$2))^2)/(M173-1))),2))</f>
        <v/>
      </c>
      <c r="M173" s="18" t="str">
        <f aca="false">IF(J173="","",COUNTIFS($B$2:$B$1001,B173,$A$2:$A$1001,"&lt;"&amp;A173,$A$2:$A$1001,"&gt;="&amp;(A173-설정!$B$2),$J$2:$J$1001,"&gt;=0"))</f>
        <v/>
      </c>
      <c r="N173" s="18" t="str">
        <f aca="false">IF(K173="","",IF(L173=0,"",ROUND((J173-K173)/L173,2)))</f>
        <v/>
      </c>
      <c r="O173" s="19" t="str">
        <f aca="false">IF(J173="","",IF(MIN(F173,G173)&lt;=설정!$B$5,"예",""))</f>
        <v/>
      </c>
      <c r="P173" s="19" t="str">
        <f aca="false">IF(J173="","",IF(M173&lt;설정!$B$3,"baseline 수집 중",IF(N173="","정상",IF(N173&lt;=설정!$B$4,"낮음","정상"))))</f>
        <v/>
      </c>
      <c r="Q173" s="20"/>
      <c r="R173" s="18" t="str">
        <f aca="false">IF(J173="","",J173^2)</f>
        <v/>
      </c>
    </row>
    <row r="174" customFormat="false" ht="15" hidden="false" customHeight="false" outlineLevel="0" collapsed="false">
      <c r="A174" s="16"/>
      <c r="B174" s="17"/>
      <c r="C174" s="17"/>
      <c r="D174" s="17"/>
      <c r="E174" s="17"/>
      <c r="F174" s="17"/>
      <c r="G174" s="17"/>
      <c r="H174" s="17"/>
      <c r="I174" s="17"/>
      <c r="J174" s="18" t="str">
        <f aca="false">IF(COUNT(E174:I174)&lt;5,"",SUM(E174:I174))</f>
        <v/>
      </c>
      <c r="K174" s="18" t="str">
        <f aca="false">IF(J174="","",IF(M174&lt;설정!$B$3,"",ROUND(AVERAGEIFS($J$2:$J$1001,$B$2:$B$1001,B174,$A$2:$A$1001,"&lt;"&amp;A174,$A$2:$A$1001,"&gt;="&amp;(A174-설정!$B$2)),2)))</f>
        <v/>
      </c>
      <c r="L174" s="18" t="str">
        <f aca="false">IF(K174="","",ROUND(SQRT(MAX(0,(SUMIFS($R$2:$R$1001,$B$2:$B$1001,B174,$A$2:$A$1001,"&lt;"&amp;A174,$A$2:$A$1001,"&gt;="&amp;(A174-설정!$B$2))-M174*AVERAGEIFS($J$2:$J$1001,$B$2:$B$1001,B174,$A$2:$A$1001,"&lt;"&amp;A174,$A$2:$A$1001,"&gt;="&amp;(A174-설정!$B$2))^2)/(M174-1))),2))</f>
        <v/>
      </c>
      <c r="M174" s="18" t="str">
        <f aca="false">IF(J174="","",COUNTIFS($B$2:$B$1001,B174,$A$2:$A$1001,"&lt;"&amp;A174,$A$2:$A$1001,"&gt;="&amp;(A174-설정!$B$2),$J$2:$J$1001,"&gt;=0"))</f>
        <v/>
      </c>
      <c r="N174" s="18" t="str">
        <f aca="false">IF(K174="","",IF(L174=0,"",ROUND((J174-K174)/L174,2)))</f>
        <v/>
      </c>
      <c r="O174" s="19" t="str">
        <f aca="false">IF(J174="","",IF(MIN(F174,G174)&lt;=설정!$B$5,"예",""))</f>
        <v/>
      </c>
      <c r="P174" s="19" t="str">
        <f aca="false">IF(J174="","",IF(M174&lt;설정!$B$3,"baseline 수집 중",IF(N174="","정상",IF(N174&lt;=설정!$B$4,"낮음","정상"))))</f>
        <v/>
      </c>
      <c r="Q174" s="20"/>
      <c r="R174" s="18" t="str">
        <f aca="false">IF(J174="","",J174^2)</f>
        <v/>
      </c>
    </row>
    <row r="175" customFormat="false" ht="15" hidden="false" customHeight="false" outlineLevel="0" collapsed="false">
      <c r="A175" s="16"/>
      <c r="B175" s="17"/>
      <c r="C175" s="17"/>
      <c r="D175" s="17"/>
      <c r="E175" s="17"/>
      <c r="F175" s="17"/>
      <c r="G175" s="17"/>
      <c r="H175" s="17"/>
      <c r="I175" s="17"/>
      <c r="J175" s="18" t="str">
        <f aca="false">IF(COUNT(E175:I175)&lt;5,"",SUM(E175:I175))</f>
        <v/>
      </c>
      <c r="K175" s="18" t="str">
        <f aca="false">IF(J175="","",IF(M175&lt;설정!$B$3,"",ROUND(AVERAGEIFS($J$2:$J$1001,$B$2:$B$1001,B175,$A$2:$A$1001,"&lt;"&amp;A175,$A$2:$A$1001,"&gt;="&amp;(A175-설정!$B$2)),2)))</f>
        <v/>
      </c>
      <c r="L175" s="18" t="str">
        <f aca="false">IF(K175="","",ROUND(SQRT(MAX(0,(SUMIFS($R$2:$R$1001,$B$2:$B$1001,B175,$A$2:$A$1001,"&lt;"&amp;A175,$A$2:$A$1001,"&gt;="&amp;(A175-설정!$B$2))-M175*AVERAGEIFS($J$2:$J$1001,$B$2:$B$1001,B175,$A$2:$A$1001,"&lt;"&amp;A175,$A$2:$A$1001,"&gt;="&amp;(A175-설정!$B$2))^2)/(M175-1))),2))</f>
        <v/>
      </c>
      <c r="M175" s="18" t="str">
        <f aca="false">IF(J175="","",COUNTIFS($B$2:$B$1001,B175,$A$2:$A$1001,"&lt;"&amp;A175,$A$2:$A$1001,"&gt;="&amp;(A175-설정!$B$2),$J$2:$J$1001,"&gt;=0"))</f>
        <v/>
      </c>
      <c r="N175" s="18" t="str">
        <f aca="false">IF(K175="","",IF(L175=0,"",ROUND((J175-K175)/L175,2)))</f>
        <v/>
      </c>
      <c r="O175" s="19" t="str">
        <f aca="false">IF(J175="","",IF(MIN(F175,G175)&lt;=설정!$B$5,"예",""))</f>
        <v/>
      </c>
      <c r="P175" s="19" t="str">
        <f aca="false">IF(J175="","",IF(M175&lt;설정!$B$3,"baseline 수집 중",IF(N175="","정상",IF(N175&lt;=설정!$B$4,"낮음","정상"))))</f>
        <v/>
      </c>
      <c r="Q175" s="20"/>
      <c r="R175" s="18" t="str">
        <f aca="false">IF(J175="","",J175^2)</f>
        <v/>
      </c>
    </row>
    <row r="176" customFormat="false" ht="15" hidden="false" customHeight="false" outlineLevel="0" collapsed="false">
      <c r="A176" s="16"/>
      <c r="B176" s="17"/>
      <c r="C176" s="17"/>
      <c r="D176" s="17"/>
      <c r="E176" s="17"/>
      <c r="F176" s="17"/>
      <c r="G176" s="17"/>
      <c r="H176" s="17"/>
      <c r="I176" s="17"/>
      <c r="J176" s="18" t="str">
        <f aca="false">IF(COUNT(E176:I176)&lt;5,"",SUM(E176:I176))</f>
        <v/>
      </c>
      <c r="K176" s="18" t="str">
        <f aca="false">IF(J176="","",IF(M176&lt;설정!$B$3,"",ROUND(AVERAGEIFS($J$2:$J$1001,$B$2:$B$1001,B176,$A$2:$A$1001,"&lt;"&amp;A176,$A$2:$A$1001,"&gt;="&amp;(A176-설정!$B$2)),2)))</f>
        <v/>
      </c>
      <c r="L176" s="18" t="str">
        <f aca="false">IF(K176="","",ROUND(SQRT(MAX(0,(SUMIFS($R$2:$R$1001,$B$2:$B$1001,B176,$A$2:$A$1001,"&lt;"&amp;A176,$A$2:$A$1001,"&gt;="&amp;(A176-설정!$B$2))-M176*AVERAGEIFS($J$2:$J$1001,$B$2:$B$1001,B176,$A$2:$A$1001,"&lt;"&amp;A176,$A$2:$A$1001,"&gt;="&amp;(A176-설정!$B$2))^2)/(M176-1))),2))</f>
        <v/>
      </c>
      <c r="M176" s="18" t="str">
        <f aca="false">IF(J176="","",COUNTIFS($B$2:$B$1001,B176,$A$2:$A$1001,"&lt;"&amp;A176,$A$2:$A$1001,"&gt;="&amp;(A176-설정!$B$2),$J$2:$J$1001,"&gt;=0"))</f>
        <v/>
      </c>
      <c r="N176" s="18" t="str">
        <f aca="false">IF(K176="","",IF(L176=0,"",ROUND((J176-K176)/L176,2)))</f>
        <v/>
      </c>
      <c r="O176" s="19" t="str">
        <f aca="false">IF(J176="","",IF(MIN(F176,G176)&lt;=설정!$B$5,"예",""))</f>
        <v/>
      </c>
      <c r="P176" s="19" t="str">
        <f aca="false">IF(J176="","",IF(M176&lt;설정!$B$3,"baseline 수집 중",IF(N176="","정상",IF(N176&lt;=설정!$B$4,"낮음","정상"))))</f>
        <v/>
      </c>
      <c r="Q176" s="20"/>
      <c r="R176" s="18" t="str">
        <f aca="false">IF(J176="","",J176^2)</f>
        <v/>
      </c>
    </row>
    <row r="177" customFormat="false" ht="15" hidden="false" customHeight="false" outlineLevel="0" collapsed="false">
      <c r="A177" s="16"/>
      <c r="B177" s="17"/>
      <c r="C177" s="17"/>
      <c r="D177" s="17"/>
      <c r="E177" s="17"/>
      <c r="F177" s="17"/>
      <c r="G177" s="17"/>
      <c r="H177" s="17"/>
      <c r="I177" s="17"/>
      <c r="J177" s="18" t="str">
        <f aca="false">IF(COUNT(E177:I177)&lt;5,"",SUM(E177:I177))</f>
        <v/>
      </c>
      <c r="K177" s="18" t="str">
        <f aca="false">IF(J177="","",IF(M177&lt;설정!$B$3,"",ROUND(AVERAGEIFS($J$2:$J$1001,$B$2:$B$1001,B177,$A$2:$A$1001,"&lt;"&amp;A177,$A$2:$A$1001,"&gt;="&amp;(A177-설정!$B$2)),2)))</f>
        <v/>
      </c>
      <c r="L177" s="18" t="str">
        <f aca="false">IF(K177="","",ROUND(SQRT(MAX(0,(SUMIFS($R$2:$R$1001,$B$2:$B$1001,B177,$A$2:$A$1001,"&lt;"&amp;A177,$A$2:$A$1001,"&gt;="&amp;(A177-설정!$B$2))-M177*AVERAGEIFS($J$2:$J$1001,$B$2:$B$1001,B177,$A$2:$A$1001,"&lt;"&amp;A177,$A$2:$A$1001,"&gt;="&amp;(A177-설정!$B$2))^2)/(M177-1))),2))</f>
        <v/>
      </c>
      <c r="M177" s="18" t="str">
        <f aca="false">IF(J177="","",COUNTIFS($B$2:$B$1001,B177,$A$2:$A$1001,"&lt;"&amp;A177,$A$2:$A$1001,"&gt;="&amp;(A177-설정!$B$2),$J$2:$J$1001,"&gt;=0"))</f>
        <v/>
      </c>
      <c r="N177" s="18" t="str">
        <f aca="false">IF(K177="","",IF(L177=0,"",ROUND((J177-K177)/L177,2)))</f>
        <v/>
      </c>
      <c r="O177" s="19" t="str">
        <f aca="false">IF(J177="","",IF(MIN(F177,G177)&lt;=설정!$B$5,"예",""))</f>
        <v/>
      </c>
      <c r="P177" s="19" t="str">
        <f aca="false">IF(J177="","",IF(M177&lt;설정!$B$3,"baseline 수집 중",IF(N177="","정상",IF(N177&lt;=설정!$B$4,"낮음","정상"))))</f>
        <v/>
      </c>
      <c r="Q177" s="20"/>
      <c r="R177" s="18" t="str">
        <f aca="false">IF(J177="","",J177^2)</f>
        <v/>
      </c>
    </row>
    <row r="178" customFormat="false" ht="15" hidden="false" customHeight="false" outlineLevel="0" collapsed="false">
      <c r="A178" s="16"/>
      <c r="B178" s="17"/>
      <c r="C178" s="17"/>
      <c r="D178" s="17"/>
      <c r="E178" s="17"/>
      <c r="F178" s="17"/>
      <c r="G178" s="17"/>
      <c r="H178" s="17"/>
      <c r="I178" s="17"/>
      <c r="J178" s="18" t="str">
        <f aca="false">IF(COUNT(E178:I178)&lt;5,"",SUM(E178:I178))</f>
        <v/>
      </c>
      <c r="K178" s="18" t="str">
        <f aca="false">IF(J178="","",IF(M178&lt;설정!$B$3,"",ROUND(AVERAGEIFS($J$2:$J$1001,$B$2:$B$1001,B178,$A$2:$A$1001,"&lt;"&amp;A178,$A$2:$A$1001,"&gt;="&amp;(A178-설정!$B$2)),2)))</f>
        <v/>
      </c>
      <c r="L178" s="18" t="str">
        <f aca="false">IF(K178="","",ROUND(SQRT(MAX(0,(SUMIFS($R$2:$R$1001,$B$2:$B$1001,B178,$A$2:$A$1001,"&lt;"&amp;A178,$A$2:$A$1001,"&gt;="&amp;(A178-설정!$B$2))-M178*AVERAGEIFS($J$2:$J$1001,$B$2:$B$1001,B178,$A$2:$A$1001,"&lt;"&amp;A178,$A$2:$A$1001,"&gt;="&amp;(A178-설정!$B$2))^2)/(M178-1))),2))</f>
        <v/>
      </c>
      <c r="M178" s="18" t="str">
        <f aca="false">IF(J178="","",COUNTIFS($B$2:$B$1001,B178,$A$2:$A$1001,"&lt;"&amp;A178,$A$2:$A$1001,"&gt;="&amp;(A178-설정!$B$2),$J$2:$J$1001,"&gt;=0"))</f>
        <v/>
      </c>
      <c r="N178" s="18" t="str">
        <f aca="false">IF(K178="","",IF(L178=0,"",ROUND((J178-K178)/L178,2)))</f>
        <v/>
      </c>
      <c r="O178" s="19" t="str">
        <f aca="false">IF(J178="","",IF(MIN(F178,G178)&lt;=설정!$B$5,"예",""))</f>
        <v/>
      </c>
      <c r="P178" s="19" t="str">
        <f aca="false">IF(J178="","",IF(M178&lt;설정!$B$3,"baseline 수집 중",IF(N178="","정상",IF(N178&lt;=설정!$B$4,"낮음","정상"))))</f>
        <v/>
      </c>
      <c r="Q178" s="20"/>
      <c r="R178" s="18" t="str">
        <f aca="false">IF(J178="","",J178^2)</f>
        <v/>
      </c>
    </row>
    <row r="179" customFormat="false" ht="15" hidden="false" customHeight="false" outlineLevel="0" collapsed="false">
      <c r="A179" s="16"/>
      <c r="B179" s="17"/>
      <c r="C179" s="17"/>
      <c r="D179" s="17"/>
      <c r="E179" s="17"/>
      <c r="F179" s="17"/>
      <c r="G179" s="17"/>
      <c r="H179" s="17"/>
      <c r="I179" s="17"/>
      <c r="J179" s="18" t="str">
        <f aca="false">IF(COUNT(E179:I179)&lt;5,"",SUM(E179:I179))</f>
        <v/>
      </c>
      <c r="K179" s="18" t="str">
        <f aca="false">IF(J179="","",IF(M179&lt;설정!$B$3,"",ROUND(AVERAGEIFS($J$2:$J$1001,$B$2:$B$1001,B179,$A$2:$A$1001,"&lt;"&amp;A179,$A$2:$A$1001,"&gt;="&amp;(A179-설정!$B$2)),2)))</f>
        <v/>
      </c>
      <c r="L179" s="18" t="str">
        <f aca="false">IF(K179="","",ROUND(SQRT(MAX(0,(SUMIFS($R$2:$R$1001,$B$2:$B$1001,B179,$A$2:$A$1001,"&lt;"&amp;A179,$A$2:$A$1001,"&gt;="&amp;(A179-설정!$B$2))-M179*AVERAGEIFS($J$2:$J$1001,$B$2:$B$1001,B179,$A$2:$A$1001,"&lt;"&amp;A179,$A$2:$A$1001,"&gt;="&amp;(A179-설정!$B$2))^2)/(M179-1))),2))</f>
        <v/>
      </c>
      <c r="M179" s="18" t="str">
        <f aca="false">IF(J179="","",COUNTIFS($B$2:$B$1001,B179,$A$2:$A$1001,"&lt;"&amp;A179,$A$2:$A$1001,"&gt;="&amp;(A179-설정!$B$2),$J$2:$J$1001,"&gt;=0"))</f>
        <v/>
      </c>
      <c r="N179" s="18" t="str">
        <f aca="false">IF(K179="","",IF(L179=0,"",ROUND((J179-K179)/L179,2)))</f>
        <v/>
      </c>
      <c r="O179" s="19" t="str">
        <f aca="false">IF(J179="","",IF(MIN(F179,G179)&lt;=설정!$B$5,"예",""))</f>
        <v/>
      </c>
      <c r="P179" s="19" t="str">
        <f aca="false">IF(J179="","",IF(M179&lt;설정!$B$3,"baseline 수집 중",IF(N179="","정상",IF(N179&lt;=설정!$B$4,"낮음","정상"))))</f>
        <v/>
      </c>
      <c r="Q179" s="20"/>
      <c r="R179" s="18" t="str">
        <f aca="false">IF(J179="","",J179^2)</f>
        <v/>
      </c>
    </row>
    <row r="180" customFormat="false" ht="15" hidden="false" customHeight="false" outlineLevel="0" collapsed="false">
      <c r="A180" s="16"/>
      <c r="B180" s="17"/>
      <c r="C180" s="17"/>
      <c r="D180" s="17"/>
      <c r="E180" s="17"/>
      <c r="F180" s="17"/>
      <c r="G180" s="17"/>
      <c r="H180" s="17"/>
      <c r="I180" s="17"/>
      <c r="J180" s="18" t="str">
        <f aca="false">IF(COUNT(E180:I180)&lt;5,"",SUM(E180:I180))</f>
        <v/>
      </c>
      <c r="K180" s="18" t="str">
        <f aca="false">IF(J180="","",IF(M180&lt;설정!$B$3,"",ROUND(AVERAGEIFS($J$2:$J$1001,$B$2:$B$1001,B180,$A$2:$A$1001,"&lt;"&amp;A180,$A$2:$A$1001,"&gt;="&amp;(A180-설정!$B$2)),2)))</f>
        <v/>
      </c>
      <c r="L180" s="18" t="str">
        <f aca="false">IF(K180="","",ROUND(SQRT(MAX(0,(SUMIFS($R$2:$R$1001,$B$2:$B$1001,B180,$A$2:$A$1001,"&lt;"&amp;A180,$A$2:$A$1001,"&gt;="&amp;(A180-설정!$B$2))-M180*AVERAGEIFS($J$2:$J$1001,$B$2:$B$1001,B180,$A$2:$A$1001,"&lt;"&amp;A180,$A$2:$A$1001,"&gt;="&amp;(A180-설정!$B$2))^2)/(M180-1))),2))</f>
        <v/>
      </c>
      <c r="M180" s="18" t="str">
        <f aca="false">IF(J180="","",COUNTIFS($B$2:$B$1001,B180,$A$2:$A$1001,"&lt;"&amp;A180,$A$2:$A$1001,"&gt;="&amp;(A180-설정!$B$2),$J$2:$J$1001,"&gt;=0"))</f>
        <v/>
      </c>
      <c r="N180" s="18" t="str">
        <f aca="false">IF(K180="","",IF(L180=0,"",ROUND((J180-K180)/L180,2)))</f>
        <v/>
      </c>
      <c r="O180" s="19" t="str">
        <f aca="false">IF(J180="","",IF(MIN(F180,G180)&lt;=설정!$B$5,"예",""))</f>
        <v/>
      </c>
      <c r="P180" s="19" t="str">
        <f aca="false">IF(J180="","",IF(M180&lt;설정!$B$3,"baseline 수집 중",IF(N180="","정상",IF(N180&lt;=설정!$B$4,"낮음","정상"))))</f>
        <v/>
      </c>
      <c r="Q180" s="20"/>
      <c r="R180" s="18" t="str">
        <f aca="false">IF(J180="","",J180^2)</f>
        <v/>
      </c>
    </row>
    <row r="181" customFormat="false" ht="15" hidden="false" customHeight="false" outlineLevel="0" collapsed="false">
      <c r="A181" s="16"/>
      <c r="B181" s="17"/>
      <c r="C181" s="17"/>
      <c r="D181" s="17"/>
      <c r="E181" s="17"/>
      <c r="F181" s="17"/>
      <c r="G181" s="17"/>
      <c r="H181" s="17"/>
      <c r="I181" s="17"/>
      <c r="J181" s="18" t="str">
        <f aca="false">IF(COUNT(E181:I181)&lt;5,"",SUM(E181:I181))</f>
        <v/>
      </c>
      <c r="K181" s="18" t="str">
        <f aca="false">IF(J181="","",IF(M181&lt;설정!$B$3,"",ROUND(AVERAGEIFS($J$2:$J$1001,$B$2:$B$1001,B181,$A$2:$A$1001,"&lt;"&amp;A181,$A$2:$A$1001,"&gt;="&amp;(A181-설정!$B$2)),2)))</f>
        <v/>
      </c>
      <c r="L181" s="18" t="str">
        <f aca="false">IF(K181="","",ROUND(SQRT(MAX(0,(SUMIFS($R$2:$R$1001,$B$2:$B$1001,B181,$A$2:$A$1001,"&lt;"&amp;A181,$A$2:$A$1001,"&gt;="&amp;(A181-설정!$B$2))-M181*AVERAGEIFS($J$2:$J$1001,$B$2:$B$1001,B181,$A$2:$A$1001,"&lt;"&amp;A181,$A$2:$A$1001,"&gt;="&amp;(A181-설정!$B$2))^2)/(M181-1))),2))</f>
        <v/>
      </c>
      <c r="M181" s="18" t="str">
        <f aca="false">IF(J181="","",COUNTIFS($B$2:$B$1001,B181,$A$2:$A$1001,"&lt;"&amp;A181,$A$2:$A$1001,"&gt;="&amp;(A181-설정!$B$2),$J$2:$J$1001,"&gt;=0"))</f>
        <v/>
      </c>
      <c r="N181" s="18" t="str">
        <f aca="false">IF(K181="","",IF(L181=0,"",ROUND((J181-K181)/L181,2)))</f>
        <v/>
      </c>
      <c r="O181" s="19" t="str">
        <f aca="false">IF(J181="","",IF(MIN(F181,G181)&lt;=설정!$B$5,"예",""))</f>
        <v/>
      </c>
      <c r="P181" s="19" t="str">
        <f aca="false">IF(J181="","",IF(M181&lt;설정!$B$3,"baseline 수집 중",IF(N181="","정상",IF(N181&lt;=설정!$B$4,"낮음","정상"))))</f>
        <v/>
      </c>
      <c r="Q181" s="20"/>
      <c r="R181" s="18" t="str">
        <f aca="false">IF(J181="","",J181^2)</f>
        <v/>
      </c>
    </row>
    <row r="182" customFormat="false" ht="15" hidden="false" customHeight="false" outlineLevel="0" collapsed="false">
      <c r="A182" s="16"/>
      <c r="B182" s="17"/>
      <c r="C182" s="17"/>
      <c r="D182" s="17"/>
      <c r="E182" s="17"/>
      <c r="F182" s="17"/>
      <c r="G182" s="17"/>
      <c r="H182" s="17"/>
      <c r="I182" s="17"/>
      <c r="J182" s="18" t="str">
        <f aca="false">IF(COUNT(E182:I182)&lt;5,"",SUM(E182:I182))</f>
        <v/>
      </c>
      <c r="K182" s="18" t="str">
        <f aca="false">IF(J182="","",IF(M182&lt;설정!$B$3,"",ROUND(AVERAGEIFS($J$2:$J$1001,$B$2:$B$1001,B182,$A$2:$A$1001,"&lt;"&amp;A182,$A$2:$A$1001,"&gt;="&amp;(A182-설정!$B$2)),2)))</f>
        <v/>
      </c>
      <c r="L182" s="18" t="str">
        <f aca="false">IF(K182="","",ROUND(SQRT(MAX(0,(SUMIFS($R$2:$R$1001,$B$2:$B$1001,B182,$A$2:$A$1001,"&lt;"&amp;A182,$A$2:$A$1001,"&gt;="&amp;(A182-설정!$B$2))-M182*AVERAGEIFS($J$2:$J$1001,$B$2:$B$1001,B182,$A$2:$A$1001,"&lt;"&amp;A182,$A$2:$A$1001,"&gt;="&amp;(A182-설정!$B$2))^2)/(M182-1))),2))</f>
        <v/>
      </c>
      <c r="M182" s="18" t="str">
        <f aca="false">IF(J182="","",COUNTIFS($B$2:$B$1001,B182,$A$2:$A$1001,"&lt;"&amp;A182,$A$2:$A$1001,"&gt;="&amp;(A182-설정!$B$2),$J$2:$J$1001,"&gt;=0"))</f>
        <v/>
      </c>
      <c r="N182" s="18" t="str">
        <f aca="false">IF(K182="","",IF(L182=0,"",ROUND((J182-K182)/L182,2)))</f>
        <v/>
      </c>
      <c r="O182" s="19" t="str">
        <f aca="false">IF(J182="","",IF(MIN(F182,G182)&lt;=설정!$B$5,"예",""))</f>
        <v/>
      </c>
      <c r="P182" s="19" t="str">
        <f aca="false">IF(J182="","",IF(M182&lt;설정!$B$3,"baseline 수집 중",IF(N182="","정상",IF(N182&lt;=설정!$B$4,"낮음","정상"))))</f>
        <v/>
      </c>
      <c r="Q182" s="20"/>
      <c r="R182" s="18" t="str">
        <f aca="false">IF(J182="","",J182^2)</f>
        <v/>
      </c>
    </row>
    <row r="183" customFormat="false" ht="15" hidden="false" customHeight="false" outlineLevel="0" collapsed="false">
      <c r="A183" s="16"/>
      <c r="B183" s="17"/>
      <c r="C183" s="17"/>
      <c r="D183" s="17"/>
      <c r="E183" s="17"/>
      <c r="F183" s="17"/>
      <c r="G183" s="17"/>
      <c r="H183" s="17"/>
      <c r="I183" s="17"/>
      <c r="J183" s="18" t="str">
        <f aca="false">IF(COUNT(E183:I183)&lt;5,"",SUM(E183:I183))</f>
        <v/>
      </c>
      <c r="K183" s="18" t="str">
        <f aca="false">IF(J183="","",IF(M183&lt;설정!$B$3,"",ROUND(AVERAGEIFS($J$2:$J$1001,$B$2:$B$1001,B183,$A$2:$A$1001,"&lt;"&amp;A183,$A$2:$A$1001,"&gt;="&amp;(A183-설정!$B$2)),2)))</f>
        <v/>
      </c>
      <c r="L183" s="18" t="str">
        <f aca="false">IF(K183="","",ROUND(SQRT(MAX(0,(SUMIFS($R$2:$R$1001,$B$2:$B$1001,B183,$A$2:$A$1001,"&lt;"&amp;A183,$A$2:$A$1001,"&gt;="&amp;(A183-설정!$B$2))-M183*AVERAGEIFS($J$2:$J$1001,$B$2:$B$1001,B183,$A$2:$A$1001,"&lt;"&amp;A183,$A$2:$A$1001,"&gt;="&amp;(A183-설정!$B$2))^2)/(M183-1))),2))</f>
        <v/>
      </c>
      <c r="M183" s="18" t="str">
        <f aca="false">IF(J183="","",COUNTIFS($B$2:$B$1001,B183,$A$2:$A$1001,"&lt;"&amp;A183,$A$2:$A$1001,"&gt;="&amp;(A183-설정!$B$2),$J$2:$J$1001,"&gt;=0"))</f>
        <v/>
      </c>
      <c r="N183" s="18" t="str">
        <f aca="false">IF(K183="","",IF(L183=0,"",ROUND((J183-K183)/L183,2)))</f>
        <v/>
      </c>
      <c r="O183" s="19" t="str">
        <f aca="false">IF(J183="","",IF(MIN(F183,G183)&lt;=설정!$B$5,"예",""))</f>
        <v/>
      </c>
      <c r="P183" s="19" t="str">
        <f aca="false">IF(J183="","",IF(M183&lt;설정!$B$3,"baseline 수집 중",IF(N183="","정상",IF(N183&lt;=설정!$B$4,"낮음","정상"))))</f>
        <v/>
      </c>
      <c r="Q183" s="20"/>
      <c r="R183" s="18" t="str">
        <f aca="false">IF(J183="","",J183^2)</f>
        <v/>
      </c>
    </row>
    <row r="184" customFormat="false" ht="15" hidden="false" customHeight="false" outlineLevel="0" collapsed="false">
      <c r="A184" s="16"/>
      <c r="B184" s="17"/>
      <c r="C184" s="17"/>
      <c r="D184" s="17"/>
      <c r="E184" s="17"/>
      <c r="F184" s="17"/>
      <c r="G184" s="17"/>
      <c r="H184" s="17"/>
      <c r="I184" s="17"/>
      <c r="J184" s="18" t="str">
        <f aca="false">IF(COUNT(E184:I184)&lt;5,"",SUM(E184:I184))</f>
        <v/>
      </c>
      <c r="K184" s="18" t="str">
        <f aca="false">IF(J184="","",IF(M184&lt;설정!$B$3,"",ROUND(AVERAGEIFS($J$2:$J$1001,$B$2:$B$1001,B184,$A$2:$A$1001,"&lt;"&amp;A184,$A$2:$A$1001,"&gt;="&amp;(A184-설정!$B$2)),2)))</f>
        <v/>
      </c>
      <c r="L184" s="18" t="str">
        <f aca="false">IF(K184="","",ROUND(SQRT(MAX(0,(SUMIFS($R$2:$R$1001,$B$2:$B$1001,B184,$A$2:$A$1001,"&lt;"&amp;A184,$A$2:$A$1001,"&gt;="&amp;(A184-설정!$B$2))-M184*AVERAGEIFS($J$2:$J$1001,$B$2:$B$1001,B184,$A$2:$A$1001,"&lt;"&amp;A184,$A$2:$A$1001,"&gt;="&amp;(A184-설정!$B$2))^2)/(M184-1))),2))</f>
        <v/>
      </c>
      <c r="M184" s="18" t="str">
        <f aca="false">IF(J184="","",COUNTIFS($B$2:$B$1001,B184,$A$2:$A$1001,"&lt;"&amp;A184,$A$2:$A$1001,"&gt;="&amp;(A184-설정!$B$2),$J$2:$J$1001,"&gt;=0"))</f>
        <v/>
      </c>
      <c r="N184" s="18" t="str">
        <f aca="false">IF(K184="","",IF(L184=0,"",ROUND((J184-K184)/L184,2)))</f>
        <v/>
      </c>
      <c r="O184" s="19" t="str">
        <f aca="false">IF(J184="","",IF(MIN(F184,G184)&lt;=설정!$B$5,"예",""))</f>
        <v/>
      </c>
      <c r="P184" s="19" t="str">
        <f aca="false">IF(J184="","",IF(M184&lt;설정!$B$3,"baseline 수집 중",IF(N184="","정상",IF(N184&lt;=설정!$B$4,"낮음","정상"))))</f>
        <v/>
      </c>
      <c r="Q184" s="20"/>
      <c r="R184" s="18" t="str">
        <f aca="false">IF(J184="","",J184^2)</f>
        <v/>
      </c>
    </row>
    <row r="185" customFormat="false" ht="15" hidden="false" customHeight="false" outlineLevel="0" collapsed="false">
      <c r="A185" s="16"/>
      <c r="B185" s="17"/>
      <c r="C185" s="17"/>
      <c r="D185" s="17"/>
      <c r="E185" s="17"/>
      <c r="F185" s="17"/>
      <c r="G185" s="17"/>
      <c r="H185" s="17"/>
      <c r="I185" s="17"/>
      <c r="J185" s="18" t="str">
        <f aca="false">IF(COUNT(E185:I185)&lt;5,"",SUM(E185:I185))</f>
        <v/>
      </c>
      <c r="K185" s="18" t="str">
        <f aca="false">IF(J185="","",IF(M185&lt;설정!$B$3,"",ROUND(AVERAGEIFS($J$2:$J$1001,$B$2:$B$1001,B185,$A$2:$A$1001,"&lt;"&amp;A185,$A$2:$A$1001,"&gt;="&amp;(A185-설정!$B$2)),2)))</f>
        <v/>
      </c>
      <c r="L185" s="18" t="str">
        <f aca="false">IF(K185="","",ROUND(SQRT(MAX(0,(SUMIFS($R$2:$R$1001,$B$2:$B$1001,B185,$A$2:$A$1001,"&lt;"&amp;A185,$A$2:$A$1001,"&gt;="&amp;(A185-설정!$B$2))-M185*AVERAGEIFS($J$2:$J$1001,$B$2:$B$1001,B185,$A$2:$A$1001,"&lt;"&amp;A185,$A$2:$A$1001,"&gt;="&amp;(A185-설정!$B$2))^2)/(M185-1))),2))</f>
        <v/>
      </c>
      <c r="M185" s="18" t="str">
        <f aca="false">IF(J185="","",COUNTIFS($B$2:$B$1001,B185,$A$2:$A$1001,"&lt;"&amp;A185,$A$2:$A$1001,"&gt;="&amp;(A185-설정!$B$2),$J$2:$J$1001,"&gt;=0"))</f>
        <v/>
      </c>
      <c r="N185" s="18" t="str">
        <f aca="false">IF(K185="","",IF(L185=0,"",ROUND((J185-K185)/L185,2)))</f>
        <v/>
      </c>
      <c r="O185" s="19" t="str">
        <f aca="false">IF(J185="","",IF(MIN(F185,G185)&lt;=설정!$B$5,"예",""))</f>
        <v/>
      </c>
      <c r="P185" s="19" t="str">
        <f aca="false">IF(J185="","",IF(M185&lt;설정!$B$3,"baseline 수집 중",IF(N185="","정상",IF(N185&lt;=설정!$B$4,"낮음","정상"))))</f>
        <v/>
      </c>
      <c r="Q185" s="20"/>
      <c r="R185" s="18" t="str">
        <f aca="false">IF(J185="","",J185^2)</f>
        <v/>
      </c>
    </row>
    <row r="186" customFormat="false" ht="15" hidden="false" customHeight="false" outlineLevel="0" collapsed="false">
      <c r="A186" s="16"/>
      <c r="B186" s="17"/>
      <c r="C186" s="17"/>
      <c r="D186" s="17"/>
      <c r="E186" s="17"/>
      <c r="F186" s="17"/>
      <c r="G186" s="17"/>
      <c r="H186" s="17"/>
      <c r="I186" s="17"/>
      <c r="J186" s="18" t="str">
        <f aca="false">IF(COUNT(E186:I186)&lt;5,"",SUM(E186:I186))</f>
        <v/>
      </c>
      <c r="K186" s="18" t="str">
        <f aca="false">IF(J186="","",IF(M186&lt;설정!$B$3,"",ROUND(AVERAGEIFS($J$2:$J$1001,$B$2:$B$1001,B186,$A$2:$A$1001,"&lt;"&amp;A186,$A$2:$A$1001,"&gt;="&amp;(A186-설정!$B$2)),2)))</f>
        <v/>
      </c>
      <c r="L186" s="18" t="str">
        <f aca="false">IF(K186="","",ROUND(SQRT(MAX(0,(SUMIFS($R$2:$R$1001,$B$2:$B$1001,B186,$A$2:$A$1001,"&lt;"&amp;A186,$A$2:$A$1001,"&gt;="&amp;(A186-설정!$B$2))-M186*AVERAGEIFS($J$2:$J$1001,$B$2:$B$1001,B186,$A$2:$A$1001,"&lt;"&amp;A186,$A$2:$A$1001,"&gt;="&amp;(A186-설정!$B$2))^2)/(M186-1))),2))</f>
        <v/>
      </c>
      <c r="M186" s="18" t="str">
        <f aca="false">IF(J186="","",COUNTIFS($B$2:$B$1001,B186,$A$2:$A$1001,"&lt;"&amp;A186,$A$2:$A$1001,"&gt;="&amp;(A186-설정!$B$2),$J$2:$J$1001,"&gt;=0"))</f>
        <v/>
      </c>
      <c r="N186" s="18" t="str">
        <f aca="false">IF(K186="","",IF(L186=0,"",ROUND((J186-K186)/L186,2)))</f>
        <v/>
      </c>
      <c r="O186" s="19" t="str">
        <f aca="false">IF(J186="","",IF(MIN(F186,G186)&lt;=설정!$B$5,"예",""))</f>
        <v/>
      </c>
      <c r="P186" s="19" t="str">
        <f aca="false">IF(J186="","",IF(M186&lt;설정!$B$3,"baseline 수집 중",IF(N186="","정상",IF(N186&lt;=설정!$B$4,"낮음","정상"))))</f>
        <v/>
      </c>
      <c r="Q186" s="20"/>
      <c r="R186" s="18" t="str">
        <f aca="false">IF(J186="","",J186^2)</f>
        <v/>
      </c>
    </row>
    <row r="187" customFormat="false" ht="15" hidden="false" customHeight="false" outlineLevel="0" collapsed="false">
      <c r="A187" s="16"/>
      <c r="B187" s="17"/>
      <c r="C187" s="17"/>
      <c r="D187" s="17"/>
      <c r="E187" s="17"/>
      <c r="F187" s="17"/>
      <c r="G187" s="17"/>
      <c r="H187" s="17"/>
      <c r="I187" s="17"/>
      <c r="J187" s="18" t="str">
        <f aca="false">IF(COUNT(E187:I187)&lt;5,"",SUM(E187:I187))</f>
        <v/>
      </c>
      <c r="K187" s="18" t="str">
        <f aca="false">IF(J187="","",IF(M187&lt;설정!$B$3,"",ROUND(AVERAGEIFS($J$2:$J$1001,$B$2:$B$1001,B187,$A$2:$A$1001,"&lt;"&amp;A187,$A$2:$A$1001,"&gt;="&amp;(A187-설정!$B$2)),2)))</f>
        <v/>
      </c>
      <c r="L187" s="18" t="str">
        <f aca="false">IF(K187="","",ROUND(SQRT(MAX(0,(SUMIFS($R$2:$R$1001,$B$2:$B$1001,B187,$A$2:$A$1001,"&lt;"&amp;A187,$A$2:$A$1001,"&gt;="&amp;(A187-설정!$B$2))-M187*AVERAGEIFS($J$2:$J$1001,$B$2:$B$1001,B187,$A$2:$A$1001,"&lt;"&amp;A187,$A$2:$A$1001,"&gt;="&amp;(A187-설정!$B$2))^2)/(M187-1))),2))</f>
        <v/>
      </c>
      <c r="M187" s="18" t="str">
        <f aca="false">IF(J187="","",COUNTIFS($B$2:$B$1001,B187,$A$2:$A$1001,"&lt;"&amp;A187,$A$2:$A$1001,"&gt;="&amp;(A187-설정!$B$2),$J$2:$J$1001,"&gt;=0"))</f>
        <v/>
      </c>
      <c r="N187" s="18" t="str">
        <f aca="false">IF(K187="","",IF(L187=0,"",ROUND((J187-K187)/L187,2)))</f>
        <v/>
      </c>
      <c r="O187" s="19" t="str">
        <f aca="false">IF(J187="","",IF(MIN(F187,G187)&lt;=설정!$B$5,"예",""))</f>
        <v/>
      </c>
      <c r="P187" s="19" t="str">
        <f aca="false">IF(J187="","",IF(M187&lt;설정!$B$3,"baseline 수집 중",IF(N187="","정상",IF(N187&lt;=설정!$B$4,"낮음","정상"))))</f>
        <v/>
      </c>
      <c r="Q187" s="20"/>
      <c r="R187" s="18" t="str">
        <f aca="false">IF(J187="","",J187^2)</f>
        <v/>
      </c>
    </row>
    <row r="188" customFormat="false" ht="15" hidden="false" customHeight="false" outlineLevel="0" collapsed="false">
      <c r="A188" s="16"/>
      <c r="B188" s="17"/>
      <c r="C188" s="17"/>
      <c r="D188" s="17"/>
      <c r="E188" s="17"/>
      <c r="F188" s="17"/>
      <c r="G188" s="17"/>
      <c r="H188" s="17"/>
      <c r="I188" s="17"/>
      <c r="J188" s="18" t="str">
        <f aca="false">IF(COUNT(E188:I188)&lt;5,"",SUM(E188:I188))</f>
        <v/>
      </c>
      <c r="K188" s="18" t="str">
        <f aca="false">IF(J188="","",IF(M188&lt;설정!$B$3,"",ROUND(AVERAGEIFS($J$2:$J$1001,$B$2:$B$1001,B188,$A$2:$A$1001,"&lt;"&amp;A188,$A$2:$A$1001,"&gt;="&amp;(A188-설정!$B$2)),2)))</f>
        <v/>
      </c>
      <c r="L188" s="18" t="str">
        <f aca="false">IF(K188="","",ROUND(SQRT(MAX(0,(SUMIFS($R$2:$R$1001,$B$2:$B$1001,B188,$A$2:$A$1001,"&lt;"&amp;A188,$A$2:$A$1001,"&gt;="&amp;(A188-설정!$B$2))-M188*AVERAGEIFS($J$2:$J$1001,$B$2:$B$1001,B188,$A$2:$A$1001,"&lt;"&amp;A188,$A$2:$A$1001,"&gt;="&amp;(A188-설정!$B$2))^2)/(M188-1))),2))</f>
        <v/>
      </c>
      <c r="M188" s="18" t="str">
        <f aca="false">IF(J188="","",COUNTIFS($B$2:$B$1001,B188,$A$2:$A$1001,"&lt;"&amp;A188,$A$2:$A$1001,"&gt;="&amp;(A188-설정!$B$2),$J$2:$J$1001,"&gt;=0"))</f>
        <v/>
      </c>
      <c r="N188" s="18" t="str">
        <f aca="false">IF(K188="","",IF(L188=0,"",ROUND((J188-K188)/L188,2)))</f>
        <v/>
      </c>
      <c r="O188" s="19" t="str">
        <f aca="false">IF(J188="","",IF(MIN(F188,G188)&lt;=설정!$B$5,"예",""))</f>
        <v/>
      </c>
      <c r="P188" s="19" t="str">
        <f aca="false">IF(J188="","",IF(M188&lt;설정!$B$3,"baseline 수집 중",IF(N188="","정상",IF(N188&lt;=설정!$B$4,"낮음","정상"))))</f>
        <v/>
      </c>
      <c r="Q188" s="20"/>
      <c r="R188" s="18" t="str">
        <f aca="false">IF(J188="","",J188^2)</f>
        <v/>
      </c>
    </row>
    <row r="189" customFormat="false" ht="15" hidden="false" customHeight="false" outlineLevel="0" collapsed="false">
      <c r="A189" s="16"/>
      <c r="B189" s="17"/>
      <c r="C189" s="17"/>
      <c r="D189" s="17"/>
      <c r="E189" s="17"/>
      <c r="F189" s="17"/>
      <c r="G189" s="17"/>
      <c r="H189" s="17"/>
      <c r="I189" s="17"/>
      <c r="J189" s="18" t="str">
        <f aca="false">IF(COUNT(E189:I189)&lt;5,"",SUM(E189:I189))</f>
        <v/>
      </c>
      <c r="K189" s="18" t="str">
        <f aca="false">IF(J189="","",IF(M189&lt;설정!$B$3,"",ROUND(AVERAGEIFS($J$2:$J$1001,$B$2:$B$1001,B189,$A$2:$A$1001,"&lt;"&amp;A189,$A$2:$A$1001,"&gt;="&amp;(A189-설정!$B$2)),2)))</f>
        <v/>
      </c>
      <c r="L189" s="18" t="str">
        <f aca="false">IF(K189="","",ROUND(SQRT(MAX(0,(SUMIFS($R$2:$R$1001,$B$2:$B$1001,B189,$A$2:$A$1001,"&lt;"&amp;A189,$A$2:$A$1001,"&gt;="&amp;(A189-설정!$B$2))-M189*AVERAGEIFS($J$2:$J$1001,$B$2:$B$1001,B189,$A$2:$A$1001,"&lt;"&amp;A189,$A$2:$A$1001,"&gt;="&amp;(A189-설정!$B$2))^2)/(M189-1))),2))</f>
        <v/>
      </c>
      <c r="M189" s="18" t="str">
        <f aca="false">IF(J189="","",COUNTIFS($B$2:$B$1001,B189,$A$2:$A$1001,"&lt;"&amp;A189,$A$2:$A$1001,"&gt;="&amp;(A189-설정!$B$2),$J$2:$J$1001,"&gt;=0"))</f>
        <v/>
      </c>
      <c r="N189" s="18" t="str">
        <f aca="false">IF(K189="","",IF(L189=0,"",ROUND((J189-K189)/L189,2)))</f>
        <v/>
      </c>
      <c r="O189" s="19" t="str">
        <f aca="false">IF(J189="","",IF(MIN(F189,G189)&lt;=설정!$B$5,"예",""))</f>
        <v/>
      </c>
      <c r="P189" s="19" t="str">
        <f aca="false">IF(J189="","",IF(M189&lt;설정!$B$3,"baseline 수집 중",IF(N189="","정상",IF(N189&lt;=설정!$B$4,"낮음","정상"))))</f>
        <v/>
      </c>
      <c r="Q189" s="20"/>
      <c r="R189" s="18" t="str">
        <f aca="false">IF(J189="","",J189^2)</f>
        <v/>
      </c>
    </row>
    <row r="190" customFormat="false" ht="15" hidden="false" customHeight="false" outlineLevel="0" collapsed="false">
      <c r="A190" s="16"/>
      <c r="B190" s="17"/>
      <c r="C190" s="17"/>
      <c r="D190" s="17"/>
      <c r="E190" s="17"/>
      <c r="F190" s="17"/>
      <c r="G190" s="17"/>
      <c r="H190" s="17"/>
      <c r="I190" s="17"/>
      <c r="J190" s="18" t="str">
        <f aca="false">IF(COUNT(E190:I190)&lt;5,"",SUM(E190:I190))</f>
        <v/>
      </c>
      <c r="K190" s="18" t="str">
        <f aca="false">IF(J190="","",IF(M190&lt;설정!$B$3,"",ROUND(AVERAGEIFS($J$2:$J$1001,$B$2:$B$1001,B190,$A$2:$A$1001,"&lt;"&amp;A190,$A$2:$A$1001,"&gt;="&amp;(A190-설정!$B$2)),2)))</f>
        <v/>
      </c>
      <c r="L190" s="18" t="str">
        <f aca="false">IF(K190="","",ROUND(SQRT(MAX(0,(SUMIFS($R$2:$R$1001,$B$2:$B$1001,B190,$A$2:$A$1001,"&lt;"&amp;A190,$A$2:$A$1001,"&gt;="&amp;(A190-설정!$B$2))-M190*AVERAGEIFS($J$2:$J$1001,$B$2:$B$1001,B190,$A$2:$A$1001,"&lt;"&amp;A190,$A$2:$A$1001,"&gt;="&amp;(A190-설정!$B$2))^2)/(M190-1))),2))</f>
        <v/>
      </c>
      <c r="M190" s="18" t="str">
        <f aca="false">IF(J190="","",COUNTIFS($B$2:$B$1001,B190,$A$2:$A$1001,"&lt;"&amp;A190,$A$2:$A$1001,"&gt;="&amp;(A190-설정!$B$2),$J$2:$J$1001,"&gt;=0"))</f>
        <v/>
      </c>
      <c r="N190" s="18" t="str">
        <f aca="false">IF(K190="","",IF(L190=0,"",ROUND((J190-K190)/L190,2)))</f>
        <v/>
      </c>
      <c r="O190" s="19" t="str">
        <f aca="false">IF(J190="","",IF(MIN(F190,G190)&lt;=설정!$B$5,"예",""))</f>
        <v/>
      </c>
      <c r="P190" s="19" t="str">
        <f aca="false">IF(J190="","",IF(M190&lt;설정!$B$3,"baseline 수집 중",IF(N190="","정상",IF(N190&lt;=설정!$B$4,"낮음","정상"))))</f>
        <v/>
      </c>
      <c r="Q190" s="20"/>
      <c r="R190" s="18" t="str">
        <f aca="false">IF(J190="","",J190^2)</f>
        <v/>
      </c>
    </row>
    <row r="191" customFormat="false" ht="15" hidden="false" customHeight="false" outlineLevel="0" collapsed="false">
      <c r="A191" s="16"/>
      <c r="B191" s="17"/>
      <c r="C191" s="17"/>
      <c r="D191" s="17"/>
      <c r="E191" s="17"/>
      <c r="F191" s="17"/>
      <c r="G191" s="17"/>
      <c r="H191" s="17"/>
      <c r="I191" s="17"/>
      <c r="J191" s="18" t="str">
        <f aca="false">IF(COUNT(E191:I191)&lt;5,"",SUM(E191:I191))</f>
        <v/>
      </c>
      <c r="K191" s="18" t="str">
        <f aca="false">IF(J191="","",IF(M191&lt;설정!$B$3,"",ROUND(AVERAGEIFS($J$2:$J$1001,$B$2:$B$1001,B191,$A$2:$A$1001,"&lt;"&amp;A191,$A$2:$A$1001,"&gt;="&amp;(A191-설정!$B$2)),2)))</f>
        <v/>
      </c>
      <c r="L191" s="18" t="str">
        <f aca="false">IF(K191="","",ROUND(SQRT(MAX(0,(SUMIFS($R$2:$R$1001,$B$2:$B$1001,B191,$A$2:$A$1001,"&lt;"&amp;A191,$A$2:$A$1001,"&gt;="&amp;(A191-설정!$B$2))-M191*AVERAGEIFS($J$2:$J$1001,$B$2:$B$1001,B191,$A$2:$A$1001,"&lt;"&amp;A191,$A$2:$A$1001,"&gt;="&amp;(A191-설정!$B$2))^2)/(M191-1))),2))</f>
        <v/>
      </c>
      <c r="M191" s="18" t="str">
        <f aca="false">IF(J191="","",COUNTIFS($B$2:$B$1001,B191,$A$2:$A$1001,"&lt;"&amp;A191,$A$2:$A$1001,"&gt;="&amp;(A191-설정!$B$2),$J$2:$J$1001,"&gt;=0"))</f>
        <v/>
      </c>
      <c r="N191" s="18" t="str">
        <f aca="false">IF(K191="","",IF(L191=0,"",ROUND((J191-K191)/L191,2)))</f>
        <v/>
      </c>
      <c r="O191" s="19" t="str">
        <f aca="false">IF(J191="","",IF(MIN(F191,G191)&lt;=설정!$B$5,"예",""))</f>
        <v/>
      </c>
      <c r="P191" s="19" t="str">
        <f aca="false">IF(J191="","",IF(M191&lt;설정!$B$3,"baseline 수집 중",IF(N191="","정상",IF(N191&lt;=설정!$B$4,"낮음","정상"))))</f>
        <v/>
      </c>
      <c r="Q191" s="20"/>
      <c r="R191" s="18" t="str">
        <f aca="false">IF(J191="","",J191^2)</f>
        <v/>
      </c>
    </row>
    <row r="192" customFormat="false" ht="15" hidden="false" customHeight="false" outlineLevel="0" collapsed="false">
      <c r="A192" s="16"/>
      <c r="B192" s="17"/>
      <c r="C192" s="17"/>
      <c r="D192" s="17"/>
      <c r="E192" s="17"/>
      <c r="F192" s="17"/>
      <c r="G192" s="17"/>
      <c r="H192" s="17"/>
      <c r="I192" s="17"/>
      <c r="J192" s="18" t="str">
        <f aca="false">IF(COUNT(E192:I192)&lt;5,"",SUM(E192:I192))</f>
        <v/>
      </c>
      <c r="K192" s="18" t="str">
        <f aca="false">IF(J192="","",IF(M192&lt;설정!$B$3,"",ROUND(AVERAGEIFS($J$2:$J$1001,$B$2:$B$1001,B192,$A$2:$A$1001,"&lt;"&amp;A192,$A$2:$A$1001,"&gt;="&amp;(A192-설정!$B$2)),2)))</f>
        <v/>
      </c>
      <c r="L192" s="18" t="str">
        <f aca="false">IF(K192="","",ROUND(SQRT(MAX(0,(SUMIFS($R$2:$R$1001,$B$2:$B$1001,B192,$A$2:$A$1001,"&lt;"&amp;A192,$A$2:$A$1001,"&gt;="&amp;(A192-설정!$B$2))-M192*AVERAGEIFS($J$2:$J$1001,$B$2:$B$1001,B192,$A$2:$A$1001,"&lt;"&amp;A192,$A$2:$A$1001,"&gt;="&amp;(A192-설정!$B$2))^2)/(M192-1))),2))</f>
        <v/>
      </c>
      <c r="M192" s="18" t="str">
        <f aca="false">IF(J192="","",COUNTIFS($B$2:$B$1001,B192,$A$2:$A$1001,"&lt;"&amp;A192,$A$2:$A$1001,"&gt;="&amp;(A192-설정!$B$2),$J$2:$J$1001,"&gt;=0"))</f>
        <v/>
      </c>
      <c r="N192" s="18" t="str">
        <f aca="false">IF(K192="","",IF(L192=0,"",ROUND((J192-K192)/L192,2)))</f>
        <v/>
      </c>
      <c r="O192" s="19" t="str">
        <f aca="false">IF(J192="","",IF(MIN(F192,G192)&lt;=설정!$B$5,"예",""))</f>
        <v/>
      </c>
      <c r="P192" s="19" t="str">
        <f aca="false">IF(J192="","",IF(M192&lt;설정!$B$3,"baseline 수집 중",IF(N192="","정상",IF(N192&lt;=설정!$B$4,"낮음","정상"))))</f>
        <v/>
      </c>
      <c r="Q192" s="20"/>
      <c r="R192" s="18" t="str">
        <f aca="false">IF(J192="","",J192^2)</f>
        <v/>
      </c>
    </row>
    <row r="193" customFormat="false" ht="15" hidden="false" customHeight="false" outlineLevel="0" collapsed="false">
      <c r="A193" s="16"/>
      <c r="B193" s="17"/>
      <c r="C193" s="17"/>
      <c r="D193" s="17"/>
      <c r="E193" s="17"/>
      <c r="F193" s="17"/>
      <c r="G193" s="17"/>
      <c r="H193" s="17"/>
      <c r="I193" s="17"/>
      <c r="J193" s="18" t="str">
        <f aca="false">IF(COUNT(E193:I193)&lt;5,"",SUM(E193:I193))</f>
        <v/>
      </c>
      <c r="K193" s="18" t="str">
        <f aca="false">IF(J193="","",IF(M193&lt;설정!$B$3,"",ROUND(AVERAGEIFS($J$2:$J$1001,$B$2:$B$1001,B193,$A$2:$A$1001,"&lt;"&amp;A193,$A$2:$A$1001,"&gt;="&amp;(A193-설정!$B$2)),2)))</f>
        <v/>
      </c>
      <c r="L193" s="18" t="str">
        <f aca="false">IF(K193="","",ROUND(SQRT(MAX(0,(SUMIFS($R$2:$R$1001,$B$2:$B$1001,B193,$A$2:$A$1001,"&lt;"&amp;A193,$A$2:$A$1001,"&gt;="&amp;(A193-설정!$B$2))-M193*AVERAGEIFS($J$2:$J$1001,$B$2:$B$1001,B193,$A$2:$A$1001,"&lt;"&amp;A193,$A$2:$A$1001,"&gt;="&amp;(A193-설정!$B$2))^2)/(M193-1))),2))</f>
        <v/>
      </c>
      <c r="M193" s="18" t="str">
        <f aca="false">IF(J193="","",COUNTIFS($B$2:$B$1001,B193,$A$2:$A$1001,"&lt;"&amp;A193,$A$2:$A$1001,"&gt;="&amp;(A193-설정!$B$2),$J$2:$J$1001,"&gt;=0"))</f>
        <v/>
      </c>
      <c r="N193" s="18" t="str">
        <f aca="false">IF(K193="","",IF(L193=0,"",ROUND((J193-K193)/L193,2)))</f>
        <v/>
      </c>
      <c r="O193" s="19" t="str">
        <f aca="false">IF(J193="","",IF(MIN(F193,G193)&lt;=설정!$B$5,"예",""))</f>
        <v/>
      </c>
      <c r="P193" s="19" t="str">
        <f aca="false">IF(J193="","",IF(M193&lt;설정!$B$3,"baseline 수집 중",IF(N193="","정상",IF(N193&lt;=설정!$B$4,"낮음","정상"))))</f>
        <v/>
      </c>
      <c r="Q193" s="20"/>
      <c r="R193" s="18" t="str">
        <f aca="false">IF(J193="","",J193^2)</f>
        <v/>
      </c>
    </row>
    <row r="194" customFormat="false" ht="15" hidden="false" customHeight="false" outlineLevel="0" collapsed="false">
      <c r="A194" s="16"/>
      <c r="B194" s="17"/>
      <c r="C194" s="17"/>
      <c r="D194" s="17"/>
      <c r="E194" s="17"/>
      <c r="F194" s="17"/>
      <c r="G194" s="17"/>
      <c r="H194" s="17"/>
      <c r="I194" s="17"/>
      <c r="J194" s="18" t="str">
        <f aca="false">IF(COUNT(E194:I194)&lt;5,"",SUM(E194:I194))</f>
        <v/>
      </c>
      <c r="K194" s="18" t="str">
        <f aca="false">IF(J194="","",IF(M194&lt;설정!$B$3,"",ROUND(AVERAGEIFS($J$2:$J$1001,$B$2:$B$1001,B194,$A$2:$A$1001,"&lt;"&amp;A194,$A$2:$A$1001,"&gt;="&amp;(A194-설정!$B$2)),2)))</f>
        <v/>
      </c>
      <c r="L194" s="18" t="str">
        <f aca="false">IF(K194="","",ROUND(SQRT(MAX(0,(SUMIFS($R$2:$R$1001,$B$2:$B$1001,B194,$A$2:$A$1001,"&lt;"&amp;A194,$A$2:$A$1001,"&gt;="&amp;(A194-설정!$B$2))-M194*AVERAGEIFS($J$2:$J$1001,$B$2:$B$1001,B194,$A$2:$A$1001,"&lt;"&amp;A194,$A$2:$A$1001,"&gt;="&amp;(A194-설정!$B$2))^2)/(M194-1))),2))</f>
        <v/>
      </c>
      <c r="M194" s="18" t="str">
        <f aca="false">IF(J194="","",COUNTIFS($B$2:$B$1001,B194,$A$2:$A$1001,"&lt;"&amp;A194,$A$2:$A$1001,"&gt;="&amp;(A194-설정!$B$2),$J$2:$J$1001,"&gt;=0"))</f>
        <v/>
      </c>
      <c r="N194" s="18" t="str">
        <f aca="false">IF(K194="","",IF(L194=0,"",ROUND((J194-K194)/L194,2)))</f>
        <v/>
      </c>
      <c r="O194" s="19" t="str">
        <f aca="false">IF(J194="","",IF(MIN(F194,G194)&lt;=설정!$B$5,"예",""))</f>
        <v/>
      </c>
      <c r="P194" s="19" t="str">
        <f aca="false">IF(J194="","",IF(M194&lt;설정!$B$3,"baseline 수집 중",IF(N194="","정상",IF(N194&lt;=설정!$B$4,"낮음","정상"))))</f>
        <v/>
      </c>
      <c r="Q194" s="20"/>
      <c r="R194" s="18" t="str">
        <f aca="false">IF(J194="","",J194^2)</f>
        <v/>
      </c>
    </row>
    <row r="195" customFormat="false" ht="15" hidden="false" customHeight="false" outlineLevel="0" collapsed="false">
      <c r="A195" s="16"/>
      <c r="B195" s="17"/>
      <c r="C195" s="17"/>
      <c r="D195" s="17"/>
      <c r="E195" s="17"/>
      <c r="F195" s="17"/>
      <c r="G195" s="17"/>
      <c r="H195" s="17"/>
      <c r="I195" s="17"/>
      <c r="J195" s="18" t="str">
        <f aca="false">IF(COUNT(E195:I195)&lt;5,"",SUM(E195:I195))</f>
        <v/>
      </c>
      <c r="K195" s="18" t="str">
        <f aca="false">IF(J195="","",IF(M195&lt;설정!$B$3,"",ROUND(AVERAGEIFS($J$2:$J$1001,$B$2:$B$1001,B195,$A$2:$A$1001,"&lt;"&amp;A195,$A$2:$A$1001,"&gt;="&amp;(A195-설정!$B$2)),2)))</f>
        <v/>
      </c>
      <c r="L195" s="18" t="str">
        <f aca="false">IF(K195="","",ROUND(SQRT(MAX(0,(SUMIFS($R$2:$R$1001,$B$2:$B$1001,B195,$A$2:$A$1001,"&lt;"&amp;A195,$A$2:$A$1001,"&gt;="&amp;(A195-설정!$B$2))-M195*AVERAGEIFS($J$2:$J$1001,$B$2:$B$1001,B195,$A$2:$A$1001,"&lt;"&amp;A195,$A$2:$A$1001,"&gt;="&amp;(A195-설정!$B$2))^2)/(M195-1))),2))</f>
        <v/>
      </c>
      <c r="M195" s="18" t="str">
        <f aca="false">IF(J195="","",COUNTIFS($B$2:$B$1001,B195,$A$2:$A$1001,"&lt;"&amp;A195,$A$2:$A$1001,"&gt;="&amp;(A195-설정!$B$2),$J$2:$J$1001,"&gt;=0"))</f>
        <v/>
      </c>
      <c r="N195" s="18" t="str">
        <f aca="false">IF(K195="","",IF(L195=0,"",ROUND((J195-K195)/L195,2)))</f>
        <v/>
      </c>
      <c r="O195" s="19" t="str">
        <f aca="false">IF(J195="","",IF(MIN(F195,G195)&lt;=설정!$B$5,"예",""))</f>
        <v/>
      </c>
      <c r="P195" s="19" t="str">
        <f aca="false">IF(J195="","",IF(M195&lt;설정!$B$3,"baseline 수집 중",IF(N195="","정상",IF(N195&lt;=설정!$B$4,"낮음","정상"))))</f>
        <v/>
      </c>
      <c r="Q195" s="20"/>
      <c r="R195" s="18" t="str">
        <f aca="false">IF(J195="","",J195^2)</f>
        <v/>
      </c>
    </row>
    <row r="196" customFormat="false" ht="15" hidden="false" customHeight="false" outlineLevel="0" collapsed="false">
      <c r="A196" s="16"/>
      <c r="B196" s="17"/>
      <c r="C196" s="17"/>
      <c r="D196" s="17"/>
      <c r="E196" s="17"/>
      <c r="F196" s="17"/>
      <c r="G196" s="17"/>
      <c r="H196" s="17"/>
      <c r="I196" s="17"/>
      <c r="J196" s="18" t="str">
        <f aca="false">IF(COUNT(E196:I196)&lt;5,"",SUM(E196:I196))</f>
        <v/>
      </c>
      <c r="K196" s="18" t="str">
        <f aca="false">IF(J196="","",IF(M196&lt;설정!$B$3,"",ROUND(AVERAGEIFS($J$2:$J$1001,$B$2:$B$1001,B196,$A$2:$A$1001,"&lt;"&amp;A196,$A$2:$A$1001,"&gt;="&amp;(A196-설정!$B$2)),2)))</f>
        <v/>
      </c>
      <c r="L196" s="18" t="str">
        <f aca="false">IF(K196="","",ROUND(SQRT(MAX(0,(SUMIFS($R$2:$R$1001,$B$2:$B$1001,B196,$A$2:$A$1001,"&lt;"&amp;A196,$A$2:$A$1001,"&gt;="&amp;(A196-설정!$B$2))-M196*AVERAGEIFS($J$2:$J$1001,$B$2:$B$1001,B196,$A$2:$A$1001,"&lt;"&amp;A196,$A$2:$A$1001,"&gt;="&amp;(A196-설정!$B$2))^2)/(M196-1))),2))</f>
        <v/>
      </c>
      <c r="M196" s="18" t="str">
        <f aca="false">IF(J196="","",COUNTIFS($B$2:$B$1001,B196,$A$2:$A$1001,"&lt;"&amp;A196,$A$2:$A$1001,"&gt;="&amp;(A196-설정!$B$2),$J$2:$J$1001,"&gt;=0"))</f>
        <v/>
      </c>
      <c r="N196" s="18" t="str">
        <f aca="false">IF(K196="","",IF(L196=0,"",ROUND((J196-K196)/L196,2)))</f>
        <v/>
      </c>
      <c r="O196" s="19" t="str">
        <f aca="false">IF(J196="","",IF(MIN(F196,G196)&lt;=설정!$B$5,"예",""))</f>
        <v/>
      </c>
      <c r="P196" s="19" t="str">
        <f aca="false">IF(J196="","",IF(M196&lt;설정!$B$3,"baseline 수집 중",IF(N196="","정상",IF(N196&lt;=설정!$B$4,"낮음","정상"))))</f>
        <v/>
      </c>
      <c r="Q196" s="20"/>
      <c r="R196" s="18" t="str">
        <f aca="false">IF(J196="","",J196^2)</f>
        <v/>
      </c>
    </row>
    <row r="197" customFormat="false" ht="15" hidden="false" customHeight="false" outlineLevel="0" collapsed="false">
      <c r="A197" s="16"/>
      <c r="B197" s="17"/>
      <c r="C197" s="17"/>
      <c r="D197" s="17"/>
      <c r="E197" s="17"/>
      <c r="F197" s="17"/>
      <c r="G197" s="17"/>
      <c r="H197" s="17"/>
      <c r="I197" s="17"/>
      <c r="J197" s="18" t="str">
        <f aca="false">IF(COUNT(E197:I197)&lt;5,"",SUM(E197:I197))</f>
        <v/>
      </c>
      <c r="K197" s="18" t="str">
        <f aca="false">IF(J197="","",IF(M197&lt;설정!$B$3,"",ROUND(AVERAGEIFS($J$2:$J$1001,$B$2:$B$1001,B197,$A$2:$A$1001,"&lt;"&amp;A197,$A$2:$A$1001,"&gt;="&amp;(A197-설정!$B$2)),2)))</f>
        <v/>
      </c>
      <c r="L197" s="18" t="str">
        <f aca="false">IF(K197="","",ROUND(SQRT(MAX(0,(SUMIFS($R$2:$R$1001,$B$2:$B$1001,B197,$A$2:$A$1001,"&lt;"&amp;A197,$A$2:$A$1001,"&gt;="&amp;(A197-설정!$B$2))-M197*AVERAGEIFS($J$2:$J$1001,$B$2:$B$1001,B197,$A$2:$A$1001,"&lt;"&amp;A197,$A$2:$A$1001,"&gt;="&amp;(A197-설정!$B$2))^2)/(M197-1))),2))</f>
        <v/>
      </c>
      <c r="M197" s="18" t="str">
        <f aca="false">IF(J197="","",COUNTIFS($B$2:$B$1001,B197,$A$2:$A$1001,"&lt;"&amp;A197,$A$2:$A$1001,"&gt;="&amp;(A197-설정!$B$2),$J$2:$J$1001,"&gt;=0"))</f>
        <v/>
      </c>
      <c r="N197" s="18" t="str">
        <f aca="false">IF(K197="","",IF(L197=0,"",ROUND((J197-K197)/L197,2)))</f>
        <v/>
      </c>
      <c r="O197" s="19" t="str">
        <f aca="false">IF(J197="","",IF(MIN(F197,G197)&lt;=설정!$B$5,"예",""))</f>
        <v/>
      </c>
      <c r="P197" s="19" t="str">
        <f aca="false">IF(J197="","",IF(M197&lt;설정!$B$3,"baseline 수집 중",IF(N197="","정상",IF(N197&lt;=설정!$B$4,"낮음","정상"))))</f>
        <v/>
      </c>
      <c r="Q197" s="20"/>
      <c r="R197" s="18" t="str">
        <f aca="false">IF(J197="","",J197^2)</f>
        <v/>
      </c>
    </row>
    <row r="198" customFormat="false" ht="15" hidden="false" customHeight="false" outlineLevel="0" collapsed="false">
      <c r="A198" s="16"/>
      <c r="B198" s="17"/>
      <c r="C198" s="17"/>
      <c r="D198" s="17"/>
      <c r="E198" s="17"/>
      <c r="F198" s="17"/>
      <c r="G198" s="17"/>
      <c r="H198" s="17"/>
      <c r="I198" s="17"/>
      <c r="J198" s="18" t="str">
        <f aca="false">IF(COUNT(E198:I198)&lt;5,"",SUM(E198:I198))</f>
        <v/>
      </c>
      <c r="K198" s="18" t="str">
        <f aca="false">IF(J198="","",IF(M198&lt;설정!$B$3,"",ROUND(AVERAGEIFS($J$2:$J$1001,$B$2:$B$1001,B198,$A$2:$A$1001,"&lt;"&amp;A198,$A$2:$A$1001,"&gt;="&amp;(A198-설정!$B$2)),2)))</f>
        <v/>
      </c>
      <c r="L198" s="18" t="str">
        <f aca="false">IF(K198="","",ROUND(SQRT(MAX(0,(SUMIFS($R$2:$R$1001,$B$2:$B$1001,B198,$A$2:$A$1001,"&lt;"&amp;A198,$A$2:$A$1001,"&gt;="&amp;(A198-설정!$B$2))-M198*AVERAGEIFS($J$2:$J$1001,$B$2:$B$1001,B198,$A$2:$A$1001,"&lt;"&amp;A198,$A$2:$A$1001,"&gt;="&amp;(A198-설정!$B$2))^2)/(M198-1))),2))</f>
        <v/>
      </c>
      <c r="M198" s="18" t="str">
        <f aca="false">IF(J198="","",COUNTIFS($B$2:$B$1001,B198,$A$2:$A$1001,"&lt;"&amp;A198,$A$2:$A$1001,"&gt;="&amp;(A198-설정!$B$2),$J$2:$J$1001,"&gt;=0"))</f>
        <v/>
      </c>
      <c r="N198" s="18" t="str">
        <f aca="false">IF(K198="","",IF(L198=0,"",ROUND((J198-K198)/L198,2)))</f>
        <v/>
      </c>
      <c r="O198" s="19" t="str">
        <f aca="false">IF(J198="","",IF(MIN(F198,G198)&lt;=설정!$B$5,"예",""))</f>
        <v/>
      </c>
      <c r="P198" s="19" t="str">
        <f aca="false">IF(J198="","",IF(M198&lt;설정!$B$3,"baseline 수집 중",IF(N198="","정상",IF(N198&lt;=설정!$B$4,"낮음","정상"))))</f>
        <v/>
      </c>
      <c r="Q198" s="20"/>
      <c r="R198" s="18" t="str">
        <f aca="false">IF(J198="","",J198^2)</f>
        <v/>
      </c>
    </row>
    <row r="199" customFormat="false" ht="15" hidden="false" customHeight="false" outlineLevel="0" collapsed="false">
      <c r="A199" s="16"/>
      <c r="B199" s="17"/>
      <c r="C199" s="17"/>
      <c r="D199" s="17"/>
      <c r="E199" s="17"/>
      <c r="F199" s="17"/>
      <c r="G199" s="17"/>
      <c r="H199" s="17"/>
      <c r="I199" s="17"/>
      <c r="J199" s="18" t="str">
        <f aca="false">IF(COUNT(E199:I199)&lt;5,"",SUM(E199:I199))</f>
        <v/>
      </c>
      <c r="K199" s="18" t="str">
        <f aca="false">IF(J199="","",IF(M199&lt;설정!$B$3,"",ROUND(AVERAGEIFS($J$2:$J$1001,$B$2:$B$1001,B199,$A$2:$A$1001,"&lt;"&amp;A199,$A$2:$A$1001,"&gt;="&amp;(A199-설정!$B$2)),2)))</f>
        <v/>
      </c>
      <c r="L199" s="18" t="str">
        <f aca="false">IF(K199="","",ROUND(SQRT(MAX(0,(SUMIFS($R$2:$R$1001,$B$2:$B$1001,B199,$A$2:$A$1001,"&lt;"&amp;A199,$A$2:$A$1001,"&gt;="&amp;(A199-설정!$B$2))-M199*AVERAGEIFS($J$2:$J$1001,$B$2:$B$1001,B199,$A$2:$A$1001,"&lt;"&amp;A199,$A$2:$A$1001,"&gt;="&amp;(A199-설정!$B$2))^2)/(M199-1))),2))</f>
        <v/>
      </c>
      <c r="M199" s="18" t="str">
        <f aca="false">IF(J199="","",COUNTIFS($B$2:$B$1001,B199,$A$2:$A$1001,"&lt;"&amp;A199,$A$2:$A$1001,"&gt;="&amp;(A199-설정!$B$2),$J$2:$J$1001,"&gt;=0"))</f>
        <v/>
      </c>
      <c r="N199" s="18" t="str">
        <f aca="false">IF(K199="","",IF(L199=0,"",ROUND((J199-K199)/L199,2)))</f>
        <v/>
      </c>
      <c r="O199" s="19" t="str">
        <f aca="false">IF(J199="","",IF(MIN(F199,G199)&lt;=설정!$B$5,"예",""))</f>
        <v/>
      </c>
      <c r="P199" s="19" t="str">
        <f aca="false">IF(J199="","",IF(M199&lt;설정!$B$3,"baseline 수집 중",IF(N199="","정상",IF(N199&lt;=설정!$B$4,"낮음","정상"))))</f>
        <v/>
      </c>
      <c r="Q199" s="20"/>
      <c r="R199" s="18" t="str">
        <f aca="false">IF(J199="","",J199^2)</f>
        <v/>
      </c>
    </row>
    <row r="200" customFormat="false" ht="15" hidden="false" customHeight="false" outlineLevel="0" collapsed="false">
      <c r="A200" s="16"/>
      <c r="B200" s="17"/>
      <c r="C200" s="17"/>
      <c r="D200" s="17"/>
      <c r="E200" s="17"/>
      <c r="F200" s="17"/>
      <c r="G200" s="17"/>
      <c r="H200" s="17"/>
      <c r="I200" s="17"/>
      <c r="J200" s="18" t="str">
        <f aca="false">IF(COUNT(E200:I200)&lt;5,"",SUM(E200:I200))</f>
        <v/>
      </c>
      <c r="K200" s="18" t="str">
        <f aca="false">IF(J200="","",IF(M200&lt;설정!$B$3,"",ROUND(AVERAGEIFS($J$2:$J$1001,$B$2:$B$1001,B200,$A$2:$A$1001,"&lt;"&amp;A200,$A$2:$A$1001,"&gt;="&amp;(A200-설정!$B$2)),2)))</f>
        <v/>
      </c>
      <c r="L200" s="18" t="str">
        <f aca="false">IF(K200="","",ROUND(SQRT(MAX(0,(SUMIFS($R$2:$R$1001,$B$2:$B$1001,B200,$A$2:$A$1001,"&lt;"&amp;A200,$A$2:$A$1001,"&gt;="&amp;(A200-설정!$B$2))-M200*AVERAGEIFS($J$2:$J$1001,$B$2:$B$1001,B200,$A$2:$A$1001,"&lt;"&amp;A200,$A$2:$A$1001,"&gt;="&amp;(A200-설정!$B$2))^2)/(M200-1))),2))</f>
        <v/>
      </c>
      <c r="M200" s="18" t="str">
        <f aca="false">IF(J200="","",COUNTIFS($B$2:$B$1001,B200,$A$2:$A$1001,"&lt;"&amp;A200,$A$2:$A$1001,"&gt;="&amp;(A200-설정!$B$2),$J$2:$J$1001,"&gt;=0"))</f>
        <v/>
      </c>
      <c r="N200" s="18" t="str">
        <f aca="false">IF(K200="","",IF(L200=0,"",ROUND((J200-K200)/L200,2)))</f>
        <v/>
      </c>
      <c r="O200" s="19" t="str">
        <f aca="false">IF(J200="","",IF(MIN(F200,G200)&lt;=설정!$B$5,"예",""))</f>
        <v/>
      </c>
      <c r="P200" s="19" t="str">
        <f aca="false">IF(J200="","",IF(M200&lt;설정!$B$3,"baseline 수집 중",IF(N200="","정상",IF(N200&lt;=설정!$B$4,"낮음","정상"))))</f>
        <v/>
      </c>
      <c r="Q200" s="20"/>
      <c r="R200" s="18" t="str">
        <f aca="false">IF(J200="","",J200^2)</f>
        <v/>
      </c>
    </row>
    <row r="201" customFormat="false" ht="15" hidden="false" customHeight="false" outlineLevel="0" collapsed="false">
      <c r="A201" s="16"/>
      <c r="B201" s="17"/>
      <c r="C201" s="17"/>
      <c r="D201" s="17"/>
      <c r="E201" s="17"/>
      <c r="F201" s="17"/>
      <c r="G201" s="17"/>
      <c r="H201" s="17"/>
      <c r="I201" s="17"/>
      <c r="J201" s="18" t="str">
        <f aca="false">IF(COUNT(E201:I201)&lt;5,"",SUM(E201:I201))</f>
        <v/>
      </c>
      <c r="K201" s="18" t="str">
        <f aca="false">IF(J201="","",IF(M201&lt;설정!$B$3,"",ROUND(AVERAGEIFS($J$2:$J$1001,$B$2:$B$1001,B201,$A$2:$A$1001,"&lt;"&amp;A201,$A$2:$A$1001,"&gt;="&amp;(A201-설정!$B$2)),2)))</f>
        <v/>
      </c>
      <c r="L201" s="18" t="str">
        <f aca="false">IF(K201="","",ROUND(SQRT(MAX(0,(SUMIFS($R$2:$R$1001,$B$2:$B$1001,B201,$A$2:$A$1001,"&lt;"&amp;A201,$A$2:$A$1001,"&gt;="&amp;(A201-설정!$B$2))-M201*AVERAGEIFS($J$2:$J$1001,$B$2:$B$1001,B201,$A$2:$A$1001,"&lt;"&amp;A201,$A$2:$A$1001,"&gt;="&amp;(A201-설정!$B$2))^2)/(M201-1))),2))</f>
        <v/>
      </c>
      <c r="M201" s="18" t="str">
        <f aca="false">IF(J201="","",COUNTIFS($B$2:$B$1001,B201,$A$2:$A$1001,"&lt;"&amp;A201,$A$2:$A$1001,"&gt;="&amp;(A201-설정!$B$2),$J$2:$J$1001,"&gt;=0"))</f>
        <v/>
      </c>
      <c r="N201" s="18" t="str">
        <f aca="false">IF(K201="","",IF(L201=0,"",ROUND((J201-K201)/L201,2)))</f>
        <v/>
      </c>
      <c r="O201" s="19" t="str">
        <f aca="false">IF(J201="","",IF(MIN(F201,G201)&lt;=설정!$B$5,"예",""))</f>
        <v/>
      </c>
      <c r="P201" s="19" t="str">
        <f aca="false">IF(J201="","",IF(M201&lt;설정!$B$3,"baseline 수집 중",IF(N201="","정상",IF(N201&lt;=설정!$B$4,"낮음","정상"))))</f>
        <v/>
      </c>
      <c r="Q201" s="20"/>
      <c r="R201" s="18" t="str">
        <f aca="false">IF(J201="","",J201^2)</f>
        <v/>
      </c>
    </row>
    <row r="202" customFormat="false" ht="15" hidden="false" customHeight="false" outlineLevel="0" collapsed="false">
      <c r="A202" s="16"/>
      <c r="B202" s="17"/>
      <c r="C202" s="17"/>
      <c r="D202" s="17"/>
      <c r="E202" s="17"/>
      <c r="F202" s="17"/>
      <c r="G202" s="17"/>
      <c r="H202" s="17"/>
      <c r="I202" s="17"/>
      <c r="J202" s="18" t="str">
        <f aca="false">IF(COUNT(E202:I202)&lt;5,"",SUM(E202:I202))</f>
        <v/>
      </c>
      <c r="K202" s="18" t="str">
        <f aca="false">IF(J202="","",IF(M202&lt;설정!$B$3,"",ROUND(AVERAGEIFS($J$2:$J$1001,$B$2:$B$1001,B202,$A$2:$A$1001,"&lt;"&amp;A202,$A$2:$A$1001,"&gt;="&amp;(A202-설정!$B$2)),2)))</f>
        <v/>
      </c>
      <c r="L202" s="18" t="str">
        <f aca="false">IF(K202="","",ROUND(SQRT(MAX(0,(SUMIFS($R$2:$R$1001,$B$2:$B$1001,B202,$A$2:$A$1001,"&lt;"&amp;A202,$A$2:$A$1001,"&gt;="&amp;(A202-설정!$B$2))-M202*AVERAGEIFS($J$2:$J$1001,$B$2:$B$1001,B202,$A$2:$A$1001,"&lt;"&amp;A202,$A$2:$A$1001,"&gt;="&amp;(A202-설정!$B$2))^2)/(M202-1))),2))</f>
        <v/>
      </c>
      <c r="M202" s="18" t="str">
        <f aca="false">IF(J202="","",COUNTIFS($B$2:$B$1001,B202,$A$2:$A$1001,"&lt;"&amp;A202,$A$2:$A$1001,"&gt;="&amp;(A202-설정!$B$2),$J$2:$J$1001,"&gt;=0"))</f>
        <v/>
      </c>
      <c r="N202" s="18" t="str">
        <f aca="false">IF(K202="","",IF(L202=0,"",ROUND((J202-K202)/L202,2)))</f>
        <v/>
      </c>
      <c r="O202" s="19" t="str">
        <f aca="false">IF(J202="","",IF(MIN(F202,G202)&lt;=설정!$B$5,"예",""))</f>
        <v/>
      </c>
      <c r="P202" s="19" t="str">
        <f aca="false">IF(J202="","",IF(M202&lt;설정!$B$3,"baseline 수집 중",IF(N202="","정상",IF(N202&lt;=설정!$B$4,"낮음","정상"))))</f>
        <v/>
      </c>
      <c r="Q202" s="20"/>
      <c r="R202" s="18" t="str">
        <f aca="false">IF(J202="","",J202^2)</f>
        <v/>
      </c>
    </row>
    <row r="203" customFormat="false" ht="15" hidden="false" customHeight="false" outlineLevel="0" collapsed="false">
      <c r="A203" s="16"/>
      <c r="B203" s="17"/>
      <c r="C203" s="17"/>
      <c r="D203" s="17"/>
      <c r="E203" s="17"/>
      <c r="F203" s="17"/>
      <c r="G203" s="17"/>
      <c r="H203" s="17"/>
      <c r="I203" s="17"/>
      <c r="J203" s="18" t="str">
        <f aca="false">IF(COUNT(E203:I203)&lt;5,"",SUM(E203:I203))</f>
        <v/>
      </c>
      <c r="K203" s="18" t="str">
        <f aca="false">IF(J203="","",IF(M203&lt;설정!$B$3,"",ROUND(AVERAGEIFS($J$2:$J$1001,$B$2:$B$1001,B203,$A$2:$A$1001,"&lt;"&amp;A203,$A$2:$A$1001,"&gt;="&amp;(A203-설정!$B$2)),2)))</f>
        <v/>
      </c>
      <c r="L203" s="18" t="str">
        <f aca="false">IF(K203="","",ROUND(SQRT(MAX(0,(SUMIFS($R$2:$R$1001,$B$2:$B$1001,B203,$A$2:$A$1001,"&lt;"&amp;A203,$A$2:$A$1001,"&gt;="&amp;(A203-설정!$B$2))-M203*AVERAGEIFS($J$2:$J$1001,$B$2:$B$1001,B203,$A$2:$A$1001,"&lt;"&amp;A203,$A$2:$A$1001,"&gt;="&amp;(A203-설정!$B$2))^2)/(M203-1))),2))</f>
        <v/>
      </c>
      <c r="M203" s="18" t="str">
        <f aca="false">IF(J203="","",COUNTIFS($B$2:$B$1001,B203,$A$2:$A$1001,"&lt;"&amp;A203,$A$2:$A$1001,"&gt;="&amp;(A203-설정!$B$2),$J$2:$J$1001,"&gt;=0"))</f>
        <v/>
      </c>
      <c r="N203" s="18" t="str">
        <f aca="false">IF(K203="","",IF(L203=0,"",ROUND((J203-K203)/L203,2)))</f>
        <v/>
      </c>
      <c r="O203" s="19" t="str">
        <f aca="false">IF(J203="","",IF(MIN(F203,G203)&lt;=설정!$B$5,"예",""))</f>
        <v/>
      </c>
      <c r="P203" s="19" t="str">
        <f aca="false">IF(J203="","",IF(M203&lt;설정!$B$3,"baseline 수집 중",IF(N203="","정상",IF(N203&lt;=설정!$B$4,"낮음","정상"))))</f>
        <v/>
      </c>
      <c r="Q203" s="20"/>
      <c r="R203" s="18" t="str">
        <f aca="false">IF(J203="","",J203^2)</f>
        <v/>
      </c>
    </row>
    <row r="204" customFormat="false" ht="15" hidden="false" customHeight="false" outlineLevel="0" collapsed="false">
      <c r="A204" s="16"/>
      <c r="B204" s="17"/>
      <c r="C204" s="17"/>
      <c r="D204" s="17"/>
      <c r="E204" s="17"/>
      <c r="F204" s="17"/>
      <c r="G204" s="17"/>
      <c r="H204" s="17"/>
      <c r="I204" s="17"/>
      <c r="J204" s="18" t="str">
        <f aca="false">IF(COUNT(E204:I204)&lt;5,"",SUM(E204:I204))</f>
        <v/>
      </c>
      <c r="K204" s="18" t="str">
        <f aca="false">IF(J204="","",IF(M204&lt;설정!$B$3,"",ROUND(AVERAGEIFS($J$2:$J$1001,$B$2:$B$1001,B204,$A$2:$A$1001,"&lt;"&amp;A204,$A$2:$A$1001,"&gt;="&amp;(A204-설정!$B$2)),2)))</f>
        <v/>
      </c>
      <c r="L204" s="18" t="str">
        <f aca="false">IF(K204="","",ROUND(SQRT(MAX(0,(SUMIFS($R$2:$R$1001,$B$2:$B$1001,B204,$A$2:$A$1001,"&lt;"&amp;A204,$A$2:$A$1001,"&gt;="&amp;(A204-설정!$B$2))-M204*AVERAGEIFS($J$2:$J$1001,$B$2:$B$1001,B204,$A$2:$A$1001,"&lt;"&amp;A204,$A$2:$A$1001,"&gt;="&amp;(A204-설정!$B$2))^2)/(M204-1))),2))</f>
        <v/>
      </c>
      <c r="M204" s="18" t="str">
        <f aca="false">IF(J204="","",COUNTIFS($B$2:$B$1001,B204,$A$2:$A$1001,"&lt;"&amp;A204,$A$2:$A$1001,"&gt;="&amp;(A204-설정!$B$2),$J$2:$J$1001,"&gt;=0"))</f>
        <v/>
      </c>
      <c r="N204" s="18" t="str">
        <f aca="false">IF(K204="","",IF(L204=0,"",ROUND((J204-K204)/L204,2)))</f>
        <v/>
      </c>
      <c r="O204" s="19" t="str">
        <f aca="false">IF(J204="","",IF(MIN(F204,G204)&lt;=설정!$B$5,"예",""))</f>
        <v/>
      </c>
      <c r="P204" s="19" t="str">
        <f aca="false">IF(J204="","",IF(M204&lt;설정!$B$3,"baseline 수집 중",IF(N204="","정상",IF(N204&lt;=설정!$B$4,"낮음","정상"))))</f>
        <v/>
      </c>
      <c r="Q204" s="20"/>
      <c r="R204" s="18" t="str">
        <f aca="false">IF(J204="","",J204^2)</f>
        <v/>
      </c>
    </row>
    <row r="205" customFormat="false" ht="15" hidden="false" customHeight="false" outlineLevel="0" collapsed="false">
      <c r="A205" s="16"/>
      <c r="B205" s="17"/>
      <c r="C205" s="17"/>
      <c r="D205" s="17"/>
      <c r="E205" s="17"/>
      <c r="F205" s="17"/>
      <c r="G205" s="17"/>
      <c r="H205" s="17"/>
      <c r="I205" s="17"/>
      <c r="J205" s="18" t="str">
        <f aca="false">IF(COUNT(E205:I205)&lt;5,"",SUM(E205:I205))</f>
        <v/>
      </c>
      <c r="K205" s="18" t="str">
        <f aca="false">IF(J205="","",IF(M205&lt;설정!$B$3,"",ROUND(AVERAGEIFS($J$2:$J$1001,$B$2:$B$1001,B205,$A$2:$A$1001,"&lt;"&amp;A205,$A$2:$A$1001,"&gt;="&amp;(A205-설정!$B$2)),2)))</f>
        <v/>
      </c>
      <c r="L205" s="18" t="str">
        <f aca="false">IF(K205="","",ROUND(SQRT(MAX(0,(SUMIFS($R$2:$R$1001,$B$2:$B$1001,B205,$A$2:$A$1001,"&lt;"&amp;A205,$A$2:$A$1001,"&gt;="&amp;(A205-설정!$B$2))-M205*AVERAGEIFS($J$2:$J$1001,$B$2:$B$1001,B205,$A$2:$A$1001,"&lt;"&amp;A205,$A$2:$A$1001,"&gt;="&amp;(A205-설정!$B$2))^2)/(M205-1))),2))</f>
        <v/>
      </c>
      <c r="M205" s="18" t="str">
        <f aca="false">IF(J205="","",COUNTIFS($B$2:$B$1001,B205,$A$2:$A$1001,"&lt;"&amp;A205,$A$2:$A$1001,"&gt;="&amp;(A205-설정!$B$2),$J$2:$J$1001,"&gt;=0"))</f>
        <v/>
      </c>
      <c r="N205" s="18" t="str">
        <f aca="false">IF(K205="","",IF(L205=0,"",ROUND((J205-K205)/L205,2)))</f>
        <v/>
      </c>
      <c r="O205" s="19" t="str">
        <f aca="false">IF(J205="","",IF(MIN(F205,G205)&lt;=설정!$B$5,"예",""))</f>
        <v/>
      </c>
      <c r="P205" s="19" t="str">
        <f aca="false">IF(J205="","",IF(M205&lt;설정!$B$3,"baseline 수집 중",IF(N205="","정상",IF(N205&lt;=설정!$B$4,"낮음","정상"))))</f>
        <v/>
      </c>
      <c r="Q205" s="20"/>
      <c r="R205" s="18" t="str">
        <f aca="false">IF(J205="","",J205^2)</f>
        <v/>
      </c>
    </row>
    <row r="206" customFormat="false" ht="15" hidden="false" customHeight="false" outlineLevel="0" collapsed="false">
      <c r="A206" s="16"/>
      <c r="B206" s="17"/>
      <c r="C206" s="17"/>
      <c r="D206" s="17"/>
      <c r="E206" s="17"/>
      <c r="F206" s="17"/>
      <c r="G206" s="17"/>
      <c r="H206" s="17"/>
      <c r="I206" s="17"/>
      <c r="J206" s="18" t="str">
        <f aca="false">IF(COUNT(E206:I206)&lt;5,"",SUM(E206:I206))</f>
        <v/>
      </c>
      <c r="K206" s="18" t="str">
        <f aca="false">IF(J206="","",IF(M206&lt;설정!$B$3,"",ROUND(AVERAGEIFS($J$2:$J$1001,$B$2:$B$1001,B206,$A$2:$A$1001,"&lt;"&amp;A206,$A$2:$A$1001,"&gt;="&amp;(A206-설정!$B$2)),2)))</f>
        <v/>
      </c>
      <c r="L206" s="18" t="str">
        <f aca="false">IF(K206="","",ROUND(SQRT(MAX(0,(SUMIFS($R$2:$R$1001,$B$2:$B$1001,B206,$A$2:$A$1001,"&lt;"&amp;A206,$A$2:$A$1001,"&gt;="&amp;(A206-설정!$B$2))-M206*AVERAGEIFS($J$2:$J$1001,$B$2:$B$1001,B206,$A$2:$A$1001,"&lt;"&amp;A206,$A$2:$A$1001,"&gt;="&amp;(A206-설정!$B$2))^2)/(M206-1))),2))</f>
        <v/>
      </c>
      <c r="M206" s="18" t="str">
        <f aca="false">IF(J206="","",COUNTIFS($B$2:$B$1001,B206,$A$2:$A$1001,"&lt;"&amp;A206,$A$2:$A$1001,"&gt;="&amp;(A206-설정!$B$2),$J$2:$J$1001,"&gt;=0"))</f>
        <v/>
      </c>
      <c r="N206" s="18" t="str">
        <f aca="false">IF(K206="","",IF(L206=0,"",ROUND((J206-K206)/L206,2)))</f>
        <v/>
      </c>
      <c r="O206" s="19" t="str">
        <f aca="false">IF(J206="","",IF(MIN(F206,G206)&lt;=설정!$B$5,"예",""))</f>
        <v/>
      </c>
      <c r="P206" s="19" t="str">
        <f aca="false">IF(J206="","",IF(M206&lt;설정!$B$3,"baseline 수집 중",IF(N206="","정상",IF(N206&lt;=설정!$B$4,"낮음","정상"))))</f>
        <v/>
      </c>
      <c r="Q206" s="20"/>
      <c r="R206" s="18" t="str">
        <f aca="false">IF(J206="","",J206^2)</f>
        <v/>
      </c>
    </row>
    <row r="207" customFormat="false" ht="15" hidden="false" customHeight="false" outlineLevel="0" collapsed="false">
      <c r="A207" s="16"/>
      <c r="B207" s="17"/>
      <c r="C207" s="17"/>
      <c r="D207" s="17"/>
      <c r="E207" s="17"/>
      <c r="F207" s="17"/>
      <c r="G207" s="17"/>
      <c r="H207" s="17"/>
      <c r="I207" s="17"/>
      <c r="J207" s="18" t="str">
        <f aca="false">IF(COUNT(E207:I207)&lt;5,"",SUM(E207:I207))</f>
        <v/>
      </c>
      <c r="K207" s="18" t="str">
        <f aca="false">IF(J207="","",IF(M207&lt;설정!$B$3,"",ROUND(AVERAGEIFS($J$2:$J$1001,$B$2:$B$1001,B207,$A$2:$A$1001,"&lt;"&amp;A207,$A$2:$A$1001,"&gt;="&amp;(A207-설정!$B$2)),2)))</f>
        <v/>
      </c>
      <c r="L207" s="18" t="str">
        <f aca="false">IF(K207="","",ROUND(SQRT(MAX(0,(SUMIFS($R$2:$R$1001,$B$2:$B$1001,B207,$A$2:$A$1001,"&lt;"&amp;A207,$A$2:$A$1001,"&gt;="&amp;(A207-설정!$B$2))-M207*AVERAGEIFS($J$2:$J$1001,$B$2:$B$1001,B207,$A$2:$A$1001,"&lt;"&amp;A207,$A$2:$A$1001,"&gt;="&amp;(A207-설정!$B$2))^2)/(M207-1))),2))</f>
        <v/>
      </c>
      <c r="M207" s="18" t="str">
        <f aca="false">IF(J207="","",COUNTIFS($B$2:$B$1001,B207,$A$2:$A$1001,"&lt;"&amp;A207,$A$2:$A$1001,"&gt;="&amp;(A207-설정!$B$2),$J$2:$J$1001,"&gt;=0"))</f>
        <v/>
      </c>
      <c r="N207" s="18" t="str">
        <f aca="false">IF(K207="","",IF(L207=0,"",ROUND((J207-K207)/L207,2)))</f>
        <v/>
      </c>
      <c r="O207" s="19" t="str">
        <f aca="false">IF(J207="","",IF(MIN(F207,G207)&lt;=설정!$B$5,"예",""))</f>
        <v/>
      </c>
      <c r="P207" s="19" t="str">
        <f aca="false">IF(J207="","",IF(M207&lt;설정!$B$3,"baseline 수집 중",IF(N207="","정상",IF(N207&lt;=설정!$B$4,"낮음","정상"))))</f>
        <v/>
      </c>
      <c r="Q207" s="20"/>
      <c r="R207" s="18" t="str">
        <f aca="false">IF(J207="","",J207^2)</f>
        <v/>
      </c>
    </row>
    <row r="208" customFormat="false" ht="15" hidden="false" customHeight="false" outlineLevel="0" collapsed="false">
      <c r="A208" s="16"/>
      <c r="B208" s="17"/>
      <c r="C208" s="17"/>
      <c r="D208" s="17"/>
      <c r="E208" s="17"/>
      <c r="F208" s="17"/>
      <c r="G208" s="17"/>
      <c r="H208" s="17"/>
      <c r="I208" s="17"/>
      <c r="J208" s="18" t="str">
        <f aca="false">IF(COUNT(E208:I208)&lt;5,"",SUM(E208:I208))</f>
        <v/>
      </c>
      <c r="K208" s="18" t="str">
        <f aca="false">IF(J208="","",IF(M208&lt;설정!$B$3,"",ROUND(AVERAGEIFS($J$2:$J$1001,$B$2:$B$1001,B208,$A$2:$A$1001,"&lt;"&amp;A208,$A$2:$A$1001,"&gt;="&amp;(A208-설정!$B$2)),2)))</f>
        <v/>
      </c>
      <c r="L208" s="18" t="str">
        <f aca="false">IF(K208="","",ROUND(SQRT(MAX(0,(SUMIFS($R$2:$R$1001,$B$2:$B$1001,B208,$A$2:$A$1001,"&lt;"&amp;A208,$A$2:$A$1001,"&gt;="&amp;(A208-설정!$B$2))-M208*AVERAGEIFS($J$2:$J$1001,$B$2:$B$1001,B208,$A$2:$A$1001,"&lt;"&amp;A208,$A$2:$A$1001,"&gt;="&amp;(A208-설정!$B$2))^2)/(M208-1))),2))</f>
        <v/>
      </c>
      <c r="M208" s="18" t="str">
        <f aca="false">IF(J208="","",COUNTIFS($B$2:$B$1001,B208,$A$2:$A$1001,"&lt;"&amp;A208,$A$2:$A$1001,"&gt;="&amp;(A208-설정!$B$2),$J$2:$J$1001,"&gt;=0"))</f>
        <v/>
      </c>
      <c r="N208" s="18" t="str">
        <f aca="false">IF(K208="","",IF(L208=0,"",ROUND((J208-K208)/L208,2)))</f>
        <v/>
      </c>
      <c r="O208" s="19" t="str">
        <f aca="false">IF(J208="","",IF(MIN(F208,G208)&lt;=설정!$B$5,"예",""))</f>
        <v/>
      </c>
      <c r="P208" s="19" t="str">
        <f aca="false">IF(J208="","",IF(M208&lt;설정!$B$3,"baseline 수집 중",IF(N208="","정상",IF(N208&lt;=설정!$B$4,"낮음","정상"))))</f>
        <v/>
      </c>
      <c r="Q208" s="20"/>
      <c r="R208" s="18" t="str">
        <f aca="false">IF(J208="","",J208^2)</f>
        <v/>
      </c>
    </row>
    <row r="209" customFormat="false" ht="15" hidden="false" customHeight="false" outlineLevel="0" collapsed="false">
      <c r="A209" s="16"/>
      <c r="B209" s="17"/>
      <c r="C209" s="17"/>
      <c r="D209" s="17"/>
      <c r="E209" s="17"/>
      <c r="F209" s="17"/>
      <c r="G209" s="17"/>
      <c r="H209" s="17"/>
      <c r="I209" s="17"/>
      <c r="J209" s="18" t="str">
        <f aca="false">IF(COUNT(E209:I209)&lt;5,"",SUM(E209:I209))</f>
        <v/>
      </c>
      <c r="K209" s="18" t="str">
        <f aca="false">IF(J209="","",IF(M209&lt;설정!$B$3,"",ROUND(AVERAGEIFS($J$2:$J$1001,$B$2:$B$1001,B209,$A$2:$A$1001,"&lt;"&amp;A209,$A$2:$A$1001,"&gt;="&amp;(A209-설정!$B$2)),2)))</f>
        <v/>
      </c>
      <c r="L209" s="18" t="str">
        <f aca="false">IF(K209="","",ROUND(SQRT(MAX(0,(SUMIFS($R$2:$R$1001,$B$2:$B$1001,B209,$A$2:$A$1001,"&lt;"&amp;A209,$A$2:$A$1001,"&gt;="&amp;(A209-설정!$B$2))-M209*AVERAGEIFS($J$2:$J$1001,$B$2:$B$1001,B209,$A$2:$A$1001,"&lt;"&amp;A209,$A$2:$A$1001,"&gt;="&amp;(A209-설정!$B$2))^2)/(M209-1))),2))</f>
        <v/>
      </c>
      <c r="M209" s="18" t="str">
        <f aca="false">IF(J209="","",COUNTIFS($B$2:$B$1001,B209,$A$2:$A$1001,"&lt;"&amp;A209,$A$2:$A$1001,"&gt;="&amp;(A209-설정!$B$2),$J$2:$J$1001,"&gt;=0"))</f>
        <v/>
      </c>
      <c r="N209" s="18" t="str">
        <f aca="false">IF(K209="","",IF(L209=0,"",ROUND((J209-K209)/L209,2)))</f>
        <v/>
      </c>
      <c r="O209" s="19" t="str">
        <f aca="false">IF(J209="","",IF(MIN(F209,G209)&lt;=설정!$B$5,"예",""))</f>
        <v/>
      </c>
      <c r="P209" s="19" t="str">
        <f aca="false">IF(J209="","",IF(M209&lt;설정!$B$3,"baseline 수집 중",IF(N209="","정상",IF(N209&lt;=설정!$B$4,"낮음","정상"))))</f>
        <v/>
      </c>
      <c r="Q209" s="20"/>
      <c r="R209" s="18" t="str">
        <f aca="false">IF(J209="","",J209^2)</f>
        <v/>
      </c>
    </row>
    <row r="210" customFormat="false" ht="15" hidden="false" customHeight="false" outlineLevel="0" collapsed="false">
      <c r="A210" s="16"/>
      <c r="B210" s="17"/>
      <c r="C210" s="17"/>
      <c r="D210" s="17"/>
      <c r="E210" s="17"/>
      <c r="F210" s="17"/>
      <c r="G210" s="17"/>
      <c r="H210" s="17"/>
      <c r="I210" s="17"/>
      <c r="J210" s="18" t="str">
        <f aca="false">IF(COUNT(E210:I210)&lt;5,"",SUM(E210:I210))</f>
        <v/>
      </c>
      <c r="K210" s="18" t="str">
        <f aca="false">IF(J210="","",IF(M210&lt;설정!$B$3,"",ROUND(AVERAGEIFS($J$2:$J$1001,$B$2:$B$1001,B210,$A$2:$A$1001,"&lt;"&amp;A210,$A$2:$A$1001,"&gt;="&amp;(A210-설정!$B$2)),2)))</f>
        <v/>
      </c>
      <c r="L210" s="18" t="str">
        <f aca="false">IF(K210="","",ROUND(SQRT(MAX(0,(SUMIFS($R$2:$R$1001,$B$2:$B$1001,B210,$A$2:$A$1001,"&lt;"&amp;A210,$A$2:$A$1001,"&gt;="&amp;(A210-설정!$B$2))-M210*AVERAGEIFS($J$2:$J$1001,$B$2:$B$1001,B210,$A$2:$A$1001,"&lt;"&amp;A210,$A$2:$A$1001,"&gt;="&amp;(A210-설정!$B$2))^2)/(M210-1))),2))</f>
        <v/>
      </c>
      <c r="M210" s="18" t="str">
        <f aca="false">IF(J210="","",COUNTIFS($B$2:$B$1001,B210,$A$2:$A$1001,"&lt;"&amp;A210,$A$2:$A$1001,"&gt;="&amp;(A210-설정!$B$2),$J$2:$J$1001,"&gt;=0"))</f>
        <v/>
      </c>
      <c r="N210" s="18" t="str">
        <f aca="false">IF(K210="","",IF(L210=0,"",ROUND((J210-K210)/L210,2)))</f>
        <v/>
      </c>
      <c r="O210" s="19" t="str">
        <f aca="false">IF(J210="","",IF(MIN(F210,G210)&lt;=설정!$B$5,"예",""))</f>
        <v/>
      </c>
      <c r="P210" s="19" t="str">
        <f aca="false">IF(J210="","",IF(M210&lt;설정!$B$3,"baseline 수집 중",IF(N210="","정상",IF(N210&lt;=설정!$B$4,"낮음","정상"))))</f>
        <v/>
      </c>
      <c r="Q210" s="20"/>
      <c r="R210" s="18" t="str">
        <f aca="false">IF(J210="","",J210^2)</f>
        <v/>
      </c>
    </row>
    <row r="211" customFormat="false" ht="15" hidden="false" customHeight="false" outlineLevel="0" collapsed="false">
      <c r="A211" s="16"/>
      <c r="B211" s="17"/>
      <c r="C211" s="17"/>
      <c r="D211" s="17"/>
      <c r="E211" s="17"/>
      <c r="F211" s="17"/>
      <c r="G211" s="17"/>
      <c r="H211" s="17"/>
      <c r="I211" s="17"/>
      <c r="J211" s="18" t="str">
        <f aca="false">IF(COUNT(E211:I211)&lt;5,"",SUM(E211:I211))</f>
        <v/>
      </c>
      <c r="K211" s="18" t="str">
        <f aca="false">IF(J211="","",IF(M211&lt;설정!$B$3,"",ROUND(AVERAGEIFS($J$2:$J$1001,$B$2:$B$1001,B211,$A$2:$A$1001,"&lt;"&amp;A211,$A$2:$A$1001,"&gt;="&amp;(A211-설정!$B$2)),2)))</f>
        <v/>
      </c>
      <c r="L211" s="18" t="str">
        <f aca="false">IF(K211="","",ROUND(SQRT(MAX(0,(SUMIFS($R$2:$R$1001,$B$2:$B$1001,B211,$A$2:$A$1001,"&lt;"&amp;A211,$A$2:$A$1001,"&gt;="&amp;(A211-설정!$B$2))-M211*AVERAGEIFS($J$2:$J$1001,$B$2:$B$1001,B211,$A$2:$A$1001,"&lt;"&amp;A211,$A$2:$A$1001,"&gt;="&amp;(A211-설정!$B$2))^2)/(M211-1))),2))</f>
        <v/>
      </c>
      <c r="M211" s="18" t="str">
        <f aca="false">IF(J211="","",COUNTIFS($B$2:$B$1001,B211,$A$2:$A$1001,"&lt;"&amp;A211,$A$2:$A$1001,"&gt;="&amp;(A211-설정!$B$2),$J$2:$J$1001,"&gt;=0"))</f>
        <v/>
      </c>
      <c r="N211" s="18" t="str">
        <f aca="false">IF(K211="","",IF(L211=0,"",ROUND((J211-K211)/L211,2)))</f>
        <v/>
      </c>
      <c r="O211" s="19" t="str">
        <f aca="false">IF(J211="","",IF(MIN(F211,G211)&lt;=설정!$B$5,"예",""))</f>
        <v/>
      </c>
      <c r="P211" s="19" t="str">
        <f aca="false">IF(J211="","",IF(M211&lt;설정!$B$3,"baseline 수집 중",IF(N211="","정상",IF(N211&lt;=설정!$B$4,"낮음","정상"))))</f>
        <v/>
      </c>
      <c r="Q211" s="20"/>
      <c r="R211" s="18" t="str">
        <f aca="false">IF(J211="","",J211^2)</f>
        <v/>
      </c>
    </row>
    <row r="212" customFormat="false" ht="15" hidden="false" customHeight="false" outlineLevel="0" collapsed="false">
      <c r="A212" s="16"/>
      <c r="B212" s="17"/>
      <c r="C212" s="17"/>
      <c r="D212" s="17"/>
      <c r="E212" s="17"/>
      <c r="F212" s="17"/>
      <c r="G212" s="17"/>
      <c r="H212" s="17"/>
      <c r="I212" s="17"/>
      <c r="J212" s="18" t="str">
        <f aca="false">IF(COUNT(E212:I212)&lt;5,"",SUM(E212:I212))</f>
        <v/>
      </c>
      <c r="K212" s="18" t="str">
        <f aca="false">IF(J212="","",IF(M212&lt;설정!$B$3,"",ROUND(AVERAGEIFS($J$2:$J$1001,$B$2:$B$1001,B212,$A$2:$A$1001,"&lt;"&amp;A212,$A$2:$A$1001,"&gt;="&amp;(A212-설정!$B$2)),2)))</f>
        <v/>
      </c>
      <c r="L212" s="18" t="str">
        <f aca="false">IF(K212="","",ROUND(SQRT(MAX(0,(SUMIFS($R$2:$R$1001,$B$2:$B$1001,B212,$A$2:$A$1001,"&lt;"&amp;A212,$A$2:$A$1001,"&gt;="&amp;(A212-설정!$B$2))-M212*AVERAGEIFS($J$2:$J$1001,$B$2:$B$1001,B212,$A$2:$A$1001,"&lt;"&amp;A212,$A$2:$A$1001,"&gt;="&amp;(A212-설정!$B$2))^2)/(M212-1))),2))</f>
        <v/>
      </c>
      <c r="M212" s="18" t="str">
        <f aca="false">IF(J212="","",COUNTIFS($B$2:$B$1001,B212,$A$2:$A$1001,"&lt;"&amp;A212,$A$2:$A$1001,"&gt;="&amp;(A212-설정!$B$2),$J$2:$J$1001,"&gt;=0"))</f>
        <v/>
      </c>
      <c r="N212" s="18" t="str">
        <f aca="false">IF(K212="","",IF(L212=0,"",ROUND((J212-K212)/L212,2)))</f>
        <v/>
      </c>
      <c r="O212" s="19" t="str">
        <f aca="false">IF(J212="","",IF(MIN(F212,G212)&lt;=설정!$B$5,"예",""))</f>
        <v/>
      </c>
      <c r="P212" s="19" t="str">
        <f aca="false">IF(J212="","",IF(M212&lt;설정!$B$3,"baseline 수집 중",IF(N212="","정상",IF(N212&lt;=설정!$B$4,"낮음","정상"))))</f>
        <v/>
      </c>
      <c r="Q212" s="20"/>
      <c r="R212" s="18" t="str">
        <f aca="false">IF(J212="","",J212^2)</f>
        <v/>
      </c>
    </row>
    <row r="213" customFormat="false" ht="15" hidden="false" customHeight="false" outlineLevel="0" collapsed="false">
      <c r="A213" s="16"/>
      <c r="B213" s="17"/>
      <c r="C213" s="17"/>
      <c r="D213" s="17"/>
      <c r="E213" s="17"/>
      <c r="F213" s="17"/>
      <c r="G213" s="17"/>
      <c r="H213" s="17"/>
      <c r="I213" s="17"/>
      <c r="J213" s="18" t="str">
        <f aca="false">IF(COUNT(E213:I213)&lt;5,"",SUM(E213:I213))</f>
        <v/>
      </c>
      <c r="K213" s="18" t="str">
        <f aca="false">IF(J213="","",IF(M213&lt;설정!$B$3,"",ROUND(AVERAGEIFS($J$2:$J$1001,$B$2:$B$1001,B213,$A$2:$A$1001,"&lt;"&amp;A213,$A$2:$A$1001,"&gt;="&amp;(A213-설정!$B$2)),2)))</f>
        <v/>
      </c>
      <c r="L213" s="18" t="str">
        <f aca="false">IF(K213="","",ROUND(SQRT(MAX(0,(SUMIFS($R$2:$R$1001,$B$2:$B$1001,B213,$A$2:$A$1001,"&lt;"&amp;A213,$A$2:$A$1001,"&gt;="&amp;(A213-설정!$B$2))-M213*AVERAGEIFS($J$2:$J$1001,$B$2:$B$1001,B213,$A$2:$A$1001,"&lt;"&amp;A213,$A$2:$A$1001,"&gt;="&amp;(A213-설정!$B$2))^2)/(M213-1))),2))</f>
        <v/>
      </c>
      <c r="M213" s="18" t="str">
        <f aca="false">IF(J213="","",COUNTIFS($B$2:$B$1001,B213,$A$2:$A$1001,"&lt;"&amp;A213,$A$2:$A$1001,"&gt;="&amp;(A213-설정!$B$2),$J$2:$J$1001,"&gt;=0"))</f>
        <v/>
      </c>
      <c r="N213" s="18" t="str">
        <f aca="false">IF(K213="","",IF(L213=0,"",ROUND((J213-K213)/L213,2)))</f>
        <v/>
      </c>
      <c r="O213" s="19" t="str">
        <f aca="false">IF(J213="","",IF(MIN(F213,G213)&lt;=설정!$B$5,"예",""))</f>
        <v/>
      </c>
      <c r="P213" s="19" t="str">
        <f aca="false">IF(J213="","",IF(M213&lt;설정!$B$3,"baseline 수집 중",IF(N213="","정상",IF(N213&lt;=설정!$B$4,"낮음","정상"))))</f>
        <v/>
      </c>
      <c r="Q213" s="20"/>
      <c r="R213" s="18" t="str">
        <f aca="false">IF(J213="","",J213^2)</f>
        <v/>
      </c>
    </row>
    <row r="214" customFormat="false" ht="15" hidden="false" customHeight="false" outlineLevel="0" collapsed="false">
      <c r="A214" s="16"/>
      <c r="B214" s="17"/>
      <c r="C214" s="17"/>
      <c r="D214" s="17"/>
      <c r="E214" s="17"/>
      <c r="F214" s="17"/>
      <c r="G214" s="17"/>
      <c r="H214" s="17"/>
      <c r="I214" s="17"/>
      <c r="J214" s="18" t="str">
        <f aca="false">IF(COUNT(E214:I214)&lt;5,"",SUM(E214:I214))</f>
        <v/>
      </c>
      <c r="K214" s="18" t="str">
        <f aca="false">IF(J214="","",IF(M214&lt;설정!$B$3,"",ROUND(AVERAGEIFS($J$2:$J$1001,$B$2:$B$1001,B214,$A$2:$A$1001,"&lt;"&amp;A214,$A$2:$A$1001,"&gt;="&amp;(A214-설정!$B$2)),2)))</f>
        <v/>
      </c>
      <c r="L214" s="18" t="str">
        <f aca="false">IF(K214="","",ROUND(SQRT(MAX(0,(SUMIFS($R$2:$R$1001,$B$2:$B$1001,B214,$A$2:$A$1001,"&lt;"&amp;A214,$A$2:$A$1001,"&gt;="&amp;(A214-설정!$B$2))-M214*AVERAGEIFS($J$2:$J$1001,$B$2:$B$1001,B214,$A$2:$A$1001,"&lt;"&amp;A214,$A$2:$A$1001,"&gt;="&amp;(A214-설정!$B$2))^2)/(M214-1))),2))</f>
        <v/>
      </c>
      <c r="M214" s="18" t="str">
        <f aca="false">IF(J214="","",COUNTIFS($B$2:$B$1001,B214,$A$2:$A$1001,"&lt;"&amp;A214,$A$2:$A$1001,"&gt;="&amp;(A214-설정!$B$2),$J$2:$J$1001,"&gt;=0"))</f>
        <v/>
      </c>
      <c r="N214" s="18" t="str">
        <f aca="false">IF(K214="","",IF(L214=0,"",ROUND((J214-K214)/L214,2)))</f>
        <v/>
      </c>
      <c r="O214" s="19" t="str">
        <f aca="false">IF(J214="","",IF(MIN(F214,G214)&lt;=설정!$B$5,"예",""))</f>
        <v/>
      </c>
      <c r="P214" s="19" t="str">
        <f aca="false">IF(J214="","",IF(M214&lt;설정!$B$3,"baseline 수집 중",IF(N214="","정상",IF(N214&lt;=설정!$B$4,"낮음","정상"))))</f>
        <v/>
      </c>
      <c r="Q214" s="20"/>
      <c r="R214" s="18" t="str">
        <f aca="false">IF(J214="","",J214^2)</f>
        <v/>
      </c>
    </row>
    <row r="215" customFormat="false" ht="15" hidden="false" customHeight="false" outlineLevel="0" collapsed="false">
      <c r="A215" s="16"/>
      <c r="B215" s="17"/>
      <c r="C215" s="17"/>
      <c r="D215" s="17"/>
      <c r="E215" s="17"/>
      <c r="F215" s="17"/>
      <c r="G215" s="17"/>
      <c r="H215" s="17"/>
      <c r="I215" s="17"/>
      <c r="J215" s="18" t="str">
        <f aca="false">IF(COUNT(E215:I215)&lt;5,"",SUM(E215:I215))</f>
        <v/>
      </c>
      <c r="K215" s="18" t="str">
        <f aca="false">IF(J215="","",IF(M215&lt;설정!$B$3,"",ROUND(AVERAGEIFS($J$2:$J$1001,$B$2:$B$1001,B215,$A$2:$A$1001,"&lt;"&amp;A215,$A$2:$A$1001,"&gt;="&amp;(A215-설정!$B$2)),2)))</f>
        <v/>
      </c>
      <c r="L215" s="18" t="str">
        <f aca="false">IF(K215="","",ROUND(SQRT(MAX(0,(SUMIFS($R$2:$R$1001,$B$2:$B$1001,B215,$A$2:$A$1001,"&lt;"&amp;A215,$A$2:$A$1001,"&gt;="&amp;(A215-설정!$B$2))-M215*AVERAGEIFS($J$2:$J$1001,$B$2:$B$1001,B215,$A$2:$A$1001,"&lt;"&amp;A215,$A$2:$A$1001,"&gt;="&amp;(A215-설정!$B$2))^2)/(M215-1))),2))</f>
        <v/>
      </c>
      <c r="M215" s="18" t="str">
        <f aca="false">IF(J215="","",COUNTIFS($B$2:$B$1001,B215,$A$2:$A$1001,"&lt;"&amp;A215,$A$2:$A$1001,"&gt;="&amp;(A215-설정!$B$2),$J$2:$J$1001,"&gt;=0"))</f>
        <v/>
      </c>
      <c r="N215" s="18" t="str">
        <f aca="false">IF(K215="","",IF(L215=0,"",ROUND((J215-K215)/L215,2)))</f>
        <v/>
      </c>
      <c r="O215" s="19" t="str">
        <f aca="false">IF(J215="","",IF(MIN(F215,G215)&lt;=설정!$B$5,"예",""))</f>
        <v/>
      </c>
      <c r="P215" s="19" t="str">
        <f aca="false">IF(J215="","",IF(M215&lt;설정!$B$3,"baseline 수집 중",IF(N215="","정상",IF(N215&lt;=설정!$B$4,"낮음","정상"))))</f>
        <v/>
      </c>
      <c r="Q215" s="20"/>
      <c r="R215" s="18" t="str">
        <f aca="false">IF(J215="","",J215^2)</f>
        <v/>
      </c>
    </row>
    <row r="216" customFormat="false" ht="15" hidden="false" customHeight="false" outlineLevel="0" collapsed="false">
      <c r="A216" s="16"/>
      <c r="B216" s="17"/>
      <c r="C216" s="17"/>
      <c r="D216" s="17"/>
      <c r="E216" s="17"/>
      <c r="F216" s="17"/>
      <c r="G216" s="17"/>
      <c r="H216" s="17"/>
      <c r="I216" s="17"/>
      <c r="J216" s="18" t="str">
        <f aca="false">IF(COUNT(E216:I216)&lt;5,"",SUM(E216:I216))</f>
        <v/>
      </c>
      <c r="K216" s="18" t="str">
        <f aca="false">IF(J216="","",IF(M216&lt;설정!$B$3,"",ROUND(AVERAGEIFS($J$2:$J$1001,$B$2:$B$1001,B216,$A$2:$A$1001,"&lt;"&amp;A216,$A$2:$A$1001,"&gt;="&amp;(A216-설정!$B$2)),2)))</f>
        <v/>
      </c>
      <c r="L216" s="18" t="str">
        <f aca="false">IF(K216="","",ROUND(SQRT(MAX(0,(SUMIFS($R$2:$R$1001,$B$2:$B$1001,B216,$A$2:$A$1001,"&lt;"&amp;A216,$A$2:$A$1001,"&gt;="&amp;(A216-설정!$B$2))-M216*AVERAGEIFS($J$2:$J$1001,$B$2:$B$1001,B216,$A$2:$A$1001,"&lt;"&amp;A216,$A$2:$A$1001,"&gt;="&amp;(A216-설정!$B$2))^2)/(M216-1))),2))</f>
        <v/>
      </c>
      <c r="M216" s="18" t="str">
        <f aca="false">IF(J216="","",COUNTIFS($B$2:$B$1001,B216,$A$2:$A$1001,"&lt;"&amp;A216,$A$2:$A$1001,"&gt;="&amp;(A216-설정!$B$2),$J$2:$J$1001,"&gt;=0"))</f>
        <v/>
      </c>
      <c r="N216" s="18" t="str">
        <f aca="false">IF(K216="","",IF(L216=0,"",ROUND((J216-K216)/L216,2)))</f>
        <v/>
      </c>
      <c r="O216" s="19" t="str">
        <f aca="false">IF(J216="","",IF(MIN(F216,G216)&lt;=설정!$B$5,"예",""))</f>
        <v/>
      </c>
      <c r="P216" s="19" t="str">
        <f aca="false">IF(J216="","",IF(M216&lt;설정!$B$3,"baseline 수집 중",IF(N216="","정상",IF(N216&lt;=설정!$B$4,"낮음","정상"))))</f>
        <v/>
      </c>
      <c r="Q216" s="20"/>
      <c r="R216" s="18" t="str">
        <f aca="false">IF(J216="","",J216^2)</f>
        <v/>
      </c>
    </row>
    <row r="217" customFormat="false" ht="15" hidden="false" customHeight="false" outlineLevel="0" collapsed="false">
      <c r="A217" s="16"/>
      <c r="B217" s="17"/>
      <c r="C217" s="17"/>
      <c r="D217" s="17"/>
      <c r="E217" s="17"/>
      <c r="F217" s="17"/>
      <c r="G217" s="17"/>
      <c r="H217" s="17"/>
      <c r="I217" s="17"/>
      <c r="J217" s="18" t="str">
        <f aca="false">IF(COUNT(E217:I217)&lt;5,"",SUM(E217:I217))</f>
        <v/>
      </c>
      <c r="K217" s="18" t="str">
        <f aca="false">IF(J217="","",IF(M217&lt;설정!$B$3,"",ROUND(AVERAGEIFS($J$2:$J$1001,$B$2:$B$1001,B217,$A$2:$A$1001,"&lt;"&amp;A217,$A$2:$A$1001,"&gt;="&amp;(A217-설정!$B$2)),2)))</f>
        <v/>
      </c>
      <c r="L217" s="18" t="str">
        <f aca="false">IF(K217="","",ROUND(SQRT(MAX(0,(SUMIFS($R$2:$R$1001,$B$2:$B$1001,B217,$A$2:$A$1001,"&lt;"&amp;A217,$A$2:$A$1001,"&gt;="&amp;(A217-설정!$B$2))-M217*AVERAGEIFS($J$2:$J$1001,$B$2:$B$1001,B217,$A$2:$A$1001,"&lt;"&amp;A217,$A$2:$A$1001,"&gt;="&amp;(A217-설정!$B$2))^2)/(M217-1))),2))</f>
        <v/>
      </c>
      <c r="M217" s="18" t="str">
        <f aca="false">IF(J217="","",COUNTIFS($B$2:$B$1001,B217,$A$2:$A$1001,"&lt;"&amp;A217,$A$2:$A$1001,"&gt;="&amp;(A217-설정!$B$2),$J$2:$J$1001,"&gt;=0"))</f>
        <v/>
      </c>
      <c r="N217" s="18" t="str">
        <f aca="false">IF(K217="","",IF(L217=0,"",ROUND((J217-K217)/L217,2)))</f>
        <v/>
      </c>
      <c r="O217" s="19" t="str">
        <f aca="false">IF(J217="","",IF(MIN(F217,G217)&lt;=설정!$B$5,"예",""))</f>
        <v/>
      </c>
      <c r="P217" s="19" t="str">
        <f aca="false">IF(J217="","",IF(M217&lt;설정!$B$3,"baseline 수집 중",IF(N217="","정상",IF(N217&lt;=설정!$B$4,"낮음","정상"))))</f>
        <v/>
      </c>
      <c r="Q217" s="20"/>
      <c r="R217" s="18" t="str">
        <f aca="false">IF(J217="","",J217^2)</f>
        <v/>
      </c>
    </row>
    <row r="218" customFormat="false" ht="15" hidden="false" customHeight="false" outlineLevel="0" collapsed="false">
      <c r="A218" s="16"/>
      <c r="B218" s="17"/>
      <c r="C218" s="17"/>
      <c r="D218" s="17"/>
      <c r="E218" s="17"/>
      <c r="F218" s="17"/>
      <c r="G218" s="17"/>
      <c r="H218" s="17"/>
      <c r="I218" s="17"/>
      <c r="J218" s="18" t="str">
        <f aca="false">IF(COUNT(E218:I218)&lt;5,"",SUM(E218:I218))</f>
        <v/>
      </c>
      <c r="K218" s="18" t="str">
        <f aca="false">IF(J218="","",IF(M218&lt;설정!$B$3,"",ROUND(AVERAGEIFS($J$2:$J$1001,$B$2:$B$1001,B218,$A$2:$A$1001,"&lt;"&amp;A218,$A$2:$A$1001,"&gt;="&amp;(A218-설정!$B$2)),2)))</f>
        <v/>
      </c>
      <c r="L218" s="18" t="str">
        <f aca="false">IF(K218="","",ROUND(SQRT(MAX(0,(SUMIFS($R$2:$R$1001,$B$2:$B$1001,B218,$A$2:$A$1001,"&lt;"&amp;A218,$A$2:$A$1001,"&gt;="&amp;(A218-설정!$B$2))-M218*AVERAGEIFS($J$2:$J$1001,$B$2:$B$1001,B218,$A$2:$A$1001,"&lt;"&amp;A218,$A$2:$A$1001,"&gt;="&amp;(A218-설정!$B$2))^2)/(M218-1))),2))</f>
        <v/>
      </c>
      <c r="M218" s="18" t="str">
        <f aca="false">IF(J218="","",COUNTIFS($B$2:$B$1001,B218,$A$2:$A$1001,"&lt;"&amp;A218,$A$2:$A$1001,"&gt;="&amp;(A218-설정!$B$2),$J$2:$J$1001,"&gt;=0"))</f>
        <v/>
      </c>
      <c r="N218" s="18" t="str">
        <f aca="false">IF(K218="","",IF(L218=0,"",ROUND((J218-K218)/L218,2)))</f>
        <v/>
      </c>
      <c r="O218" s="19" t="str">
        <f aca="false">IF(J218="","",IF(MIN(F218,G218)&lt;=설정!$B$5,"예",""))</f>
        <v/>
      </c>
      <c r="P218" s="19" t="str">
        <f aca="false">IF(J218="","",IF(M218&lt;설정!$B$3,"baseline 수집 중",IF(N218="","정상",IF(N218&lt;=설정!$B$4,"낮음","정상"))))</f>
        <v/>
      </c>
      <c r="Q218" s="20"/>
      <c r="R218" s="18" t="str">
        <f aca="false">IF(J218="","",J218^2)</f>
        <v/>
      </c>
    </row>
    <row r="219" customFormat="false" ht="15" hidden="false" customHeight="false" outlineLevel="0" collapsed="false">
      <c r="A219" s="16"/>
      <c r="B219" s="17"/>
      <c r="C219" s="17"/>
      <c r="D219" s="17"/>
      <c r="E219" s="17"/>
      <c r="F219" s="17"/>
      <c r="G219" s="17"/>
      <c r="H219" s="17"/>
      <c r="I219" s="17"/>
      <c r="J219" s="18" t="str">
        <f aca="false">IF(COUNT(E219:I219)&lt;5,"",SUM(E219:I219))</f>
        <v/>
      </c>
      <c r="K219" s="18" t="str">
        <f aca="false">IF(J219="","",IF(M219&lt;설정!$B$3,"",ROUND(AVERAGEIFS($J$2:$J$1001,$B$2:$B$1001,B219,$A$2:$A$1001,"&lt;"&amp;A219,$A$2:$A$1001,"&gt;="&amp;(A219-설정!$B$2)),2)))</f>
        <v/>
      </c>
      <c r="L219" s="18" t="str">
        <f aca="false">IF(K219="","",ROUND(SQRT(MAX(0,(SUMIFS($R$2:$R$1001,$B$2:$B$1001,B219,$A$2:$A$1001,"&lt;"&amp;A219,$A$2:$A$1001,"&gt;="&amp;(A219-설정!$B$2))-M219*AVERAGEIFS($J$2:$J$1001,$B$2:$B$1001,B219,$A$2:$A$1001,"&lt;"&amp;A219,$A$2:$A$1001,"&gt;="&amp;(A219-설정!$B$2))^2)/(M219-1))),2))</f>
        <v/>
      </c>
      <c r="M219" s="18" t="str">
        <f aca="false">IF(J219="","",COUNTIFS($B$2:$B$1001,B219,$A$2:$A$1001,"&lt;"&amp;A219,$A$2:$A$1001,"&gt;="&amp;(A219-설정!$B$2),$J$2:$J$1001,"&gt;=0"))</f>
        <v/>
      </c>
      <c r="N219" s="18" t="str">
        <f aca="false">IF(K219="","",IF(L219=0,"",ROUND((J219-K219)/L219,2)))</f>
        <v/>
      </c>
      <c r="O219" s="19" t="str">
        <f aca="false">IF(J219="","",IF(MIN(F219,G219)&lt;=설정!$B$5,"예",""))</f>
        <v/>
      </c>
      <c r="P219" s="19" t="str">
        <f aca="false">IF(J219="","",IF(M219&lt;설정!$B$3,"baseline 수집 중",IF(N219="","정상",IF(N219&lt;=설정!$B$4,"낮음","정상"))))</f>
        <v/>
      </c>
      <c r="Q219" s="20"/>
      <c r="R219" s="18" t="str">
        <f aca="false">IF(J219="","",J219^2)</f>
        <v/>
      </c>
    </row>
    <row r="220" customFormat="false" ht="15" hidden="false" customHeight="false" outlineLevel="0" collapsed="false">
      <c r="A220" s="16"/>
      <c r="B220" s="17"/>
      <c r="C220" s="17"/>
      <c r="D220" s="17"/>
      <c r="E220" s="17"/>
      <c r="F220" s="17"/>
      <c r="G220" s="17"/>
      <c r="H220" s="17"/>
      <c r="I220" s="17"/>
      <c r="J220" s="18" t="str">
        <f aca="false">IF(COUNT(E220:I220)&lt;5,"",SUM(E220:I220))</f>
        <v/>
      </c>
      <c r="K220" s="18" t="str">
        <f aca="false">IF(J220="","",IF(M220&lt;설정!$B$3,"",ROUND(AVERAGEIFS($J$2:$J$1001,$B$2:$B$1001,B220,$A$2:$A$1001,"&lt;"&amp;A220,$A$2:$A$1001,"&gt;="&amp;(A220-설정!$B$2)),2)))</f>
        <v/>
      </c>
      <c r="L220" s="18" t="str">
        <f aca="false">IF(K220="","",ROUND(SQRT(MAX(0,(SUMIFS($R$2:$R$1001,$B$2:$B$1001,B220,$A$2:$A$1001,"&lt;"&amp;A220,$A$2:$A$1001,"&gt;="&amp;(A220-설정!$B$2))-M220*AVERAGEIFS($J$2:$J$1001,$B$2:$B$1001,B220,$A$2:$A$1001,"&lt;"&amp;A220,$A$2:$A$1001,"&gt;="&amp;(A220-설정!$B$2))^2)/(M220-1))),2))</f>
        <v/>
      </c>
      <c r="M220" s="18" t="str">
        <f aca="false">IF(J220="","",COUNTIFS($B$2:$B$1001,B220,$A$2:$A$1001,"&lt;"&amp;A220,$A$2:$A$1001,"&gt;="&amp;(A220-설정!$B$2),$J$2:$J$1001,"&gt;=0"))</f>
        <v/>
      </c>
      <c r="N220" s="18" t="str">
        <f aca="false">IF(K220="","",IF(L220=0,"",ROUND((J220-K220)/L220,2)))</f>
        <v/>
      </c>
      <c r="O220" s="19" t="str">
        <f aca="false">IF(J220="","",IF(MIN(F220,G220)&lt;=설정!$B$5,"예",""))</f>
        <v/>
      </c>
      <c r="P220" s="19" t="str">
        <f aca="false">IF(J220="","",IF(M220&lt;설정!$B$3,"baseline 수집 중",IF(N220="","정상",IF(N220&lt;=설정!$B$4,"낮음","정상"))))</f>
        <v/>
      </c>
      <c r="Q220" s="20"/>
      <c r="R220" s="18" t="str">
        <f aca="false">IF(J220="","",J220^2)</f>
        <v/>
      </c>
    </row>
    <row r="221" customFormat="false" ht="15" hidden="false" customHeight="false" outlineLevel="0" collapsed="false">
      <c r="A221" s="16"/>
      <c r="B221" s="17"/>
      <c r="C221" s="17"/>
      <c r="D221" s="17"/>
      <c r="E221" s="17"/>
      <c r="F221" s="17"/>
      <c r="G221" s="17"/>
      <c r="H221" s="17"/>
      <c r="I221" s="17"/>
      <c r="J221" s="18" t="str">
        <f aca="false">IF(COUNT(E221:I221)&lt;5,"",SUM(E221:I221))</f>
        <v/>
      </c>
      <c r="K221" s="18" t="str">
        <f aca="false">IF(J221="","",IF(M221&lt;설정!$B$3,"",ROUND(AVERAGEIFS($J$2:$J$1001,$B$2:$B$1001,B221,$A$2:$A$1001,"&lt;"&amp;A221,$A$2:$A$1001,"&gt;="&amp;(A221-설정!$B$2)),2)))</f>
        <v/>
      </c>
      <c r="L221" s="18" t="str">
        <f aca="false">IF(K221="","",ROUND(SQRT(MAX(0,(SUMIFS($R$2:$R$1001,$B$2:$B$1001,B221,$A$2:$A$1001,"&lt;"&amp;A221,$A$2:$A$1001,"&gt;="&amp;(A221-설정!$B$2))-M221*AVERAGEIFS($J$2:$J$1001,$B$2:$B$1001,B221,$A$2:$A$1001,"&lt;"&amp;A221,$A$2:$A$1001,"&gt;="&amp;(A221-설정!$B$2))^2)/(M221-1))),2))</f>
        <v/>
      </c>
      <c r="M221" s="18" t="str">
        <f aca="false">IF(J221="","",COUNTIFS($B$2:$B$1001,B221,$A$2:$A$1001,"&lt;"&amp;A221,$A$2:$A$1001,"&gt;="&amp;(A221-설정!$B$2),$J$2:$J$1001,"&gt;=0"))</f>
        <v/>
      </c>
      <c r="N221" s="18" t="str">
        <f aca="false">IF(K221="","",IF(L221=0,"",ROUND((J221-K221)/L221,2)))</f>
        <v/>
      </c>
      <c r="O221" s="19" t="str">
        <f aca="false">IF(J221="","",IF(MIN(F221,G221)&lt;=설정!$B$5,"예",""))</f>
        <v/>
      </c>
      <c r="P221" s="19" t="str">
        <f aca="false">IF(J221="","",IF(M221&lt;설정!$B$3,"baseline 수집 중",IF(N221="","정상",IF(N221&lt;=설정!$B$4,"낮음","정상"))))</f>
        <v/>
      </c>
      <c r="Q221" s="20"/>
      <c r="R221" s="18" t="str">
        <f aca="false">IF(J221="","",J221^2)</f>
        <v/>
      </c>
    </row>
    <row r="222" customFormat="false" ht="15" hidden="false" customHeight="false" outlineLevel="0" collapsed="false">
      <c r="A222" s="16"/>
      <c r="B222" s="17"/>
      <c r="C222" s="17"/>
      <c r="D222" s="17"/>
      <c r="E222" s="17"/>
      <c r="F222" s="17"/>
      <c r="G222" s="17"/>
      <c r="H222" s="17"/>
      <c r="I222" s="17"/>
      <c r="J222" s="18" t="str">
        <f aca="false">IF(COUNT(E222:I222)&lt;5,"",SUM(E222:I222))</f>
        <v/>
      </c>
      <c r="K222" s="18" t="str">
        <f aca="false">IF(J222="","",IF(M222&lt;설정!$B$3,"",ROUND(AVERAGEIFS($J$2:$J$1001,$B$2:$B$1001,B222,$A$2:$A$1001,"&lt;"&amp;A222,$A$2:$A$1001,"&gt;="&amp;(A222-설정!$B$2)),2)))</f>
        <v/>
      </c>
      <c r="L222" s="18" t="str">
        <f aca="false">IF(K222="","",ROUND(SQRT(MAX(0,(SUMIFS($R$2:$R$1001,$B$2:$B$1001,B222,$A$2:$A$1001,"&lt;"&amp;A222,$A$2:$A$1001,"&gt;="&amp;(A222-설정!$B$2))-M222*AVERAGEIFS($J$2:$J$1001,$B$2:$B$1001,B222,$A$2:$A$1001,"&lt;"&amp;A222,$A$2:$A$1001,"&gt;="&amp;(A222-설정!$B$2))^2)/(M222-1))),2))</f>
        <v/>
      </c>
      <c r="M222" s="18" t="str">
        <f aca="false">IF(J222="","",COUNTIFS($B$2:$B$1001,B222,$A$2:$A$1001,"&lt;"&amp;A222,$A$2:$A$1001,"&gt;="&amp;(A222-설정!$B$2),$J$2:$J$1001,"&gt;=0"))</f>
        <v/>
      </c>
      <c r="N222" s="18" t="str">
        <f aca="false">IF(K222="","",IF(L222=0,"",ROUND((J222-K222)/L222,2)))</f>
        <v/>
      </c>
      <c r="O222" s="19" t="str">
        <f aca="false">IF(J222="","",IF(MIN(F222,G222)&lt;=설정!$B$5,"예",""))</f>
        <v/>
      </c>
      <c r="P222" s="19" t="str">
        <f aca="false">IF(J222="","",IF(M222&lt;설정!$B$3,"baseline 수집 중",IF(N222="","정상",IF(N222&lt;=설정!$B$4,"낮음","정상"))))</f>
        <v/>
      </c>
      <c r="Q222" s="20"/>
      <c r="R222" s="18" t="str">
        <f aca="false">IF(J222="","",J222^2)</f>
        <v/>
      </c>
    </row>
    <row r="223" customFormat="false" ht="15" hidden="false" customHeight="false" outlineLevel="0" collapsed="false">
      <c r="A223" s="16"/>
      <c r="B223" s="17"/>
      <c r="C223" s="17"/>
      <c r="D223" s="17"/>
      <c r="E223" s="17"/>
      <c r="F223" s="17"/>
      <c r="G223" s="17"/>
      <c r="H223" s="17"/>
      <c r="I223" s="17"/>
      <c r="J223" s="18" t="str">
        <f aca="false">IF(COUNT(E223:I223)&lt;5,"",SUM(E223:I223))</f>
        <v/>
      </c>
      <c r="K223" s="18" t="str">
        <f aca="false">IF(J223="","",IF(M223&lt;설정!$B$3,"",ROUND(AVERAGEIFS($J$2:$J$1001,$B$2:$B$1001,B223,$A$2:$A$1001,"&lt;"&amp;A223,$A$2:$A$1001,"&gt;="&amp;(A223-설정!$B$2)),2)))</f>
        <v/>
      </c>
      <c r="L223" s="18" t="str">
        <f aca="false">IF(K223="","",ROUND(SQRT(MAX(0,(SUMIFS($R$2:$R$1001,$B$2:$B$1001,B223,$A$2:$A$1001,"&lt;"&amp;A223,$A$2:$A$1001,"&gt;="&amp;(A223-설정!$B$2))-M223*AVERAGEIFS($J$2:$J$1001,$B$2:$B$1001,B223,$A$2:$A$1001,"&lt;"&amp;A223,$A$2:$A$1001,"&gt;="&amp;(A223-설정!$B$2))^2)/(M223-1))),2))</f>
        <v/>
      </c>
      <c r="M223" s="18" t="str">
        <f aca="false">IF(J223="","",COUNTIFS($B$2:$B$1001,B223,$A$2:$A$1001,"&lt;"&amp;A223,$A$2:$A$1001,"&gt;="&amp;(A223-설정!$B$2),$J$2:$J$1001,"&gt;=0"))</f>
        <v/>
      </c>
      <c r="N223" s="18" t="str">
        <f aca="false">IF(K223="","",IF(L223=0,"",ROUND((J223-K223)/L223,2)))</f>
        <v/>
      </c>
      <c r="O223" s="19" t="str">
        <f aca="false">IF(J223="","",IF(MIN(F223,G223)&lt;=설정!$B$5,"예",""))</f>
        <v/>
      </c>
      <c r="P223" s="19" t="str">
        <f aca="false">IF(J223="","",IF(M223&lt;설정!$B$3,"baseline 수집 중",IF(N223="","정상",IF(N223&lt;=설정!$B$4,"낮음","정상"))))</f>
        <v/>
      </c>
      <c r="Q223" s="20"/>
      <c r="R223" s="18" t="str">
        <f aca="false">IF(J223="","",J223^2)</f>
        <v/>
      </c>
    </row>
    <row r="224" customFormat="false" ht="15" hidden="false" customHeight="false" outlineLevel="0" collapsed="false">
      <c r="A224" s="16"/>
      <c r="B224" s="17"/>
      <c r="C224" s="17"/>
      <c r="D224" s="17"/>
      <c r="E224" s="17"/>
      <c r="F224" s="17"/>
      <c r="G224" s="17"/>
      <c r="H224" s="17"/>
      <c r="I224" s="17"/>
      <c r="J224" s="18" t="str">
        <f aca="false">IF(COUNT(E224:I224)&lt;5,"",SUM(E224:I224))</f>
        <v/>
      </c>
      <c r="K224" s="18" t="str">
        <f aca="false">IF(J224="","",IF(M224&lt;설정!$B$3,"",ROUND(AVERAGEIFS($J$2:$J$1001,$B$2:$B$1001,B224,$A$2:$A$1001,"&lt;"&amp;A224,$A$2:$A$1001,"&gt;="&amp;(A224-설정!$B$2)),2)))</f>
        <v/>
      </c>
      <c r="L224" s="18" t="str">
        <f aca="false">IF(K224="","",ROUND(SQRT(MAX(0,(SUMIFS($R$2:$R$1001,$B$2:$B$1001,B224,$A$2:$A$1001,"&lt;"&amp;A224,$A$2:$A$1001,"&gt;="&amp;(A224-설정!$B$2))-M224*AVERAGEIFS($J$2:$J$1001,$B$2:$B$1001,B224,$A$2:$A$1001,"&lt;"&amp;A224,$A$2:$A$1001,"&gt;="&amp;(A224-설정!$B$2))^2)/(M224-1))),2))</f>
        <v/>
      </c>
      <c r="M224" s="18" t="str">
        <f aca="false">IF(J224="","",COUNTIFS($B$2:$B$1001,B224,$A$2:$A$1001,"&lt;"&amp;A224,$A$2:$A$1001,"&gt;="&amp;(A224-설정!$B$2),$J$2:$J$1001,"&gt;=0"))</f>
        <v/>
      </c>
      <c r="N224" s="18" t="str">
        <f aca="false">IF(K224="","",IF(L224=0,"",ROUND((J224-K224)/L224,2)))</f>
        <v/>
      </c>
      <c r="O224" s="19" t="str">
        <f aca="false">IF(J224="","",IF(MIN(F224,G224)&lt;=설정!$B$5,"예",""))</f>
        <v/>
      </c>
      <c r="P224" s="19" t="str">
        <f aca="false">IF(J224="","",IF(M224&lt;설정!$B$3,"baseline 수집 중",IF(N224="","정상",IF(N224&lt;=설정!$B$4,"낮음","정상"))))</f>
        <v/>
      </c>
      <c r="Q224" s="20"/>
      <c r="R224" s="18" t="str">
        <f aca="false">IF(J224="","",J224^2)</f>
        <v/>
      </c>
    </row>
    <row r="225" customFormat="false" ht="15" hidden="false" customHeight="false" outlineLevel="0" collapsed="false">
      <c r="A225" s="16"/>
      <c r="B225" s="17"/>
      <c r="C225" s="17"/>
      <c r="D225" s="17"/>
      <c r="E225" s="17"/>
      <c r="F225" s="17"/>
      <c r="G225" s="17"/>
      <c r="H225" s="17"/>
      <c r="I225" s="17"/>
      <c r="J225" s="18" t="str">
        <f aca="false">IF(COUNT(E225:I225)&lt;5,"",SUM(E225:I225))</f>
        <v/>
      </c>
      <c r="K225" s="18" t="str">
        <f aca="false">IF(J225="","",IF(M225&lt;설정!$B$3,"",ROUND(AVERAGEIFS($J$2:$J$1001,$B$2:$B$1001,B225,$A$2:$A$1001,"&lt;"&amp;A225,$A$2:$A$1001,"&gt;="&amp;(A225-설정!$B$2)),2)))</f>
        <v/>
      </c>
      <c r="L225" s="18" t="str">
        <f aca="false">IF(K225="","",ROUND(SQRT(MAX(0,(SUMIFS($R$2:$R$1001,$B$2:$B$1001,B225,$A$2:$A$1001,"&lt;"&amp;A225,$A$2:$A$1001,"&gt;="&amp;(A225-설정!$B$2))-M225*AVERAGEIFS($J$2:$J$1001,$B$2:$B$1001,B225,$A$2:$A$1001,"&lt;"&amp;A225,$A$2:$A$1001,"&gt;="&amp;(A225-설정!$B$2))^2)/(M225-1))),2))</f>
        <v/>
      </c>
      <c r="M225" s="18" t="str">
        <f aca="false">IF(J225="","",COUNTIFS($B$2:$B$1001,B225,$A$2:$A$1001,"&lt;"&amp;A225,$A$2:$A$1001,"&gt;="&amp;(A225-설정!$B$2),$J$2:$J$1001,"&gt;=0"))</f>
        <v/>
      </c>
      <c r="N225" s="18" t="str">
        <f aca="false">IF(K225="","",IF(L225=0,"",ROUND((J225-K225)/L225,2)))</f>
        <v/>
      </c>
      <c r="O225" s="19" t="str">
        <f aca="false">IF(J225="","",IF(MIN(F225,G225)&lt;=설정!$B$5,"예",""))</f>
        <v/>
      </c>
      <c r="P225" s="19" t="str">
        <f aca="false">IF(J225="","",IF(M225&lt;설정!$B$3,"baseline 수집 중",IF(N225="","정상",IF(N225&lt;=설정!$B$4,"낮음","정상"))))</f>
        <v/>
      </c>
      <c r="Q225" s="20"/>
      <c r="R225" s="18" t="str">
        <f aca="false">IF(J225="","",J225^2)</f>
        <v/>
      </c>
    </row>
    <row r="226" customFormat="false" ht="15" hidden="false" customHeight="false" outlineLevel="0" collapsed="false">
      <c r="A226" s="16"/>
      <c r="B226" s="17"/>
      <c r="C226" s="17"/>
      <c r="D226" s="17"/>
      <c r="E226" s="17"/>
      <c r="F226" s="17"/>
      <c r="G226" s="17"/>
      <c r="H226" s="17"/>
      <c r="I226" s="17"/>
      <c r="J226" s="18" t="str">
        <f aca="false">IF(COUNT(E226:I226)&lt;5,"",SUM(E226:I226))</f>
        <v/>
      </c>
      <c r="K226" s="18" t="str">
        <f aca="false">IF(J226="","",IF(M226&lt;설정!$B$3,"",ROUND(AVERAGEIFS($J$2:$J$1001,$B$2:$B$1001,B226,$A$2:$A$1001,"&lt;"&amp;A226,$A$2:$A$1001,"&gt;="&amp;(A226-설정!$B$2)),2)))</f>
        <v/>
      </c>
      <c r="L226" s="18" t="str">
        <f aca="false">IF(K226="","",ROUND(SQRT(MAX(0,(SUMIFS($R$2:$R$1001,$B$2:$B$1001,B226,$A$2:$A$1001,"&lt;"&amp;A226,$A$2:$A$1001,"&gt;="&amp;(A226-설정!$B$2))-M226*AVERAGEIFS($J$2:$J$1001,$B$2:$B$1001,B226,$A$2:$A$1001,"&lt;"&amp;A226,$A$2:$A$1001,"&gt;="&amp;(A226-설정!$B$2))^2)/(M226-1))),2))</f>
        <v/>
      </c>
      <c r="M226" s="18" t="str">
        <f aca="false">IF(J226="","",COUNTIFS($B$2:$B$1001,B226,$A$2:$A$1001,"&lt;"&amp;A226,$A$2:$A$1001,"&gt;="&amp;(A226-설정!$B$2),$J$2:$J$1001,"&gt;=0"))</f>
        <v/>
      </c>
      <c r="N226" s="18" t="str">
        <f aca="false">IF(K226="","",IF(L226=0,"",ROUND((J226-K226)/L226,2)))</f>
        <v/>
      </c>
      <c r="O226" s="19" t="str">
        <f aca="false">IF(J226="","",IF(MIN(F226,G226)&lt;=설정!$B$5,"예",""))</f>
        <v/>
      </c>
      <c r="P226" s="19" t="str">
        <f aca="false">IF(J226="","",IF(M226&lt;설정!$B$3,"baseline 수집 중",IF(N226="","정상",IF(N226&lt;=설정!$B$4,"낮음","정상"))))</f>
        <v/>
      </c>
      <c r="Q226" s="20"/>
      <c r="R226" s="18" t="str">
        <f aca="false">IF(J226="","",J226^2)</f>
        <v/>
      </c>
    </row>
    <row r="227" customFormat="false" ht="15" hidden="false" customHeight="false" outlineLevel="0" collapsed="false">
      <c r="A227" s="16"/>
      <c r="B227" s="17"/>
      <c r="C227" s="17"/>
      <c r="D227" s="17"/>
      <c r="E227" s="17"/>
      <c r="F227" s="17"/>
      <c r="G227" s="17"/>
      <c r="H227" s="17"/>
      <c r="I227" s="17"/>
      <c r="J227" s="18" t="str">
        <f aca="false">IF(COUNT(E227:I227)&lt;5,"",SUM(E227:I227))</f>
        <v/>
      </c>
      <c r="K227" s="18" t="str">
        <f aca="false">IF(J227="","",IF(M227&lt;설정!$B$3,"",ROUND(AVERAGEIFS($J$2:$J$1001,$B$2:$B$1001,B227,$A$2:$A$1001,"&lt;"&amp;A227,$A$2:$A$1001,"&gt;="&amp;(A227-설정!$B$2)),2)))</f>
        <v/>
      </c>
      <c r="L227" s="18" t="str">
        <f aca="false">IF(K227="","",ROUND(SQRT(MAX(0,(SUMIFS($R$2:$R$1001,$B$2:$B$1001,B227,$A$2:$A$1001,"&lt;"&amp;A227,$A$2:$A$1001,"&gt;="&amp;(A227-설정!$B$2))-M227*AVERAGEIFS($J$2:$J$1001,$B$2:$B$1001,B227,$A$2:$A$1001,"&lt;"&amp;A227,$A$2:$A$1001,"&gt;="&amp;(A227-설정!$B$2))^2)/(M227-1))),2))</f>
        <v/>
      </c>
      <c r="M227" s="18" t="str">
        <f aca="false">IF(J227="","",COUNTIFS($B$2:$B$1001,B227,$A$2:$A$1001,"&lt;"&amp;A227,$A$2:$A$1001,"&gt;="&amp;(A227-설정!$B$2),$J$2:$J$1001,"&gt;=0"))</f>
        <v/>
      </c>
      <c r="N227" s="18" t="str">
        <f aca="false">IF(K227="","",IF(L227=0,"",ROUND((J227-K227)/L227,2)))</f>
        <v/>
      </c>
      <c r="O227" s="19" t="str">
        <f aca="false">IF(J227="","",IF(MIN(F227,G227)&lt;=설정!$B$5,"예",""))</f>
        <v/>
      </c>
      <c r="P227" s="19" t="str">
        <f aca="false">IF(J227="","",IF(M227&lt;설정!$B$3,"baseline 수집 중",IF(N227="","정상",IF(N227&lt;=설정!$B$4,"낮음","정상"))))</f>
        <v/>
      </c>
      <c r="Q227" s="20"/>
      <c r="R227" s="18" t="str">
        <f aca="false">IF(J227="","",J227^2)</f>
        <v/>
      </c>
    </row>
    <row r="228" customFormat="false" ht="15" hidden="false" customHeight="false" outlineLevel="0" collapsed="false">
      <c r="A228" s="16"/>
      <c r="B228" s="17"/>
      <c r="C228" s="17"/>
      <c r="D228" s="17"/>
      <c r="E228" s="17"/>
      <c r="F228" s="17"/>
      <c r="G228" s="17"/>
      <c r="H228" s="17"/>
      <c r="I228" s="17"/>
      <c r="J228" s="18" t="str">
        <f aca="false">IF(COUNT(E228:I228)&lt;5,"",SUM(E228:I228))</f>
        <v/>
      </c>
      <c r="K228" s="18" t="str">
        <f aca="false">IF(J228="","",IF(M228&lt;설정!$B$3,"",ROUND(AVERAGEIFS($J$2:$J$1001,$B$2:$B$1001,B228,$A$2:$A$1001,"&lt;"&amp;A228,$A$2:$A$1001,"&gt;="&amp;(A228-설정!$B$2)),2)))</f>
        <v/>
      </c>
      <c r="L228" s="18" t="str">
        <f aca="false">IF(K228="","",ROUND(SQRT(MAX(0,(SUMIFS($R$2:$R$1001,$B$2:$B$1001,B228,$A$2:$A$1001,"&lt;"&amp;A228,$A$2:$A$1001,"&gt;="&amp;(A228-설정!$B$2))-M228*AVERAGEIFS($J$2:$J$1001,$B$2:$B$1001,B228,$A$2:$A$1001,"&lt;"&amp;A228,$A$2:$A$1001,"&gt;="&amp;(A228-설정!$B$2))^2)/(M228-1))),2))</f>
        <v/>
      </c>
      <c r="M228" s="18" t="str">
        <f aca="false">IF(J228="","",COUNTIFS($B$2:$B$1001,B228,$A$2:$A$1001,"&lt;"&amp;A228,$A$2:$A$1001,"&gt;="&amp;(A228-설정!$B$2),$J$2:$J$1001,"&gt;=0"))</f>
        <v/>
      </c>
      <c r="N228" s="18" t="str">
        <f aca="false">IF(K228="","",IF(L228=0,"",ROUND((J228-K228)/L228,2)))</f>
        <v/>
      </c>
      <c r="O228" s="19" t="str">
        <f aca="false">IF(J228="","",IF(MIN(F228,G228)&lt;=설정!$B$5,"예",""))</f>
        <v/>
      </c>
      <c r="P228" s="19" t="str">
        <f aca="false">IF(J228="","",IF(M228&lt;설정!$B$3,"baseline 수집 중",IF(N228="","정상",IF(N228&lt;=설정!$B$4,"낮음","정상"))))</f>
        <v/>
      </c>
      <c r="Q228" s="20"/>
      <c r="R228" s="18" t="str">
        <f aca="false">IF(J228="","",J228^2)</f>
        <v/>
      </c>
    </row>
    <row r="229" customFormat="false" ht="15" hidden="false" customHeight="false" outlineLevel="0" collapsed="false">
      <c r="A229" s="16"/>
      <c r="B229" s="17"/>
      <c r="C229" s="17"/>
      <c r="D229" s="17"/>
      <c r="E229" s="17"/>
      <c r="F229" s="17"/>
      <c r="G229" s="17"/>
      <c r="H229" s="17"/>
      <c r="I229" s="17"/>
      <c r="J229" s="18" t="str">
        <f aca="false">IF(COUNT(E229:I229)&lt;5,"",SUM(E229:I229))</f>
        <v/>
      </c>
      <c r="K229" s="18" t="str">
        <f aca="false">IF(J229="","",IF(M229&lt;설정!$B$3,"",ROUND(AVERAGEIFS($J$2:$J$1001,$B$2:$B$1001,B229,$A$2:$A$1001,"&lt;"&amp;A229,$A$2:$A$1001,"&gt;="&amp;(A229-설정!$B$2)),2)))</f>
        <v/>
      </c>
      <c r="L229" s="18" t="str">
        <f aca="false">IF(K229="","",ROUND(SQRT(MAX(0,(SUMIFS($R$2:$R$1001,$B$2:$B$1001,B229,$A$2:$A$1001,"&lt;"&amp;A229,$A$2:$A$1001,"&gt;="&amp;(A229-설정!$B$2))-M229*AVERAGEIFS($J$2:$J$1001,$B$2:$B$1001,B229,$A$2:$A$1001,"&lt;"&amp;A229,$A$2:$A$1001,"&gt;="&amp;(A229-설정!$B$2))^2)/(M229-1))),2))</f>
        <v/>
      </c>
      <c r="M229" s="18" t="str">
        <f aca="false">IF(J229="","",COUNTIFS($B$2:$B$1001,B229,$A$2:$A$1001,"&lt;"&amp;A229,$A$2:$A$1001,"&gt;="&amp;(A229-설정!$B$2),$J$2:$J$1001,"&gt;=0"))</f>
        <v/>
      </c>
      <c r="N229" s="18" t="str">
        <f aca="false">IF(K229="","",IF(L229=0,"",ROUND((J229-K229)/L229,2)))</f>
        <v/>
      </c>
      <c r="O229" s="19" t="str">
        <f aca="false">IF(J229="","",IF(MIN(F229,G229)&lt;=설정!$B$5,"예",""))</f>
        <v/>
      </c>
      <c r="P229" s="19" t="str">
        <f aca="false">IF(J229="","",IF(M229&lt;설정!$B$3,"baseline 수집 중",IF(N229="","정상",IF(N229&lt;=설정!$B$4,"낮음","정상"))))</f>
        <v/>
      </c>
      <c r="Q229" s="20"/>
      <c r="R229" s="18" t="str">
        <f aca="false">IF(J229="","",J229^2)</f>
        <v/>
      </c>
    </row>
    <row r="230" customFormat="false" ht="15" hidden="false" customHeight="false" outlineLevel="0" collapsed="false">
      <c r="A230" s="16"/>
      <c r="B230" s="17"/>
      <c r="C230" s="17"/>
      <c r="D230" s="17"/>
      <c r="E230" s="17"/>
      <c r="F230" s="17"/>
      <c r="G230" s="17"/>
      <c r="H230" s="17"/>
      <c r="I230" s="17"/>
      <c r="J230" s="18" t="str">
        <f aca="false">IF(COUNT(E230:I230)&lt;5,"",SUM(E230:I230))</f>
        <v/>
      </c>
      <c r="K230" s="18" t="str">
        <f aca="false">IF(J230="","",IF(M230&lt;설정!$B$3,"",ROUND(AVERAGEIFS($J$2:$J$1001,$B$2:$B$1001,B230,$A$2:$A$1001,"&lt;"&amp;A230,$A$2:$A$1001,"&gt;="&amp;(A230-설정!$B$2)),2)))</f>
        <v/>
      </c>
      <c r="L230" s="18" t="str">
        <f aca="false">IF(K230="","",ROUND(SQRT(MAX(0,(SUMIFS($R$2:$R$1001,$B$2:$B$1001,B230,$A$2:$A$1001,"&lt;"&amp;A230,$A$2:$A$1001,"&gt;="&amp;(A230-설정!$B$2))-M230*AVERAGEIFS($J$2:$J$1001,$B$2:$B$1001,B230,$A$2:$A$1001,"&lt;"&amp;A230,$A$2:$A$1001,"&gt;="&amp;(A230-설정!$B$2))^2)/(M230-1))),2))</f>
        <v/>
      </c>
      <c r="M230" s="18" t="str">
        <f aca="false">IF(J230="","",COUNTIFS($B$2:$B$1001,B230,$A$2:$A$1001,"&lt;"&amp;A230,$A$2:$A$1001,"&gt;="&amp;(A230-설정!$B$2),$J$2:$J$1001,"&gt;=0"))</f>
        <v/>
      </c>
      <c r="N230" s="18" t="str">
        <f aca="false">IF(K230="","",IF(L230=0,"",ROUND((J230-K230)/L230,2)))</f>
        <v/>
      </c>
      <c r="O230" s="19" t="str">
        <f aca="false">IF(J230="","",IF(MIN(F230,G230)&lt;=설정!$B$5,"예",""))</f>
        <v/>
      </c>
      <c r="P230" s="19" t="str">
        <f aca="false">IF(J230="","",IF(M230&lt;설정!$B$3,"baseline 수집 중",IF(N230="","정상",IF(N230&lt;=설정!$B$4,"낮음","정상"))))</f>
        <v/>
      </c>
      <c r="Q230" s="20"/>
      <c r="R230" s="18" t="str">
        <f aca="false">IF(J230="","",J230^2)</f>
        <v/>
      </c>
    </row>
    <row r="231" customFormat="false" ht="15" hidden="false" customHeight="false" outlineLevel="0" collapsed="false">
      <c r="A231" s="16"/>
      <c r="B231" s="17"/>
      <c r="C231" s="17"/>
      <c r="D231" s="17"/>
      <c r="E231" s="17"/>
      <c r="F231" s="17"/>
      <c r="G231" s="17"/>
      <c r="H231" s="17"/>
      <c r="I231" s="17"/>
      <c r="J231" s="18" t="str">
        <f aca="false">IF(COUNT(E231:I231)&lt;5,"",SUM(E231:I231))</f>
        <v/>
      </c>
      <c r="K231" s="18" t="str">
        <f aca="false">IF(J231="","",IF(M231&lt;설정!$B$3,"",ROUND(AVERAGEIFS($J$2:$J$1001,$B$2:$B$1001,B231,$A$2:$A$1001,"&lt;"&amp;A231,$A$2:$A$1001,"&gt;="&amp;(A231-설정!$B$2)),2)))</f>
        <v/>
      </c>
      <c r="L231" s="18" t="str">
        <f aca="false">IF(K231="","",ROUND(SQRT(MAX(0,(SUMIFS($R$2:$R$1001,$B$2:$B$1001,B231,$A$2:$A$1001,"&lt;"&amp;A231,$A$2:$A$1001,"&gt;="&amp;(A231-설정!$B$2))-M231*AVERAGEIFS($J$2:$J$1001,$B$2:$B$1001,B231,$A$2:$A$1001,"&lt;"&amp;A231,$A$2:$A$1001,"&gt;="&amp;(A231-설정!$B$2))^2)/(M231-1))),2))</f>
        <v/>
      </c>
      <c r="M231" s="18" t="str">
        <f aca="false">IF(J231="","",COUNTIFS($B$2:$B$1001,B231,$A$2:$A$1001,"&lt;"&amp;A231,$A$2:$A$1001,"&gt;="&amp;(A231-설정!$B$2),$J$2:$J$1001,"&gt;=0"))</f>
        <v/>
      </c>
      <c r="N231" s="18" t="str">
        <f aca="false">IF(K231="","",IF(L231=0,"",ROUND((J231-K231)/L231,2)))</f>
        <v/>
      </c>
      <c r="O231" s="19" t="str">
        <f aca="false">IF(J231="","",IF(MIN(F231,G231)&lt;=설정!$B$5,"예",""))</f>
        <v/>
      </c>
      <c r="P231" s="19" t="str">
        <f aca="false">IF(J231="","",IF(M231&lt;설정!$B$3,"baseline 수집 중",IF(N231="","정상",IF(N231&lt;=설정!$B$4,"낮음","정상"))))</f>
        <v/>
      </c>
      <c r="Q231" s="20"/>
      <c r="R231" s="18" t="str">
        <f aca="false">IF(J231="","",J231^2)</f>
        <v/>
      </c>
    </row>
    <row r="232" customFormat="false" ht="15" hidden="false" customHeight="false" outlineLevel="0" collapsed="false">
      <c r="A232" s="16"/>
      <c r="B232" s="17"/>
      <c r="C232" s="17"/>
      <c r="D232" s="17"/>
      <c r="E232" s="17"/>
      <c r="F232" s="17"/>
      <c r="G232" s="17"/>
      <c r="H232" s="17"/>
      <c r="I232" s="17"/>
      <c r="J232" s="18" t="str">
        <f aca="false">IF(COUNT(E232:I232)&lt;5,"",SUM(E232:I232))</f>
        <v/>
      </c>
      <c r="K232" s="18" t="str">
        <f aca="false">IF(J232="","",IF(M232&lt;설정!$B$3,"",ROUND(AVERAGEIFS($J$2:$J$1001,$B$2:$B$1001,B232,$A$2:$A$1001,"&lt;"&amp;A232,$A$2:$A$1001,"&gt;="&amp;(A232-설정!$B$2)),2)))</f>
        <v/>
      </c>
      <c r="L232" s="18" t="str">
        <f aca="false">IF(K232="","",ROUND(SQRT(MAX(0,(SUMIFS($R$2:$R$1001,$B$2:$B$1001,B232,$A$2:$A$1001,"&lt;"&amp;A232,$A$2:$A$1001,"&gt;="&amp;(A232-설정!$B$2))-M232*AVERAGEIFS($J$2:$J$1001,$B$2:$B$1001,B232,$A$2:$A$1001,"&lt;"&amp;A232,$A$2:$A$1001,"&gt;="&amp;(A232-설정!$B$2))^2)/(M232-1))),2))</f>
        <v/>
      </c>
      <c r="M232" s="18" t="str">
        <f aca="false">IF(J232="","",COUNTIFS($B$2:$B$1001,B232,$A$2:$A$1001,"&lt;"&amp;A232,$A$2:$A$1001,"&gt;="&amp;(A232-설정!$B$2),$J$2:$J$1001,"&gt;=0"))</f>
        <v/>
      </c>
      <c r="N232" s="18" t="str">
        <f aca="false">IF(K232="","",IF(L232=0,"",ROUND((J232-K232)/L232,2)))</f>
        <v/>
      </c>
      <c r="O232" s="19" t="str">
        <f aca="false">IF(J232="","",IF(MIN(F232,G232)&lt;=설정!$B$5,"예",""))</f>
        <v/>
      </c>
      <c r="P232" s="19" t="str">
        <f aca="false">IF(J232="","",IF(M232&lt;설정!$B$3,"baseline 수집 중",IF(N232="","정상",IF(N232&lt;=설정!$B$4,"낮음","정상"))))</f>
        <v/>
      </c>
      <c r="Q232" s="20"/>
      <c r="R232" s="18" t="str">
        <f aca="false">IF(J232="","",J232^2)</f>
        <v/>
      </c>
    </row>
    <row r="233" customFormat="false" ht="15" hidden="false" customHeight="false" outlineLevel="0" collapsed="false">
      <c r="A233" s="16"/>
      <c r="B233" s="17"/>
      <c r="C233" s="17"/>
      <c r="D233" s="17"/>
      <c r="E233" s="17"/>
      <c r="F233" s="17"/>
      <c r="G233" s="17"/>
      <c r="H233" s="17"/>
      <c r="I233" s="17"/>
      <c r="J233" s="18" t="str">
        <f aca="false">IF(COUNT(E233:I233)&lt;5,"",SUM(E233:I233))</f>
        <v/>
      </c>
      <c r="K233" s="18" t="str">
        <f aca="false">IF(J233="","",IF(M233&lt;설정!$B$3,"",ROUND(AVERAGEIFS($J$2:$J$1001,$B$2:$B$1001,B233,$A$2:$A$1001,"&lt;"&amp;A233,$A$2:$A$1001,"&gt;="&amp;(A233-설정!$B$2)),2)))</f>
        <v/>
      </c>
      <c r="L233" s="18" t="str">
        <f aca="false">IF(K233="","",ROUND(SQRT(MAX(0,(SUMIFS($R$2:$R$1001,$B$2:$B$1001,B233,$A$2:$A$1001,"&lt;"&amp;A233,$A$2:$A$1001,"&gt;="&amp;(A233-설정!$B$2))-M233*AVERAGEIFS($J$2:$J$1001,$B$2:$B$1001,B233,$A$2:$A$1001,"&lt;"&amp;A233,$A$2:$A$1001,"&gt;="&amp;(A233-설정!$B$2))^2)/(M233-1))),2))</f>
        <v/>
      </c>
      <c r="M233" s="18" t="str">
        <f aca="false">IF(J233="","",COUNTIFS($B$2:$B$1001,B233,$A$2:$A$1001,"&lt;"&amp;A233,$A$2:$A$1001,"&gt;="&amp;(A233-설정!$B$2),$J$2:$J$1001,"&gt;=0"))</f>
        <v/>
      </c>
      <c r="N233" s="18" t="str">
        <f aca="false">IF(K233="","",IF(L233=0,"",ROUND((J233-K233)/L233,2)))</f>
        <v/>
      </c>
      <c r="O233" s="19" t="str">
        <f aca="false">IF(J233="","",IF(MIN(F233,G233)&lt;=설정!$B$5,"예",""))</f>
        <v/>
      </c>
      <c r="P233" s="19" t="str">
        <f aca="false">IF(J233="","",IF(M233&lt;설정!$B$3,"baseline 수집 중",IF(N233="","정상",IF(N233&lt;=설정!$B$4,"낮음","정상"))))</f>
        <v/>
      </c>
      <c r="Q233" s="20"/>
      <c r="R233" s="18" t="str">
        <f aca="false">IF(J233="","",J233^2)</f>
        <v/>
      </c>
    </row>
    <row r="234" customFormat="false" ht="15" hidden="false" customHeight="false" outlineLevel="0" collapsed="false">
      <c r="A234" s="16"/>
      <c r="B234" s="17"/>
      <c r="C234" s="17"/>
      <c r="D234" s="17"/>
      <c r="E234" s="17"/>
      <c r="F234" s="17"/>
      <c r="G234" s="17"/>
      <c r="H234" s="17"/>
      <c r="I234" s="17"/>
      <c r="J234" s="18" t="str">
        <f aca="false">IF(COUNT(E234:I234)&lt;5,"",SUM(E234:I234))</f>
        <v/>
      </c>
      <c r="K234" s="18" t="str">
        <f aca="false">IF(J234="","",IF(M234&lt;설정!$B$3,"",ROUND(AVERAGEIFS($J$2:$J$1001,$B$2:$B$1001,B234,$A$2:$A$1001,"&lt;"&amp;A234,$A$2:$A$1001,"&gt;="&amp;(A234-설정!$B$2)),2)))</f>
        <v/>
      </c>
      <c r="L234" s="18" t="str">
        <f aca="false">IF(K234="","",ROUND(SQRT(MAX(0,(SUMIFS($R$2:$R$1001,$B$2:$B$1001,B234,$A$2:$A$1001,"&lt;"&amp;A234,$A$2:$A$1001,"&gt;="&amp;(A234-설정!$B$2))-M234*AVERAGEIFS($J$2:$J$1001,$B$2:$B$1001,B234,$A$2:$A$1001,"&lt;"&amp;A234,$A$2:$A$1001,"&gt;="&amp;(A234-설정!$B$2))^2)/(M234-1))),2))</f>
        <v/>
      </c>
      <c r="M234" s="18" t="str">
        <f aca="false">IF(J234="","",COUNTIFS($B$2:$B$1001,B234,$A$2:$A$1001,"&lt;"&amp;A234,$A$2:$A$1001,"&gt;="&amp;(A234-설정!$B$2),$J$2:$J$1001,"&gt;=0"))</f>
        <v/>
      </c>
      <c r="N234" s="18" t="str">
        <f aca="false">IF(K234="","",IF(L234=0,"",ROUND((J234-K234)/L234,2)))</f>
        <v/>
      </c>
      <c r="O234" s="19" t="str">
        <f aca="false">IF(J234="","",IF(MIN(F234,G234)&lt;=설정!$B$5,"예",""))</f>
        <v/>
      </c>
      <c r="P234" s="19" t="str">
        <f aca="false">IF(J234="","",IF(M234&lt;설정!$B$3,"baseline 수집 중",IF(N234="","정상",IF(N234&lt;=설정!$B$4,"낮음","정상"))))</f>
        <v/>
      </c>
      <c r="Q234" s="20"/>
      <c r="R234" s="18" t="str">
        <f aca="false">IF(J234="","",J234^2)</f>
        <v/>
      </c>
    </row>
    <row r="235" customFormat="false" ht="15" hidden="false" customHeight="false" outlineLevel="0" collapsed="false">
      <c r="A235" s="16"/>
      <c r="B235" s="17"/>
      <c r="C235" s="17"/>
      <c r="D235" s="17"/>
      <c r="E235" s="17"/>
      <c r="F235" s="17"/>
      <c r="G235" s="17"/>
      <c r="H235" s="17"/>
      <c r="I235" s="17"/>
      <c r="J235" s="18" t="str">
        <f aca="false">IF(COUNT(E235:I235)&lt;5,"",SUM(E235:I235))</f>
        <v/>
      </c>
      <c r="K235" s="18" t="str">
        <f aca="false">IF(J235="","",IF(M235&lt;설정!$B$3,"",ROUND(AVERAGEIFS($J$2:$J$1001,$B$2:$B$1001,B235,$A$2:$A$1001,"&lt;"&amp;A235,$A$2:$A$1001,"&gt;="&amp;(A235-설정!$B$2)),2)))</f>
        <v/>
      </c>
      <c r="L235" s="18" t="str">
        <f aca="false">IF(K235="","",ROUND(SQRT(MAX(0,(SUMIFS($R$2:$R$1001,$B$2:$B$1001,B235,$A$2:$A$1001,"&lt;"&amp;A235,$A$2:$A$1001,"&gt;="&amp;(A235-설정!$B$2))-M235*AVERAGEIFS($J$2:$J$1001,$B$2:$B$1001,B235,$A$2:$A$1001,"&lt;"&amp;A235,$A$2:$A$1001,"&gt;="&amp;(A235-설정!$B$2))^2)/(M235-1))),2))</f>
        <v/>
      </c>
      <c r="M235" s="18" t="str">
        <f aca="false">IF(J235="","",COUNTIFS($B$2:$B$1001,B235,$A$2:$A$1001,"&lt;"&amp;A235,$A$2:$A$1001,"&gt;="&amp;(A235-설정!$B$2),$J$2:$J$1001,"&gt;=0"))</f>
        <v/>
      </c>
      <c r="N235" s="18" t="str">
        <f aca="false">IF(K235="","",IF(L235=0,"",ROUND((J235-K235)/L235,2)))</f>
        <v/>
      </c>
      <c r="O235" s="19" t="str">
        <f aca="false">IF(J235="","",IF(MIN(F235,G235)&lt;=설정!$B$5,"예",""))</f>
        <v/>
      </c>
      <c r="P235" s="19" t="str">
        <f aca="false">IF(J235="","",IF(M235&lt;설정!$B$3,"baseline 수집 중",IF(N235="","정상",IF(N235&lt;=설정!$B$4,"낮음","정상"))))</f>
        <v/>
      </c>
      <c r="Q235" s="20"/>
      <c r="R235" s="18" t="str">
        <f aca="false">IF(J235="","",J235^2)</f>
        <v/>
      </c>
    </row>
    <row r="236" customFormat="false" ht="15" hidden="false" customHeight="false" outlineLevel="0" collapsed="false">
      <c r="A236" s="16"/>
      <c r="B236" s="17"/>
      <c r="C236" s="17"/>
      <c r="D236" s="17"/>
      <c r="E236" s="17"/>
      <c r="F236" s="17"/>
      <c r="G236" s="17"/>
      <c r="H236" s="17"/>
      <c r="I236" s="17"/>
      <c r="J236" s="18" t="str">
        <f aca="false">IF(COUNT(E236:I236)&lt;5,"",SUM(E236:I236))</f>
        <v/>
      </c>
      <c r="K236" s="18" t="str">
        <f aca="false">IF(J236="","",IF(M236&lt;설정!$B$3,"",ROUND(AVERAGEIFS($J$2:$J$1001,$B$2:$B$1001,B236,$A$2:$A$1001,"&lt;"&amp;A236,$A$2:$A$1001,"&gt;="&amp;(A236-설정!$B$2)),2)))</f>
        <v/>
      </c>
      <c r="L236" s="18" t="str">
        <f aca="false">IF(K236="","",ROUND(SQRT(MAX(0,(SUMIFS($R$2:$R$1001,$B$2:$B$1001,B236,$A$2:$A$1001,"&lt;"&amp;A236,$A$2:$A$1001,"&gt;="&amp;(A236-설정!$B$2))-M236*AVERAGEIFS($J$2:$J$1001,$B$2:$B$1001,B236,$A$2:$A$1001,"&lt;"&amp;A236,$A$2:$A$1001,"&gt;="&amp;(A236-설정!$B$2))^2)/(M236-1))),2))</f>
        <v/>
      </c>
      <c r="M236" s="18" t="str">
        <f aca="false">IF(J236="","",COUNTIFS($B$2:$B$1001,B236,$A$2:$A$1001,"&lt;"&amp;A236,$A$2:$A$1001,"&gt;="&amp;(A236-설정!$B$2),$J$2:$J$1001,"&gt;=0"))</f>
        <v/>
      </c>
      <c r="N236" s="18" t="str">
        <f aca="false">IF(K236="","",IF(L236=0,"",ROUND((J236-K236)/L236,2)))</f>
        <v/>
      </c>
      <c r="O236" s="19" t="str">
        <f aca="false">IF(J236="","",IF(MIN(F236,G236)&lt;=설정!$B$5,"예",""))</f>
        <v/>
      </c>
      <c r="P236" s="19" t="str">
        <f aca="false">IF(J236="","",IF(M236&lt;설정!$B$3,"baseline 수집 중",IF(N236="","정상",IF(N236&lt;=설정!$B$4,"낮음","정상"))))</f>
        <v/>
      </c>
      <c r="Q236" s="20"/>
      <c r="R236" s="18" t="str">
        <f aca="false">IF(J236="","",J236^2)</f>
        <v/>
      </c>
    </row>
    <row r="237" customFormat="false" ht="15" hidden="false" customHeight="false" outlineLevel="0" collapsed="false">
      <c r="A237" s="16"/>
      <c r="B237" s="17"/>
      <c r="C237" s="17"/>
      <c r="D237" s="17"/>
      <c r="E237" s="17"/>
      <c r="F237" s="17"/>
      <c r="G237" s="17"/>
      <c r="H237" s="17"/>
      <c r="I237" s="17"/>
      <c r="J237" s="18" t="str">
        <f aca="false">IF(COUNT(E237:I237)&lt;5,"",SUM(E237:I237))</f>
        <v/>
      </c>
      <c r="K237" s="18" t="str">
        <f aca="false">IF(J237="","",IF(M237&lt;설정!$B$3,"",ROUND(AVERAGEIFS($J$2:$J$1001,$B$2:$B$1001,B237,$A$2:$A$1001,"&lt;"&amp;A237,$A$2:$A$1001,"&gt;="&amp;(A237-설정!$B$2)),2)))</f>
        <v/>
      </c>
      <c r="L237" s="18" t="str">
        <f aca="false">IF(K237="","",ROUND(SQRT(MAX(0,(SUMIFS($R$2:$R$1001,$B$2:$B$1001,B237,$A$2:$A$1001,"&lt;"&amp;A237,$A$2:$A$1001,"&gt;="&amp;(A237-설정!$B$2))-M237*AVERAGEIFS($J$2:$J$1001,$B$2:$B$1001,B237,$A$2:$A$1001,"&lt;"&amp;A237,$A$2:$A$1001,"&gt;="&amp;(A237-설정!$B$2))^2)/(M237-1))),2))</f>
        <v/>
      </c>
      <c r="M237" s="18" t="str">
        <f aca="false">IF(J237="","",COUNTIFS($B$2:$B$1001,B237,$A$2:$A$1001,"&lt;"&amp;A237,$A$2:$A$1001,"&gt;="&amp;(A237-설정!$B$2),$J$2:$J$1001,"&gt;=0"))</f>
        <v/>
      </c>
      <c r="N237" s="18" t="str">
        <f aca="false">IF(K237="","",IF(L237=0,"",ROUND((J237-K237)/L237,2)))</f>
        <v/>
      </c>
      <c r="O237" s="19" t="str">
        <f aca="false">IF(J237="","",IF(MIN(F237,G237)&lt;=설정!$B$5,"예",""))</f>
        <v/>
      </c>
      <c r="P237" s="19" t="str">
        <f aca="false">IF(J237="","",IF(M237&lt;설정!$B$3,"baseline 수집 중",IF(N237="","정상",IF(N237&lt;=설정!$B$4,"낮음","정상"))))</f>
        <v/>
      </c>
      <c r="Q237" s="20"/>
      <c r="R237" s="18" t="str">
        <f aca="false">IF(J237="","",J237^2)</f>
        <v/>
      </c>
    </row>
    <row r="238" customFormat="false" ht="15" hidden="false" customHeight="false" outlineLevel="0" collapsed="false">
      <c r="A238" s="16"/>
      <c r="B238" s="17"/>
      <c r="C238" s="17"/>
      <c r="D238" s="17"/>
      <c r="E238" s="17"/>
      <c r="F238" s="17"/>
      <c r="G238" s="17"/>
      <c r="H238" s="17"/>
      <c r="I238" s="17"/>
      <c r="J238" s="18" t="str">
        <f aca="false">IF(COUNT(E238:I238)&lt;5,"",SUM(E238:I238))</f>
        <v/>
      </c>
      <c r="K238" s="18" t="str">
        <f aca="false">IF(J238="","",IF(M238&lt;설정!$B$3,"",ROUND(AVERAGEIFS($J$2:$J$1001,$B$2:$B$1001,B238,$A$2:$A$1001,"&lt;"&amp;A238,$A$2:$A$1001,"&gt;="&amp;(A238-설정!$B$2)),2)))</f>
        <v/>
      </c>
      <c r="L238" s="18" t="str">
        <f aca="false">IF(K238="","",ROUND(SQRT(MAX(0,(SUMIFS($R$2:$R$1001,$B$2:$B$1001,B238,$A$2:$A$1001,"&lt;"&amp;A238,$A$2:$A$1001,"&gt;="&amp;(A238-설정!$B$2))-M238*AVERAGEIFS($J$2:$J$1001,$B$2:$B$1001,B238,$A$2:$A$1001,"&lt;"&amp;A238,$A$2:$A$1001,"&gt;="&amp;(A238-설정!$B$2))^2)/(M238-1))),2))</f>
        <v/>
      </c>
      <c r="M238" s="18" t="str">
        <f aca="false">IF(J238="","",COUNTIFS($B$2:$B$1001,B238,$A$2:$A$1001,"&lt;"&amp;A238,$A$2:$A$1001,"&gt;="&amp;(A238-설정!$B$2),$J$2:$J$1001,"&gt;=0"))</f>
        <v/>
      </c>
      <c r="N238" s="18" t="str">
        <f aca="false">IF(K238="","",IF(L238=0,"",ROUND((J238-K238)/L238,2)))</f>
        <v/>
      </c>
      <c r="O238" s="19" t="str">
        <f aca="false">IF(J238="","",IF(MIN(F238,G238)&lt;=설정!$B$5,"예",""))</f>
        <v/>
      </c>
      <c r="P238" s="19" t="str">
        <f aca="false">IF(J238="","",IF(M238&lt;설정!$B$3,"baseline 수집 중",IF(N238="","정상",IF(N238&lt;=설정!$B$4,"낮음","정상"))))</f>
        <v/>
      </c>
      <c r="Q238" s="20"/>
      <c r="R238" s="18" t="str">
        <f aca="false">IF(J238="","",J238^2)</f>
        <v/>
      </c>
    </row>
    <row r="239" customFormat="false" ht="15" hidden="false" customHeight="false" outlineLevel="0" collapsed="false">
      <c r="A239" s="16"/>
      <c r="B239" s="17"/>
      <c r="C239" s="17"/>
      <c r="D239" s="17"/>
      <c r="E239" s="17"/>
      <c r="F239" s="17"/>
      <c r="G239" s="17"/>
      <c r="H239" s="17"/>
      <c r="I239" s="17"/>
      <c r="J239" s="18" t="str">
        <f aca="false">IF(COUNT(E239:I239)&lt;5,"",SUM(E239:I239))</f>
        <v/>
      </c>
      <c r="K239" s="18" t="str">
        <f aca="false">IF(J239="","",IF(M239&lt;설정!$B$3,"",ROUND(AVERAGEIFS($J$2:$J$1001,$B$2:$B$1001,B239,$A$2:$A$1001,"&lt;"&amp;A239,$A$2:$A$1001,"&gt;="&amp;(A239-설정!$B$2)),2)))</f>
        <v/>
      </c>
      <c r="L239" s="18" t="str">
        <f aca="false">IF(K239="","",ROUND(SQRT(MAX(0,(SUMIFS($R$2:$R$1001,$B$2:$B$1001,B239,$A$2:$A$1001,"&lt;"&amp;A239,$A$2:$A$1001,"&gt;="&amp;(A239-설정!$B$2))-M239*AVERAGEIFS($J$2:$J$1001,$B$2:$B$1001,B239,$A$2:$A$1001,"&lt;"&amp;A239,$A$2:$A$1001,"&gt;="&amp;(A239-설정!$B$2))^2)/(M239-1))),2))</f>
        <v/>
      </c>
      <c r="M239" s="18" t="str">
        <f aca="false">IF(J239="","",COUNTIFS($B$2:$B$1001,B239,$A$2:$A$1001,"&lt;"&amp;A239,$A$2:$A$1001,"&gt;="&amp;(A239-설정!$B$2),$J$2:$J$1001,"&gt;=0"))</f>
        <v/>
      </c>
      <c r="N239" s="18" t="str">
        <f aca="false">IF(K239="","",IF(L239=0,"",ROUND((J239-K239)/L239,2)))</f>
        <v/>
      </c>
      <c r="O239" s="19" t="str">
        <f aca="false">IF(J239="","",IF(MIN(F239,G239)&lt;=설정!$B$5,"예",""))</f>
        <v/>
      </c>
      <c r="P239" s="19" t="str">
        <f aca="false">IF(J239="","",IF(M239&lt;설정!$B$3,"baseline 수집 중",IF(N239="","정상",IF(N239&lt;=설정!$B$4,"낮음","정상"))))</f>
        <v/>
      </c>
      <c r="Q239" s="20"/>
      <c r="R239" s="18" t="str">
        <f aca="false">IF(J239="","",J239^2)</f>
        <v/>
      </c>
    </row>
    <row r="240" customFormat="false" ht="15" hidden="false" customHeight="false" outlineLevel="0" collapsed="false">
      <c r="A240" s="16"/>
      <c r="B240" s="17"/>
      <c r="C240" s="17"/>
      <c r="D240" s="17"/>
      <c r="E240" s="17"/>
      <c r="F240" s="17"/>
      <c r="G240" s="17"/>
      <c r="H240" s="17"/>
      <c r="I240" s="17"/>
      <c r="J240" s="18" t="str">
        <f aca="false">IF(COUNT(E240:I240)&lt;5,"",SUM(E240:I240))</f>
        <v/>
      </c>
      <c r="K240" s="18" t="str">
        <f aca="false">IF(J240="","",IF(M240&lt;설정!$B$3,"",ROUND(AVERAGEIFS($J$2:$J$1001,$B$2:$B$1001,B240,$A$2:$A$1001,"&lt;"&amp;A240,$A$2:$A$1001,"&gt;="&amp;(A240-설정!$B$2)),2)))</f>
        <v/>
      </c>
      <c r="L240" s="18" t="str">
        <f aca="false">IF(K240="","",ROUND(SQRT(MAX(0,(SUMIFS($R$2:$R$1001,$B$2:$B$1001,B240,$A$2:$A$1001,"&lt;"&amp;A240,$A$2:$A$1001,"&gt;="&amp;(A240-설정!$B$2))-M240*AVERAGEIFS($J$2:$J$1001,$B$2:$B$1001,B240,$A$2:$A$1001,"&lt;"&amp;A240,$A$2:$A$1001,"&gt;="&amp;(A240-설정!$B$2))^2)/(M240-1))),2))</f>
        <v/>
      </c>
      <c r="M240" s="18" t="str">
        <f aca="false">IF(J240="","",COUNTIFS($B$2:$B$1001,B240,$A$2:$A$1001,"&lt;"&amp;A240,$A$2:$A$1001,"&gt;="&amp;(A240-설정!$B$2),$J$2:$J$1001,"&gt;=0"))</f>
        <v/>
      </c>
      <c r="N240" s="18" t="str">
        <f aca="false">IF(K240="","",IF(L240=0,"",ROUND((J240-K240)/L240,2)))</f>
        <v/>
      </c>
      <c r="O240" s="19" t="str">
        <f aca="false">IF(J240="","",IF(MIN(F240,G240)&lt;=설정!$B$5,"예",""))</f>
        <v/>
      </c>
      <c r="P240" s="19" t="str">
        <f aca="false">IF(J240="","",IF(M240&lt;설정!$B$3,"baseline 수집 중",IF(N240="","정상",IF(N240&lt;=설정!$B$4,"낮음","정상"))))</f>
        <v/>
      </c>
      <c r="Q240" s="20"/>
      <c r="R240" s="18" t="str">
        <f aca="false">IF(J240="","",J240^2)</f>
        <v/>
      </c>
    </row>
    <row r="241" customFormat="false" ht="15" hidden="false" customHeight="false" outlineLevel="0" collapsed="false">
      <c r="A241" s="16"/>
      <c r="B241" s="17"/>
      <c r="C241" s="17"/>
      <c r="D241" s="17"/>
      <c r="E241" s="17"/>
      <c r="F241" s="17"/>
      <c r="G241" s="17"/>
      <c r="H241" s="17"/>
      <c r="I241" s="17"/>
      <c r="J241" s="18" t="str">
        <f aca="false">IF(COUNT(E241:I241)&lt;5,"",SUM(E241:I241))</f>
        <v/>
      </c>
      <c r="K241" s="18" t="str">
        <f aca="false">IF(J241="","",IF(M241&lt;설정!$B$3,"",ROUND(AVERAGEIFS($J$2:$J$1001,$B$2:$B$1001,B241,$A$2:$A$1001,"&lt;"&amp;A241,$A$2:$A$1001,"&gt;="&amp;(A241-설정!$B$2)),2)))</f>
        <v/>
      </c>
      <c r="L241" s="18" t="str">
        <f aca="false">IF(K241="","",ROUND(SQRT(MAX(0,(SUMIFS($R$2:$R$1001,$B$2:$B$1001,B241,$A$2:$A$1001,"&lt;"&amp;A241,$A$2:$A$1001,"&gt;="&amp;(A241-설정!$B$2))-M241*AVERAGEIFS($J$2:$J$1001,$B$2:$B$1001,B241,$A$2:$A$1001,"&lt;"&amp;A241,$A$2:$A$1001,"&gt;="&amp;(A241-설정!$B$2))^2)/(M241-1))),2))</f>
        <v/>
      </c>
      <c r="M241" s="18" t="str">
        <f aca="false">IF(J241="","",COUNTIFS($B$2:$B$1001,B241,$A$2:$A$1001,"&lt;"&amp;A241,$A$2:$A$1001,"&gt;="&amp;(A241-설정!$B$2),$J$2:$J$1001,"&gt;=0"))</f>
        <v/>
      </c>
      <c r="N241" s="18" t="str">
        <f aca="false">IF(K241="","",IF(L241=0,"",ROUND((J241-K241)/L241,2)))</f>
        <v/>
      </c>
      <c r="O241" s="19" t="str">
        <f aca="false">IF(J241="","",IF(MIN(F241,G241)&lt;=설정!$B$5,"예",""))</f>
        <v/>
      </c>
      <c r="P241" s="19" t="str">
        <f aca="false">IF(J241="","",IF(M241&lt;설정!$B$3,"baseline 수집 중",IF(N241="","정상",IF(N241&lt;=설정!$B$4,"낮음","정상"))))</f>
        <v/>
      </c>
      <c r="Q241" s="20"/>
      <c r="R241" s="18" t="str">
        <f aca="false">IF(J241="","",J241^2)</f>
        <v/>
      </c>
    </row>
    <row r="242" customFormat="false" ht="15" hidden="false" customHeight="false" outlineLevel="0" collapsed="false">
      <c r="A242" s="16"/>
      <c r="B242" s="17"/>
      <c r="C242" s="17"/>
      <c r="D242" s="17"/>
      <c r="E242" s="17"/>
      <c r="F242" s="17"/>
      <c r="G242" s="17"/>
      <c r="H242" s="17"/>
      <c r="I242" s="17"/>
      <c r="J242" s="18" t="str">
        <f aca="false">IF(COUNT(E242:I242)&lt;5,"",SUM(E242:I242))</f>
        <v/>
      </c>
      <c r="K242" s="18" t="str">
        <f aca="false">IF(J242="","",IF(M242&lt;설정!$B$3,"",ROUND(AVERAGEIFS($J$2:$J$1001,$B$2:$B$1001,B242,$A$2:$A$1001,"&lt;"&amp;A242,$A$2:$A$1001,"&gt;="&amp;(A242-설정!$B$2)),2)))</f>
        <v/>
      </c>
      <c r="L242" s="18" t="str">
        <f aca="false">IF(K242="","",ROUND(SQRT(MAX(0,(SUMIFS($R$2:$R$1001,$B$2:$B$1001,B242,$A$2:$A$1001,"&lt;"&amp;A242,$A$2:$A$1001,"&gt;="&amp;(A242-설정!$B$2))-M242*AVERAGEIFS($J$2:$J$1001,$B$2:$B$1001,B242,$A$2:$A$1001,"&lt;"&amp;A242,$A$2:$A$1001,"&gt;="&amp;(A242-설정!$B$2))^2)/(M242-1))),2))</f>
        <v/>
      </c>
      <c r="M242" s="18" t="str">
        <f aca="false">IF(J242="","",COUNTIFS($B$2:$B$1001,B242,$A$2:$A$1001,"&lt;"&amp;A242,$A$2:$A$1001,"&gt;="&amp;(A242-설정!$B$2),$J$2:$J$1001,"&gt;=0"))</f>
        <v/>
      </c>
      <c r="N242" s="18" t="str">
        <f aca="false">IF(K242="","",IF(L242=0,"",ROUND((J242-K242)/L242,2)))</f>
        <v/>
      </c>
      <c r="O242" s="19" t="str">
        <f aca="false">IF(J242="","",IF(MIN(F242,G242)&lt;=설정!$B$5,"예",""))</f>
        <v/>
      </c>
      <c r="P242" s="19" t="str">
        <f aca="false">IF(J242="","",IF(M242&lt;설정!$B$3,"baseline 수집 중",IF(N242="","정상",IF(N242&lt;=설정!$B$4,"낮음","정상"))))</f>
        <v/>
      </c>
      <c r="Q242" s="20"/>
      <c r="R242" s="18" t="str">
        <f aca="false">IF(J242="","",J242^2)</f>
        <v/>
      </c>
    </row>
    <row r="243" customFormat="false" ht="15" hidden="false" customHeight="false" outlineLevel="0" collapsed="false">
      <c r="A243" s="16"/>
      <c r="B243" s="17"/>
      <c r="C243" s="17"/>
      <c r="D243" s="17"/>
      <c r="E243" s="17"/>
      <c r="F243" s="17"/>
      <c r="G243" s="17"/>
      <c r="H243" s="17"/>
      <c r="I243" s="17"/>
      <c r="J243" s="18" t="str">
        <f aca="false">IF(COUNT(E243:I243)&lt;5,"",SUM(E243:I243))</f>
        <v/>
      </c>
      <c r="K243" s="18" t="str">
        <f aca="false">IF(J243="","",IF(M243&lt;설정!$B$3,"",ROUND(AVERAGEIFS($J$2:$J$1001,$B$2:$B$1001,B243,$A$2:$A$1001,"&lt;"&amp;A243,$A$2:$A$1001,"&gt;="&amp;(A243-설정!$B$2)),2)))</f>
        <v/>
      </c>
      <c r="L243" s="18" t="str">
        <f aca="false">IF(K243="","",ROUND(SQRT(MAX(0,(SUMIFS($R$2:$R$1001,$B$2:$B$1001,B243,$A$2:$A$1001,"&lt;"&amp;A243,$A$2:$A$1001,"&gt;="&amp;(A243-설정!$B$2))-M243*AVERAGEIFS($J$2:$J$1001,$B$2:$B$1001,B243,$A$2:$A$1001,"&lt;"&amp;A243,$A$2:$A$1001,"&gt;="&amp;(A243-설정!$B$2))^2)/(M243-1))),2))</f>
        <v/>
      </c>
      <c r="M243" s="18" t="str">
        <f aca="false">IF(J243="","",COUNTIFS($B$2:$B$1001,B243,$A$2:$A$1001,"&lt;"&amp;A243,$A$2:$A$1001,"&gt;="&amp;(A243-설정!$B$2),$J$2:$J$1001,"&gt;=0"))</f>
        <v/>
      </c>
      <c r="N243" s="18" t="str">
        <f aca="false">IF(K243="","",IF(L243=0,"",ROUND((J243-K243)/L243,2)))</f>
        <v/>
      </c>
      <c r="O243" s="19" t="str">
        <f aca="false">IF(J243="","",IF(MIN(F243,G243)&lt;=설정!$B$5,"예",""))</f>
        <v/>
      </c>
      <c r="P243" s="19" t="str">
        <f aca="false">IF(J243="","",IF(M243&lt;설정!$B$3,"baseline 수집 중",IF(N243="","정상",IF(N243&lt;=설정!$B$4,"낮음","정상"))))</f>
        <v/>
      </c>
      <c r="Q243" s="20"/>
      <c r="R243" s="18" t="str">
        <f aca="false">IF(J243="","",J243^2)</f>
        <v/>
      </c>
    </row>
    <row r="244" customFormat="false" ht="15" hidden="false" customHeight="false" outlineLevel="0" collapsed="false">
      <c r="A244" s="16"/>
      <c r="B244" s="17"/>
      <c r="C244" s="17"/>
      <c r="D244" s="17"/>
      <c r="E244" s="17"/>
      <c r="F244" s="17"/>
      <c r="G244" s="17"/>
      <c r="H244" s="17"/>
      <c r="I244" s="17"/>
      <c r="J244" s="18" t="str">
        <f aca="false">IF(COUNT(E244:I244)&lt;5,"",SUM(E244:I244))</f>
        <v/>
      </c>
      <c r="K244" s="18" t="str">
        <f aca="false">IF(J244="","",IF(M244&lt;설정!$B$3,"",ROUND(AVERAGEIFS($J$2:$J$1001,$B$2:$B$1001,B244,$A$2:$A$1001,"&lt;"&amp;A244,$A$2:$A$1001,"&gt;="&amp;(A244-설정!$B$2)),2)))</f>
        <v/>
      </c>
      <c r="L244" s="18" t="str">
        <f aca="false">IF(K244="","",ROUND(SQRT(MAX(0,(SUMIFS($R$2:$R$1001,$B$2:$B$1001,B244,$A$2:$A$1001,"&lt;"&amp;A244,$A$2:$A$1001,"&gt;="&amp;(A244-설정!$B$2))-M244*AVERAGEIFS($J$2:$J$1001,$B$2:$B$1001,B244,$A$2:$A$1001,"&lt;"&amp;A244,$A$2:$A$1001,"&gt;="&amp;(A244-설정!$B$2))^2)/(M244-1))),2))</f>
        <v/>
      </c>
      <c r="M244" s="18" t="str">
        <f aca="false">IF(J244="","",COUNTIFS($B$2:$B$1001,B244,$A$2:$A$1001,"&lt;"&amp;A244,$A$2:$A$1001,"&gt;="&amp;(A244-설정!$B$2),$J$2:$J$1001,"&gt;=0"))</f>
        <v/>
      </c>
      <c r="N244" s="18" t="str">
        <f aca="false">IF(K244="","",IF(L244=0,"",ROUND((J244-K244)/L244,2)))</f>
        <v/>
      </c>
      <c r="O244" s="19" t="str">
        <f aca="false">IF(J244="","",IF(MIN(F244,G244)&lt;=설정!$B$5,"예",""))</f>
        <v/>
      </c>
      <c r="P244" s="19" t="str">
        <f aca="false">IF(J244="","",IF(M244&lt;설정!$B$3,"baseline 수집 중",IF(N244="","정상",IF(N244&lt;=설정!$B$4,"낮음","정상"))))</f>
        <v/>
      </c>
      <c r="Q244" s="20"/>
      <c r="R244" s="18" t="str">
        <f aca="false">IF(J244="","",J244^2)</f>
        <v/>
      </c>
    </row>
    <row r="245" customFormat="false" ht="15" hidden="false" customHeight="false" outlineLevel="0" collapsed="false">
      <c r="A245" s="16"/>
      <c r="B245" s="17"/>
      <c r="C245" s="17"/>
      <c r="D245" s="17"/>
      <c r="E245" s="17"/>
      <c r="F245" s="17"/>
      <c r="G245" s="17"/>
      <c r="H245" s="17"/>
      <c r="I245" s="17"/>
      <c r="J245" s="18" t="str">
        <f aca="false">IF(COUNT(E245:I245)&lt;5,"",SUM(E245:I245))</f>
        <v/>
      </c>
      <c r="K245" s="18" t="str">
        <f aca="false">IF(J245="","",IF(M245&lt;설정!$B$3,"",ROUND(AVERAGEIFS($J$2:$J$1001,$B$2:$B$1001,B245,$A$2:$A$1001,"&lt;"&amp;A245,$A$2:$A$1001,"&gt;="&amp;(A245-설정!$B$2)),2)))</f>
        <v/>
      </c>
      <c r="L245" s="18" t="str">
        <f aca="false">IF(K245="","",ROUND(SQRT(MAX(0,(SUMIFS($R$2:$R$1001,$B$2:$B$1001,B245,$A$2:$A$1001,"&lt;"&amp;A245,$A$2:$A$1001,"&gt;="&amp;(A245-설정!$B$2))-M245*AVERAGEIFS($J$2:$J$1001,$B$2:$B$1001,B245,$A$2:$A$1001,"&lt;"&amp;A245,$A$2:$A$1001,"&gt;="&amp;(A245-설정!$B$2))^2)/(M245-1))),2))</f>
        <v/>
      </c>
      <c r="M245" s="18" t="str">
        <f aca="false">IF(J245="","",COUNTIFS($B$2:$B$1001,B245,$A$2:$A$1001,"&lt;"&amp;A245,$A$2:$A$1001,"&gt;="&amp;(A245-설정!$B$2),$J$2:$J$1001,"&gt;=0"))</f>
        <v/>
      </c>
      <c r="N245" s="18" t="str">
        <f aca="false">IF(K245="","",IF(L245=0,"",ROUND((J245-K245)/L245,2)))</f>
        <v/>
      </c>
      <c r="O245" s="19" t="str">
        <f aca="false">IF(J245="","",IF(MIN(F245,G245)&lt;=설정!$B$5,"예",""))</f>
        <v/>
      </c>
      <c r="P245" s="19" t="str">
        <f aca="false">IF(J245="","",IF(M245&lt;설정!$B$3,"baseline 수집 중",IF(N245="","정상",IF(N245&lt;=설정!$B$4,"낮음","정상"))))</f>
        <v/>
      </c>
      <c r="Q245" s="20"/>
      <c r="R245" s="18" t="str">
        <f aca="false">IF(J245="","",J245^2)</f>
        <v/>
      </c>
    </row>
    <row r="246" customFormat="false" ht="15" hidden="false" customHeight="false" outlineLevel="0" collapsed="false">
      <c r="A246" s="16"/>
      <c r="B246" s="17"/>
      <c r="C246" s="17"/>
      <c r="D246" s="17"/>
      <c r="E246" s="17"/>
      <c r="F246" s="17"/>
      <c r="G246" s="17"/>
      <c r="H246" s="17"/>
      <c r="I246" s="17"/>
      <c r="J246" s="18" t="str">
        <f aca="false">IF(COUNT(E246:I246)&lt;5,"",SUM(E246:I246))</f>
        <v/>
      </c>
      <c r="K246" s="18" t="str">
        <f aca="false">IF(J246="","",IF(M246&lt;설정!$B$3,"",ROUND(AVERAGEIFS($J$2:$J$1001,$B$2:$B$1001,B246,$A$2:$A$1001,"&lt;"&amp;A246,$A$2:$A$1001,"&gt;="&amp;(A246-설정!$B$2)),2)))</f>
        <v/>
      </c>
      <c r="L246" s="18" t="str">
        <f aca="false">IF(K246="","",ROUND(SQRT(MAX(0,(SUMIFS($R$2:$R$1001,$B$2:$B$1001,B246,$A$2:$A$1001,"&lt;"&amp;A246,$A$2:$A$1001,"&gt;="&amp;(A246-설정!$B$2))-M246*AVERAGEIFS($J$2:$J$1001,$B$2:$B$1001,B246,$A$2:$A$1001,"&lt;"&amp;A246,$A$2:$A$1001,"&gt;="&amp;(A246-설정!$B$2))^2)/(M246-1))),2))</f>
        <v/>
      </c>
      <c r="M246" s="18" t="str">
        <f aca="false">IF(J246="","",COUNTIFS($B$2:$B$1001,B246,$A$2:$A$1001,"&lt;"&amp;A246,$A$2:$A$1001,"&gt;="&amp;(A246-설정!$B$2),$J$2:$J$1001,"&gt;=0"))</f>
        <v/>
      </c>
      <c r="N246" s="18" t="str">
        <f aca="false">IF(K246="","",IF(L246=0,"",ROUND((J246-K246)/L246,2)))</f>
        <v/>
      </c>
      <c r="O246" s="19" t="str">
        <f aca="false">IF(J246="","",IF(MIN(F246,G246)&lt;=설정!$B$5,"예",""))</f>
        <v/>
      </c>
      <c r="P246" s="19" t="str">
        <f aca="false">IF(J246="","",IF(M246&lt;설정!$B$3,"baseline 수집 중",IF(N246="","정상",IF(N246&lt;=설정!$B$4,"낮음","정상"))))</f>
        <v/>
      </c>
      <c r="Q246" s="20"/>
      <c r="R246" s="18" t="str">
        <f aca="false">IF(J246="","",J246^2)</f>
        <v/>
      </c>
    </row>
    <row r="247" customFormat="false" ht="15" hidden="false" customHeight="false" outlineLevel="0" collapsed="false">
      <c r="A247" s="16"/>
      <c r="B247" s="17"/>
      <c r="C247" s="17"/>
      <c r="D247" s="17"/>
      <c r="E247" s="17"/>
      <c r="F247" s="17"/>
      <c r="G247" s="17"/>
      <c r="H247" s="17"/>
      <c r="I247" s="17"/>
      <c r="J247" s="18" t="str">
        <f aca="false">IF(COUNT(E247:I247)&lt;5,"",SUM(E247:I247))</f>
        <v/>
      </c>
      <c r="K247" s="18" t="str">
        <f aca="false">IF(J247="","",IF(M247&lt;설정!$B$3,"",ROUND(AVERAGEIFS($J$2:$J$1001,$B$2:$B$1001,B247,$A$2:$A$1001,"&lt;"&amp;A247,$A$2:$A$1001,"&gt;="&amp;(A247-설정!$B$2)),2)))</f>
        <v/>
      </c>
      <c r="L247" s="18" t="str">
        <f aca="false">IF(K247="","",ROUND(SQRT(MAX(0,(SUMIFS($R$2:$R$1001,$B$2:$B$1001,B247,$A$2:$A$1001,"&lt;"&amp;A247,$A$2:$A$1001,"&gt;="&amp;(A247-설정!$B$2))-M247*AVERAGEIFS($J$2:$J$1001,$B$2:$B$1001,B247,$A$2:$A$1001,"&lt;"&amp;A247,$A$2:$A$1001,"&gt;="&amp;(A247-설정!$B$2))^2)/(M247-1))),2))</f>
        <v/>
      </c>
      <c r="M247" s="18" t="str">
        <f aca="false">IF(J247="","",COUNTIFS($B$2:$B$1001,B247,$A$2:$A$1001,"&lt;"&amp;A247,$A$2:$A$1001,"&gt;="&amp;(A247-설정!$B$2),$J$2:$J$1001,"&gt;=0"))</f>
        <v/>
      </c>
      <c r="N247" s="18" t="str">
        <f aca="false">IF(K247="","",IF(L247=0,"",ROUND((J247-K247)/L247,2)))</f>
        <v/>
      </c>
      <c r="O247" s="19" t="str">
        <f aca="false">IF(J247="","",IF(MIN(F247,G247)&lt;=설정!$B$5,"예",""))</f>
        <v/>
      </c>
      <c r="P247" s="19" t="str">
        <f aca="false">IF(J247="","",IF(M247&lt;설정!$B$3,"baseline 수집 중",IF(N247="","정상",IF(N247&lt;=설정!$B$4,"낮음","정상"))))</f>
        <v/>
      </c>
      <c r="Q247" s="20"/>
      <c r="R247" s="18" t="str">
        <f aca="false">IF(J247="","",J247^2)</f>
        <v/>
      </c>
    </row>
    <row r="248" customFormat="false" ht="15" hidden="false" customHeight="false" outlineLevel="0" collapsed="false">
      <c r="A248" s="16"/>
      <c r="B248" s="17"/>
      <c r="C248" s="17"/>
      <c r="D248" s="17"/>
      <c r="E248" s="17"/>
      <c r="F248" s="17"/>
      <c r="G248" s="17"/>
      <c r="H248" s="17"/>
      <c r="I248" s="17"/>
      <c r="J248" s="18" t="str">
        <f aca="false">IF(COUNT(E248:I248)&lt;5,"",SUM(E248:I248))</f>
        <v/>
      </c>
      <c r="K248" s="18" t="str">
        <f aca="false">IF(J248="","",IF(M248&lt;설정!$B$3,"",ROUND(AVERAGEIFS($J$2:$J$1001,$B$2:$B$1001,B248,$A$2:$A$1001,"&lt;"&amp;A248,$A$2:$A$1001,"&gt;="&amp;(A248-설정!$B$2)),2)))</f>
        <v/>
      </c>
      <c r="L248" s="18" t="str">
        <f aca="false">IF(K248="","",ROUND(SQRT(MAX(0,(SUMIFS($R$2:$R$1001,$B$2:$B$1001,B248,$A$2:$A$1001,"&lt;"&amp;A248,$A$2:$A$1001,"&gt;="&amp;(A248-설정!$B$2))-M248*AVERAGEIFS($J$2:$J$1001,$B$2:$B$1001,B248,$A$2:$A$1001,"&lt;"&amp;A248,$A$2:$A$1001,"&gt;="&amp;(A248-설정!$B$2))^2)/(M248-1))),2))</f>
        <v/>
      </c>
      <c r="M248" s="18" t="str">
        <f aca="false">IF(J248="","",COUNTIFS($B$2:$B$1001,B248,$A$2:$A$1001,"&lt;"&amp;A248,$A$2:$A$1001,"&gt;="&amp;(A248-설정!$B$2),$J$2:$J$1001,"&gt;=0"))</f>
        <v/>
      </c>
      <c r="N248" s="18" t="str">
        <f aca="false">IF(K248="","",IF(L248=0,"",ROUND((J248-K248)/L248,2)))</f>
        <v/>
      </c>
      <c r="O248" s="19" t="str">
        <f aca="false">IF(J248="","",IF(MIN(F248,G248)&lt;=설정!$B$5,"예",""))</f>
        <v/>
      </c>
      <c r="P248" s="19" t="str">
        <f aca="false">IF(J248="","",IF(M248&lt;설정!$B$3,"baseline 수집 중",IF(N248="","정상",IF(N248&lt;=설정!$B$4,"낮음","정상"))))</f>
        <v/>
      </c>
      <c r="Q248" s="20"/>
      <c r="R248" s="18" t="str">
        <f aca="false">IF(J248="","",J248^2)</f>
        <v/>
      </c>
    </row>
    <row r="249" customFormat="false" ht="15" hidden="false" customHeight="false" outlineLevel="0" collapsed="false">
      <c r="A249" s="16"/>
      <c r="B249" s="17"/>
      <c r="C249" s="17"/>
      <c r="D249" s="17"/>
      <c r="E249" s="17"/>
      <c r="F249" s="17"/>
      <c r="G249" s="17"/>
      <c r="H249" s="17"/>
      <c r="I249" s="17"/>
      <c r="J249" s="18" t="str">
        <f aca="false">IF(COUNT(E249:I249)&lt;5,"",SUM(E249:I249))</f>
        <v/>
      </c>
      <c r="K249" s="18" t="str">
        <f aca="false">IF(J249="","",IF(M249&lt;설정!$B$3,"",ROUND(AVERAGEIFS($J$2:$J$1001,$B$2:$B$1001,B249,$A$2:$A$1001,"&lt;"&amp;A249,$A$2:$A$1001,"&gt;="&amp;(A249-설정!$B$2)),2)))</f>
        <v/>
      </c>
      <c r="L249" s="18" t="str">
        <f aca="false">IF(K249="","",ROUND(SQRT(MAX(0,(SUMIFS($R$2:$R$1001,$B$2:$B$1001,B249,$A$2:$A$1001,"&lt;"&amp;A249,$A$2:$A$1001,"&gt;="&amp;(A249-설정!$B$2))-M249*AVERAGEIFS($J$2:$J$1001,$B$2:$B$1001,B249,$A$2:$A$1001,"&lt;"&amp;A249,$A$2:$A$1001,"&gt;="&amp;(A249-설정!$B$2))^2)/(M249-1))),2))</f>
        <v/>
      </c>
      <c r="M249" s="18" t="str">
        <f aca="false">IF(J249="","",COUNTIFS($B$2:$B$1001,B249,$A$2:$A$1001,"&lt;"&amp;A249,$A$2:$A$1001,"&gt;="&amp;(A249-설정!$B$2),$J$2:$J$1001,"&gt;=0"))</f>
        <v/>
      </c>
      <c r="N249" s="18" t="str">
        <f aca="false">IF(K249="","",IF(L249=0,"",ROUND((J249-K249)/L249,2)))</f>
        <v/>
      </c>
      <c r="O249" s="19" t="str">
        <f aca="false">IF(J249="","",IF(MIN(F249,G249)&lt;=설정!$B$5,"예",""))</f>
        <v/>
      </c>
      <c r="P249" s="19" t="str">
        <f aca="false">IF(J249="","",IF(M249&lt;설정!$B$3,"baseline 수집 중",IF(N249="","정상",IF(N249&lt;=설정!$B$4,"낮음","정상"))))</f>
        <v/>
      </c>
      <c r="Q249" s="20"/>
      <c r="R249" s="18" t="str">
        <f aca="false">IF(J249="","",J249^2)</f>
        <v/>
      </c>
    </row>
    <row r="250" customFormat="false" ht="15" hidden="false" customHeight="false" outlineLevel="0" collapsed="false">
      <c r="A250" s="16"/>
      <c r="B250" s="17"/>
      <c r="C250" s="17"/>
      <c r="D250" s="17"/>
      <c r="E250" s="17"/>
      <c r="F250" s="17"/>
      <c r="G250" s="17"/>
      <c r="H250" s="17"/>
      <c r="I250" s="17"/>
      <c r="J250" s="18" t="str">
        <f aca="false">IF(COUNT(E250:I250)&lt;5,"",SUM(E250:I250))</f>
        <v/>
      </c>
      <c r="K250" s="18" t="str">
        <f aca="false">IF(J250="","",IF(M250&lt;설정!$B$3,"",ROUND(AVERAGEIFS($J$2:$J$1001,$B$2:$B$1001,B250,$A$2:$A$1001,"&lt;"&amp;A250,$A$2:$A$1001,"&gt;="&amp;(A250-설정!$B$2)),2)))</f>
        <v/>
      </c>
      <c r="L250" s="18" t="str">
        <f aca="false">IF(K250="","",ROUND(SQRT(MAX(0,(SUMIFS($R$2:$R$1001,$B$2:$B$1001,B250,$A$2:$A$1001,"&lt;"&amp;A250,$A$2:$A$1001,"&gt;="&amp;(A250-설정!$B$2))-M250*AVERAGEIFS($J$2:$J$1001,$B$2:$B$1001,B250,$A$2:$A$1001,"&lt;"&amp;A250,$A$2:$A$1001,"&gt;="&amp;(A250-설정!$B$2))^2)/(M250-1))),2))</f>
        <v/>
      </c>
      <c r="M250" s="18" t="str">
        <f aca="false">IF(J250="","",COUNTIFS($B$2:$B$1001,B250,$A$2:$A$1001,"&lt;"&amp;A250,$A$2:$A$1001,"&gt;="&amp;(A250-설정!$B$2),$J$2:$J$1001,"&gt;=0"))</f>
        <v/>
      </c>
      <c r="N250" s="18" t="str">
        <f aca="false">IF(K250="","",IF(L250=0,"",ROUND((J250-K250)/L250,2)))</f>
        <v/>
      </c>
      <c r="O250" s="19" t="str">
        <f aca="false">IF(J250="","",IF(MIN(F250,G250)&lt;=설정!$B$5,"예",""))</f>
        <v/>
      </c>
      <c r="P250" s="19" t="str">
        <f aca="false">IF(J250="","",IF(M250&lt;설정!$B$3,"baseline 수집 중",IF(N250="","정상",IF(N250&lt;=설정!$B$4,"낮음","정상"))))</f>
        <v/>
      </c>
      <c r="Q250" s="20"/>
      <c r="R250" s="18" t="str">
        <f aca="false">IF(J250="","",J250^2)</f>
        <v/>
      </c>
    </row>
    <row r="251" customFormat="false" ht="15" hidden="false" customHeight="false" outlineLevel="0" collapsed="false">
      <c r="A251" s="16"/>
      <c r="B251" s="17"/>
      <c r="C251" s="17"/>
      <c r="D251" s="17"/>
      <c r="E251" s="17"/>
      <c r="F251" s="17"/>
      <c r="G251" s="17"/>
      <c r="H251" s="17"/>
      <c r="I251" s="17"/>
      <c r="J251" s="18" t="str">
        <f aca="false">IF(COUNT(E251:I251)&lt;5,"",SUM(E251:I251))</f>
        <v/>
      </c>
      <c r="K251" s="18" t="str">
        <f aca="false">IF(J251="","",IF(M251&lt;설정!$B$3,"",ROUND(AVERAGEIFS($J$2:$J$1001,$B$2:$B$1001,B251,$A$2:$A$1001,"&lt;"&amp;A251,$A$2:$A$1001,"&gt;="&amp;(A251-설정!$B$2)),2)))</f>
        <v/>
      </c>
      <c r="L251" s="18" t="str">
        <f aca="false">IF(K251="","",ROUND(SQRT(MAX(0,(SUMIFS($R$2:$R$1001,$B$2:$B$1001,B251,$A$2:$A$1001,"&lt;"&amp;A251,$A$2:$A$1001,"&gt;="&amp;(A251-설정!$B$2))-M251*AVERAGEIFS($J$2:$J$1001,$B$2:$B$1001,B251,$A$2:$A$1001,"&lt;"&amp;A251,$A$2:$A$1001,"&gt;="&amp;(A251-설정!$B$2))^2)/(M251-1))),2))</f>
        <v/>
      </c>
      <c r="M251" s="18" t="str">
        <f aca="false">IF(J251="","",COUNTIFS($B$2:$B$1001,B251,$A$2:$A$1001,"&lt;"&amp;A251,$A$2:$A$1001,"&gt;="&amp;(A251-설정!$B$2),$J$2:$J$1001,"&gt;=0"))</f>
        <v/>
      </c>
      <c r="N251" s="18" t="str">
        <f aca="false">IF(K251="","",IF(L251=0,"",ROUND((J251-K251)/L251,2)))</f>
        <v/>
      </c>
      <c r="O251" s="19" t="str">
        <f aca="false">IF(J251="","",IF(MIN(F251,G251)&lt;=설정!$B$5,"예",""))</f>
        <v/>
      </c>
      <c r="P251" s="19" t="str">
        <f aca="false">IF(J251="","",IF(M251&lt;설정!$B$3,"baseline 수집 중",IF(N251="","정상",IF(N251&lt;=설정!$B$4,"낮음","정상"))))</f>
        <v/>
      </c>
      <c r="Q251" s="20"/>
      <c r="R251" s="18" t="str">
        <f aca="false">IF(J251="","",J251^2)</f>
        <v/>
      </c>
    </row>
    <row r="252" customFormat="false" ht="15" hidden="false" customHeight="false" outlineLevel="0" collapsed="false">
      <c r="A252" s="16"/>
      <c r="B252" s="17"/>
      <c r="C252" s="17"/>
      <c r="D252" s="17"/>
      <c r="E252" s="17"/>
      <c r="F252" s="17"/>
      <c r="G252" s="17"/>
      <c r="H252" s="17"/>
      <c r="I252" s="17"/>
      <c r="J252" s="18" t="str">
        <f aca="false">IF(COUNT(E252:I252)&lt;5,"",SUM(E252:I252))</f>
        <v/>
      </c>
      <c r="K252" s="18" t="str">
        <f aca="false">IF(J252="","",IF(M252&lt;설정!$B$3,"",ROUND(AVERAGEIFS($J$2:$J$1001,$B$2:$B$1001,B252,$A$2:$A$1001,"&lt;"&amp;A252,$A$2:$A$1001,"&gt;="&amp;(A252-설정!$B$2)),2)))</f>
        <v/>
      </c>
      <c r="L252" s="18" t="str">
        <f aca="false">IF(K252="","",ROUND(SQRT(MAX(0,(SUMIFS($R$2:$R$1001,$B$2:$B$1001,B252,$A$2:$A$1001,"&lt;"&amp;A252,$A$2:$A$1001,"&gt;="&amp;(A252-설정!$B$2))-M252*AVERAGEIFS($J$2:$J$1001,$B$2:$B$1001,B252,$A$2:$A$1001,"&lt;"&amp;A252,$A$2:$A$1001,"&gt;="&amp;(A252-설정!$B$2))^2)/(M252-1))),2))</f>
        <v/>
      </c>
      <c r="M252" s="18" t="str">
        <f aca="false">IF(J252="","",COUNTIFS($B$2:$B$1001,B252,$A$2:$A$1001,"&lt;"&amp;A252,$A$2:$A$1001,"&gt;="&amp;(A252-설정!$B$2),$J$2:$J$1001,"&gt;=0"))</f>
        <v/>
      </c>
      <c r="N252" s="18" t="str">
        <f aca="false">IF(K252="","",IF(L252=0,"",ROUND((J252-K252)/L252,2)))</f>
        <v/>
      </c>
      <c r="O252" s="19" t="str">
        <f aca="false">IF(J252="","",IF(MIN(F252,G252)&lt;=설정!$B$5,"예",""))</f>
        <v/>
      </c>
      <c r="P252" s="19" t="str">
        <f aca="false">IF(J252="","",IF(M252&lt;설정!$B$3,"baseline 수집 중",IF(N252="","정상",IF(N252&lt;=설정!$B$4,"낮음","정상"))))</f>
        <v/>
      </c>
      <c r="Q252" s="20"/>
      <c r="R252" s="18" t="str">
        <f aca="false">IF(J252="","",J252^2)</f>
        <v/>
      </c>
    </row>
    <row r="253" customFormat="false" ht="15" hidden="false" customHeight="false" outlineLevel="0" collapsed="false">
      <c r="A253" s="16"/>
      <c r="B253" s="17"/>
      <c r="C253" s="17"/>
      <c r="D253" s="17"/>
      <c r="E253" s="17"/>
      <c r="F253" s="17"/>
      <c r="G253" s="17"/>
      <c r="H253" s="17"/>
      <c r="I253" s="17"/>
      <c r="J253" s="18" t="str">
        <f aca="false">IF(COUNT(E253:I253)&lt;5,"",SUM(E253:I253))</f>
        <v/>
      </c>
      <c r="K253" s="18" t="str">
        <f aca="false">IF(J253="","",IF(M253&lt;설정!$B$3,"",ROUND(AVERAGEIFS($J$2:$J$1001,$B$2:$B$1001,B253,$A$2:$A$1001,"&lt;"&amp;A253,$A$2:$A$1001,"&gt;="&amp;(A253-설정!$B$2)),2)))</f>
        <v/>
      </c>
      <c r="L253" s="18" t="str">
        <f aca="false">IF(K253="","",ROUND(SQRT(MAX(0,(SUMIFS($R$2:$R$1001,$B$2:$B$1001,B253,$A$2:$A$1001,"&lt;"&amp;A253,$A$2:$A$1001,"&gt;="&amp;(A253-설정!$B$2))-M253*AVERAGEIFS($J$2:$J$1001,$B$2:$B$1001,B253,$A$2:$A$1001,"&lt;"&amp;A253,$A$2:$A$1001,"&gt;="&amp;(A253-설정!$B$2))^2)/(M253-1))),2))</f>
        <v/>
      </c>
      <c r="M253" s="18" t="str">
        <f aca="false">IF(J253="","",COUNTIFS($B$2:$B$1001,B253,$A$2:$A$1001,"&lt;"&amp;A253,$A$2:$A$1001,"&gt;="&amp;(A253-설정!$B$2),$J$2:$J$1001,"&gt;=0"))</f>
        <v/>
      </c>
      <c r="N253" s="18" t="str">
        <f aca="false">IF(K253="","",IF(L253=0,"",ROUND((J253-K253)/L253,2)))</f>
        <v/>
      </c>
      <c r="O253" s="19" t="str">
        <f aca="false">IF(J253="","",IF(MIN(F253,G253)&lt;=설정!$B$5,"예",""))</f>
        <v/>
      </c>
      <c r="P253" s="19" t="str">
        <f aca="false">IF(J253="","",IF(M253&lt;설정!$B$3,"baseline 수집 중",IF(N253="","정상",IF(N253&lt;=설정!$B$4,"낮음","정상"))))</f>
        <v/>
      </c>
      <c r="Q253" s="20"/>
      <c r="R253" s="18" t="str">
        <f aca="false">IF(J253="","",J253^2)</f>
        <v/>
      </c>
    </row>
    <row r="254" customFormat="false" ht="15" hidden="false" customHeight="false" outlineLevel="0" collapsed="false">
      <c r="A254" s="16"/>
      <c r="B254" s="17"/>
      <c r="C254" s="17"/>
      <c r="D254" s="17"/>
      <c r="E254" s="17"/>
      <c r="F254" s="17"/>
      <c r="G254" s="17"/>
      <c r="H254" s="17"/>
      <c r="I254" s="17"/>
      <c r="J254" s="18" t="str">
        <f aca="false">IF(COUNT(E254:I254)&lt;5,"",SUM(E254:I254))</f>
        <v/>
      </c>
      <c r="K254" s="18" t="str">
        <f aca="false">IF(J254="","",IF(M254&lt;설정!$B$3,"",ROUND(AVERAGEIFS($J$2:$J$1001,$B$2:$B$1001,B254,$A$2:$A$1001,"&lt;"&amp;A254,$A$2:$A$1001,"&gt;="&amp;(A254-설정!$B$2)),2)))</f>
        <v/>
      </c>
      <c r="L254" s="18" t="str">
        <f aca="false">IF(K254="","",ROUND(SQRT(MAX(0,(SUMIFS($R$2:$R$1001,$B$2:$B$1001,B254,$A$2:$A$1001,"&lt;"&amp;A254,$A$2:$A$1001,"&gt;="&amp;(A254-설정!$B$2))-M254*AVERAGEIFS($J$2:$J$1001,$B$2:$B$1001,B254,$A$2:$A$1001,"&lt;"&amp;A254,$A$2:$A$1001,"&gt;="&amp;(A254-설정!$B$2))^2)/(M254-1))),2))</f>
        <v/>
      </c>
      <c r="M254" s="18" t="str">
        <f aca="false">IF(J254="","",COUNTIFS($B$2:$B$1001,B254,$A$2:$A$1001,"&lt;"&amp;A254,$A$2:$A$1001,"&gt;="&amp;(A254-설정!$B$2),$J$2:$J$1001,"&gt;=0"))</f>
        <v/>
      </c>
      <c r="N254" s="18" t="str">
        <f aca="false">IF(K254="","",IF(L254=0,"",ROUND((J254-K254)/L254,2)))</f>
        <v/>
      </c>
      <c r="O254" s="19" t="str">
        <f aca="false">IF(J254="","",IF(MIN(F254,G254)&lt;=설정!$B$5,"예",""))</f>
        <v/>
      </c>
      <c r="P254" s="19" t="str">
        <f aca="false">IF(J254="","",IF(M254&lt;설정!$B$3,"baseline 수집 중",IF(N254="","정상",IF(N254&lt;=설정!$B$4,"낮음","정상"))))</f>
        <v/>
      </c>
      <c r="Q254" s="20"/>
      <c r="R254" s="18" t="str">
        <f aca="false">IF(J254="","",J254^2)</f>
        <v/>
      </c>
    </row>
    <row r="255" customFormat="false" ht="15" hidden="false" customHeight="false" outlineLevel="0" collapsed="false">
      <c r="A255" s="16"/>
      <c r="B255" s="17"/>
      <c r="C255" s="17"/>
      <c r="D255" s="17"/>
      <c r="E255" s="17"/>
      <c r="F255" s="17"/>
      <c r="G255" s="17"/>
      <c r="H255" s="17"/>
      <c r="I255" s="17"/>
      <c r="J255" s="18" t="str">
        <f aca="false">IF(COUNT(E255:I255)&lt;5,"",SUM(E255:I255))</f>
        <v/>
      </c>
      <c r="K255" s="18" t="str">
        <f aca="false">IF(J255="","",IF(M255&lt;설정!$B$3,"",ROUND(AVERAGEIFS($J$2:$J$1001,$B$2:$B$1001,B255,$A$2:$A$1001,"&lt;"&amp;A255,$A$2:$A$1001,"&gt;="&amp;(A255-설정!$B$2)),2)))</f>
        <v/>
      </c>
      <c r="L255" s="18" t="str">
        <f aca="false">IF(K255="","",ROUND(SQRT(MAX(0,(SUMIFS($R$2:$R$1001,$B$2:$B$1001,B255,$A$2:$A$1001,"&lt;"&amp;A255,$A$2:$A$1001,"&gt;="&amp;(A255-설정!$B$2))-M255*AVERAGEIFS($J$2:$J$1001,$B$2:$B$1001,B255,$A$2:$A$1001,"&lt;"&amp;A255,$A$2:$A$1001,"&gt;="&amp;(A255-설정!$B$2))^2)/(M255-1))),2))</f>
        <v/>
      </c>
      <c r="M255" s="18" t="str">
        <f aca="false">IF(J255="","",COUNTIFS($B$2:$B$1001,B255,$A$2:$A$1001,"&lt;"&amp;A255,$A$2:$A$1001,"&gt;="&amp;(A255-설정!$B$2),$J$2:$J$1001,"&gt;=0"))</f>
        <v/>
      </c>
      <c r="N255" s="18" t="str">
        <f aca="false">IF(K255="","",IF(L255=0,"",ROUND((J255-K255)/L255,2)))</f>
        <v/>
      </c>
      <c r="O255" s="19" t="str">
        <f aca="false">IF(J255="","",IF(MIN(F255,G255)&lt;=설정!$B$5,"예",""))</f>
        <v/>
      </c>
      <c r="P255" s="19" t="str">
        <f aca="false">IF(J255="","",IF(M255&lt;설정!$B$3,"baseline 수집 중",IF(N255="","정상",IF(N255&lt;=설정!$B$4,"낮음","정상"))))</f>
        <v/>
      </c>
      <c r="Q255" s="20"/>
      <c r="R255" s="18" t="str">
        <f aca="false">IF(J255="","",J255^2)</f>
        <v/>
      </c>
    </row>
    <row r="256" customFormat="false" ht="15" hidden="false" customHeight="false" outlineLevel="0" collapsed="false">
      <c r="A256" s="16"/>
      <c r="B256" s="17"/>
      <c r="C256" s="17"/>
      <c r="D256" s="17"/>
      <c r="E256" s="17"/>
      <c r="F256" s="17"/>
      <c r="G256" s="17"/>
      <c r="H256" s="17"/>
      <c r="I256" s="17"/>
      <c r="J256" s="18" t="str">
        <f aca="false">IF(COUNT(E256:I256)&lt;5,"",SUM(E256:I256))</f>
        <v/>
      </c>
      <c r="K256" s="18" t="str">
        <f aca="false">IF(J256="","",IF(M256&lt;설정!$B$3,"",ROUND(AVERAGEIFS($J$2:$J$1001,$B$2:$B$1001,B256,$A$2:$A$1001,"&lt;"&amp;A256,$A$2:$A$1001,"&gt;="&amp;(A256-설정!$B$2)),2)))</f>
        <v/>
      </c>
      <c r="L256" s="18" t="str">
        <f aca="false">IF(K256="","",ROUND(SQRT(MAX(0,(SUMIFS($R$2:$R$1001,$B$2:$B$1001,B256,$A$2:$A$1001,"&lt;"&amp;A256,$A$2:$A$1001,"&gt;="&amp;(A256-설정!$B$2))-M256*AVERAGEIFS($J$2:$J$1001,$B$2:$B$1001,B256,$A$2:$A$1001,"&lt;"&amp;A256,$A$2:$A$1001,"&gt;="&amp;(A256-설정!$B$2))^2)/(M256-1))),2))</f>
        <v/>
      </c>
      <c r="M256" s="18" t="str">
        <f aca="false">IF(J256="","",COUNTIFS($B$2:$B$1001,B256,$A$2:$A$1001,"&lt;"&amp;A256,$A$2:$A$1001,"&gt;="&amp;(A256-설정!$B$2),$J$2:$J$1001,"&gt;=0"))</f>
        <v/>
      </c>
      <c r="N256" s="18" t="str">
        <f aca="false">IF(K256="","",IF(L256=0,"",ROUND((J256-K256)/L256,2)))</f>
        <v/>
      </c>
      <c r="O256" s="19" t="str">
        <f aca="false">IF(J256="","",IF(MIN(F256,G256)&lt;=설정!$B$5,"예",""))</f>
        <v/>
      </c>
      <c r="P256" s="19" t="str">
        <f aca="false">IF(J256="","",IF(M256&lt;설정!$B$3,"baseline 수집 중",IF(N256="","정상",IF(N256&lt;=설정!$B$4,"낮음","정상"))))</f>
        <v/>
      </c>
      <c r="Q256" s="20"/>
      <c r="R256" s="18" t="str">
        <f aca="false">IF(J256="","",J256^2)</f>
        <v/>
      </c>
    </row>
    <row r="257" customFormat="false" ht="15" hidden="false" customHeight="false" outlineLevel="0" collapsed="false">
      <c r="A257" s="16"/>
      <c r="B257" s="17"/>
      <c r="C257" s="17"/>
      <c r="D257" s="17"/>
      <c r="E257" s="17"/>
      <c r="F257" s="17"/>
      <c r="G257" s="17"/>
      <c r="H257" s="17"/>
      <c r="I257" s="17"/>
      <c r="J257" s="18" t="str">
        <f aca="false">IF(COUNT(E257:I257)&lt;5,"",SUM(E257:I257))</f>
        <v/>
      </c>
      <c r="K257" s="18" t="str">
        <f aca="false">IF(J257="","",IF(M257&lt;설정!$B$3,"",ROUND(AVERAGEIFS($J$2:$J$1001,$B$2:$B$1001,B257,$A$2:$A$1001,"&lt;"&amp;A257,$A$2:$A$1001,"&gt;="&amp;(A257-설정!$B$2)),2)))</f>
        <v/>
      </c>
      <c r="L257" s="18" t="str">
        <f aca="false">IF(K257="","",ROUND(SQRT(MAX(0,(SUMIFS($R$2:$R$1001,$B$2:$B$1001,B257,$A$2:$A$1001,"&lt;"&amp;A257,$A$2:$A$1001,"&gt;="&amp;(A257-설정!$B$2))-M257*AVERAGEIFS($J$2:$J$1001,$B$2:$B$1001,B257,$A$2:$A$1001,"&lt;"&amp;A257,$A$2:$A$1001,"&gt;="&amp;(A257-설정!$B$2))^2)/(M257-1))),2))</f>
        <v/>
      </c>
      <c r="M257" s="18" t="str">
        <f aca="false">IF(J257="","",COUNTIFS($B$2:$B$1001,B257,$A$2:$A$1001,"&lt;"&amp;A257,$A$2:$A$1001,"&gt;="&amp;(A257-설정!$B$2),$J$2:$J$1001,"&gt;=0"))</f>
        <v/>
      </c>
      <c r="N257" s="18" t="str">
        <f aca="false">IF(K257="","",IF(L257=0,"",ROUND((J257-K257)/L257,2)))</f>
        <v/>
      </c>
      <c r="O257" s="19" t="str">
        <f aca="false">IF(J257="","",IF(MIN(F257,G257)&lt;=설정!$B$5,"예",""))</f>
        <v/>
      </c>
      <c r="P257" s="19" t="str">
        <f aca="false">IF(J257="","",IF(M257&lt;설정!$B$3,"baseline 수집 중",IF(N257="","정상",IF(N257&lt;=설정!$B$4,"낮음","정상"))))</f>
        <v/>
      </c>
      <c r="Q257" s="20"/>
      <c r="R257" s="18" t="str">
        <f aca="false">IF(J257="","",J257^2)</f>
        <v/>
      </c>
    </row>
    <row r="258" customFormat="false" ht="15" hidden="false" customHeight="false" outlineLevel="0" collapsed="false">
      <c r="A258" s="16"/>
      <c r="B258" s="17"/>
      <c r="C258" s="17"/>
      <c r="D258" s="17"/>
      <c r="E258" s="17"/>
      <c r="F258" s="17"/>
      <c r="G258" s="17"/>
      <c r="H258" s="17"/>
      <c r="I258" s="17"/>
      <c r="J258" s="18" t="str">
        <f aca="false">IF(COUNT(E258:I258)&lt;5,"",SUM(E258:I258))</f>
        <v/>
      </c>
      <c r="K258" s="18" t="str">
        <f aca="false">IF(J258="","",IF(M258&lt;설정!$B$3,"",ROUND(AVERAGEIFS($J$2:$J$1001,$B$2:$B$1001,B258,$A$2:$A$1001,"&lt;"&amp;A258,$A$2:$A$1001,"&gt;="&amp;(A258-설정!$B$2)),2)))</f>
        <v/>
      </c>
      <c r="L258" s="18" t="str">
        <f aca="false">IF(K258="","",ROUND(SQRT(MAX(0,(SUMIFS($R$2:$R$1001,$B$2:$B$1001,B258,$A$2:$A$1001,"&lt;"&amp;A258,$A$2:$A$1001,"&gt;="&amp;(A258-설정!$B$2))-M258*AVERAGEIFS($J$2:$J$1001,$B$2:$B$1001,B258,$A$2:$A$1001,"&lt;"&amp;A258,$A$2:$A$1001,"&gt;="&amp;(A258-설정!$B$2))^2)/(M258-1))),2))</f>
        <v/>
      </c>
      <c r="M258" s="18" t="str">
        <f aca="false">IF(J258="","",COUNTIFS($B$2:$B$1001,B258,$A$2:$A$1001,"&lt;"&amp;A258,$A$2:$A$1001,"&gt;="&amp;(A258-설정!$B$2),$J$2:$J$1001,"&gt;=0"))</f>
        <v/>
      </c>
      <c r="N258" s="18" t="str">
        <f aca="false">IF(K258="","",IF(L258=0,"",ROUND((J258-K258)/L258,2)))</f>
        <v/>
      </c>
      <c r="O258" s="19" t="str">
        <f aca="false">IF(J258="","",IF(MIN(F258,G258)&lt;=설정!$B$5,"예",""))</f>
        <v/>
      </c>
      <c r="P258" s="19" t="str">
        <f aca="false">IF(J258="","",IF(M258&lt;설정!$B$3,"baseline 수집 중",IF(N258="","정상",IF(N258&lt;=설정!$B$4,"낮음","정상"))))</f>
        <v/>
      </c>
      <c r="Q258" s="20"/>
      <c r="R258" s="18" t="str">
        <f aca="false">IF(J258="","",J258^2)</f>
        <v/>
      </c>
    </row>
    <row r="259" customFormat="false" ht="15" hidden="false" customHeight="false" outlineLevel="0" collapsed="false">
      <c r="A259" s="16"/>
      <c r="B259" s="17"/>
      <c r="C259" s="17"/>
      <c r="D259" s="17"/>
      <c r="E259" s="17"/>
      <c r="F259" s="17"/>
      <c r="G259" s="17"/>
      <c r="H259" s="17"/>
      <c r="I259" s="17"/>
      <c r="J259" s="18" t="str">
        <f aca="false">IF(COUNT(E259:I259)&lt;5,"",SUM(E259:I259))</f>
        <v/>
      </c>
      <c r="K259" s="18" t="str">
        <f aca="false">IF(J259="","",IF(M259&lt;설정!$B$3,"",ROUND(AVERAGEIFS($J$2:$J$1001,$B$2:$B$1001,B259,$A$2:$A$1001,"&lt;"&amp;A259,$A$2:$A$1001,"&gt;="&amp;(A259-설정!$B$2)),2)))</f>
        <v/>
      </c>
      <c r="L259" s="18" t="str">
        <f aca="false">IF(K259="","",ROUND(SQRT(MAX(0,(SUMIFS($R$2:$R$1001,$B$2:$B$1001,B259,$A$2:$A$1001,"&lt;"&amp;A259,$A$2:$A$1001,"&gt;="&amp;(A259-설정!$B$2))-M259*AVERAGEIFS($J$2:$J$1001,$B$2:$B$1001,B259,$A$2:$A$1001,"&lt;"&amp;A259,$A$2:$A$1001,"&gt;="&amp;(A259-설정!$B$2))^2)/(M259-1))),2))</f>
        <v/>
      </c>
      <c r="M259" s="18" t="str">
        <f aca="false">IF(J259="","",COUNTIFS($B$2:$B$1001,B259,$A$2:$A$1001,"&lt;"&amp;A259,$A$2:$A$1001,"&gt;="&amp;(A259-설정!$B$2),$J$2:$J$1001,"&gt;=0"))</f>
        <v/>
      </c>
      <c r="N259" s="18" t="str">
        <f aca="false">IF(K259="","",IF(L259=0,"",ROUND((J259-K259)/L259,2)))</f>
        <v/>
      </c>
      <c r="O259" s="19" t="str">
        <f aca="false">IF(J259="","",IF(MIN(F259,G259)&lt;=설정!$B$5,"예",""))</f>
        <v/>
      </c>
      <c r="P259" s="19" t="str">
        <f aca="false">IF(J259="","",IF(M259&lt;설정!$B$3,"baseline 수집 중",IF(N259="","정상",IF(N259&lt;=설정!$B$4,"낮음","정상"))))</f>
        <v/>
      </c>
      <c r="Q259" s="20"/>
      <c r="R259" s="18" t="str">
        <f aca="false">IF(J259="","",J259^2)</f>
        <v/>
      </c>
    </row>
    <row r="260" customFormat="false" ht="15" hidden="false" customHeight="false" outlineLevel="0" collapsed="false">
      <c r="A260" s="16"/>
      <c r="B260" s="17"/>
      <c r="C260" s="17"/>
      <c r="D260" s="17"/>
      <c r="E260" s="17"/>
      <c r="F260" s="17"/>
      <c r="G260" s="17"/>
      <c r="H260" s="17"/>
      <c r="I260" s="17"/>
      <c r="J260" s="18" t="str">
        <f aca="false">IF(COUNT(E260:I260)&lt;5,"",SUM(E260:I260))</f>
        <v/>
      </c>
      <c r="K260" s="18" t="str">
        <f aca="false">IF(J260="","",IF(M260&lt;설정!$B$3,"",ROUND(AVERAGEIFS($J$2:$J$1001,$B$2:$B$1001,B260,$A$2:$A$1001,"&lt;"&amp;A260,$A$2:$A$1001,"&gt;="&amp;(A260-설정!$B$2)),2)))</f>
        <v/>
      </c>
      <c r="L260" s="18" t="str">
        <f aca="false">IF(K260="","",ROUND(SQRT(MAX(0,(SUMIFS($R$2:$R$1001,$B$2:$B$1001,B260,$A$2:$A$1001,"&lt;"&amp;A260,$A$2:$A$1001,"&gt;="&amp;(A260-설정!$B$2))-M260*AVERAGEIFS($J$2:$J$1001,$B$2:$B$1001,B260,$A$2:$A$1001,"&lt;"&amp;A260,$A$2:$A$1001,"&gt;="&amp;(A260-설정!$B$2))^2)/(M260-1))),2))</f>
        <v/>
      </c>
      <c r="M260" s="18" t="str">
        <f aca="false">IF(J260="","",COUNTIFS($B$2:$B$1001,B260,$A$2:$A$1001,"&lt;"&amp;A260,$A$2:$A$1001,"&gt;="&amp;(A260-설정!$B$2),$J$2:$J$1001,"&gt;=0"))</f>
        <v/>
      </c>
      <c r="N260" s="18" t="str">
        <f aca="false">IF(K260="","",IF(L260=0,"",ROUND((J260-K260)/L260,2)))</f>
        <v/>
      </c>
      <c r="O260" s="19" t="str">
        <f aca="false">IF(J260="","",IF(MIN(F260,G260)&lt;=설정!$B$5,"예",""))</f>
        <v/>
      </c>
      <c r="P260" s="19" t="str">
        <f aca="false">IF(J260="","",IF(M260&lt;설정!$B$3,"baseline 수집 중",IF(N260="","정상",IF(N260&lt;=설정!$B$4,"낮음","정상"))))</f>
        <v/>
      </c>
      <c r="Q260" s="20"/>
      <c r="R260" s="18" t="str">
        <f aca="false">IF(J260="","",J260^2)</f>
        <v/>
      </c>
    </row>
    <row r="261" customFormat="false" ht="15" hidden="false" customHeight="false" outlineLevel="0" collapsed="false">
      <c r="A261" s="16"/>
      <c r="B261" s="17"/>
      <c r="C261" s="17"/>
      <c r="D261" s="17"/>
      <c r="E261" s="17"/>
      <c r="F261" s="17"/>
      <c r="G261" s="17"/>
      <c r="H261" s="17"/>
      <c r="I261" s="17"/>
      <c r="J261" s="18" t="str">
        <f aca="false">IF(COUNT(E261:I261)&lt;5,"",SUM(E261:I261))</f>
        <v/>
      </c>
      <c r="K261" s="18" t="str">
        <f aca="false">IF(J261="","",IF(M261&lt;설정!$B$3,"",ROUND(AVERAGEIFS($J$2:$J$1001,$B$2:$B$1001,B261,$A$2:$A$1001,"&lt;"&amp;A261,$A$2:$A$1001,"&gt;="&amp;(A261-설정!$B$2)),2)))</f>
        <v/>
      </c>
      <c r="L261" s="18" t="str">
        <f aca="false">IF(K261="","",ROUND(SQRT(MAX(0,(SUMIFS($R$2:$R$1001,$B$2:$B$1001,B261,$A$2:$A$1001,"&lt;"&amp;A261,$A$2:$A$1001,"&gt;="&amp;(A261-설정!$B$2))-M261*AVERAGEIFS($J$2:$J$1001,$B$2:$B$1001,B261,$A$2:$A$1001,"&lt;"&amp;A261,$A$2:$A$1001,"&gt;="&amp;(A261-설정!$B$2))^2)/(M261-1))),2))</f>
        <v/>
      </c>
      <c r="M261" s="18" t="str">
        <f aca="false">IF(J261="","",COUNTIFS($B$2:$B$1001,B261,$A$2:$A$1001,"&lt;"&amp;A261,$A$2:$A$1001,"&gt;="&amp;(A261-설정!$B$2),$J$2:$J$1001,"&gt;=0"))</f>
        <v/>
      </c>
      <c r="N261" s="18" t="str">
        <f aca="false">IF(K261="","",IF(L261=0,"",ROUND((J261-K261)/L261,2)))</f>
        <v/>
      </c>
      <c r="O261" s="19" t="str">
        <f aca="false">IF(J261="","",IF(MIN(F261,G261)&lt;=설정!$B$5,"예",""))</f>
        <v/>
      </c>
      <c r="P261" s="19" t="str">
        <f aca="false">IF(J261="","",IF(M261&lt;설정!$B$3,"baseline 수집 중",IF(N261="","정상",IF(N261&lt;=설정!$B$4,"낮음","정상"))))</f>
        <v/>
      </c>
      <c r="Q261" s="20"/>
      <c r="R261" s="18" t="str">
        <f aca="false">IF(J261="","",J261^2)</f>
        <v/>
      </c>
    </row>
    <row r="262" customFormat="false" ht="15" hidden="false" customHeight="false" outlineLevel="0" collapsed="false">
      <c r="A262" s="16"/>
      <c r="B262" s="17"/>
      <c r="C262" s="17"/>
      <c r="D262" s="17"/>
      <c r="E262" s="17"/>
      <c r="F262" s="17"/>
      <c r="G262" s="17"/>
      <c r="H262" s="17"/>
      <c r="I262" s="17"/>
      <c r="J262" s="18" t="str">
        <f aca="false">IF(COUNT(E262:I262)&lt;5,"",SUM(E262:I262))</f>
        <v/>
      </c>
      <c r="K262" s="18" t="str">
        <f aca="false">IF(J262="","",IF(M262&lt;설정!$B$3,"",ROUND(AVERAGEIFS($J$2:$J$1001,$B$2:$B$1001,B262,$A$2:$A$1001,"&lt;"&amp;A262,$A$2:$A$1001,"&gt;="&amp;(A262-설정!$B$2)),2)))</f>
        <v/>
      </c>
      <c r="L262" s="18" t="str">
        <f aca="false">IF(K262="","",ROUND(SQRT(MAX(0,(SUMIFS($R$2:$R$1001,$B$2:$B$1001,B262,$A$2:$A$1001,"&lt;"&amp;A262,$A$2:$A$1001,"&gt;="&amp;(A262-설정!$B$2))-M262*AVERAGEIFS($J$2:$J$1001,$B$2:$B$1001,B262,$A$2:$A$1001,"&lt;"&amp;A262,$A$2:$A$1001,"&gt;="&amp;(A262-설정!$B$2))^2)/(M262-1))),2))</f>
        <v/>
      </c>
      <c r="M262" s="18" t="str">
        <f aca="false">IF(J262="","",COUNTIFS($B$2:$B$1001,B262,$A$2:$A$1001,"&lt;"&amp;A262,$A$2:$A$1001,"&gt;="&amp;(A262-설정!$B$2),$J$2:$J$1001,"&gt;=0"))</f>
        <v/>
      </c>
      <c r="N262" s="18" t="str">
        <f aca="false">IF(K262="","",IF(L262=0,"",ROUND((J262-K262)/L262,2)))</f>
        <v/>
      </c>
      <c r="O262" s="19" t="str">
        <f aca="false">IF(J262="","",IF(MIN(F262,G262)&lt;=설정!$B$5,"예",""))</f>
        <v/>
      </c>
      <c r="P262" s="19" t="str">
        <f aca="false">IF(J262="","",IF(M262&lt;설정!$B$3,"baseline 수집 중",IF(N262="","정상",IF(N262&lt;=설정!$B$4,"낮음","정상"))))</f>
        <v/>
      </c>
      <c r="Q262" s="20"/>
      <c r="R262" s="18" t="str">
        <f aca="false">IF(J262="","",J262^2)</f>
        <v/>
      </c>
    </row>
    <row r="263" customFormat="false" ht="15" hidden="false" customHeight="false" outlineLevel="0" collapsed="false">
      <c r="A263" s="16"/>
      <c r="B263" s="17"/>
      <c r="C263" s="17"/>
      <c r="D263" s="17"/>
      <c r="E263" s="17"/>
      <c r="F263" s="17"/>
      <c r="G263" s="17"/>
      <c r="H263" s="17"/>
      <c r="I263" s="17"/>
      <c r="J263" s="18" t="str">
        <f aca="false">IF(COUNT(E263:I263)&lt;5,"",SUM(E263:I263))</f>
        <v/>
      </c>
      <c r="K263" s="18" t="str">
        <f aca="false">IF(J263="","",IF(M263&lt;설정!$B$3,"",ROUND(AVERAGEIFS($J$2:$J$1001,$B$2:$B$1001,B263,$A$2:$A$1001,"&lt;"&amp;A263,$A$2:$A$1001,"&gt;="&amp;(A263-설정!$B$2)),2)))</f>
        <v/>
      </c>
      <c r="L263" s="18" t="str">
        <f aca="false">IF(K263="","",ROUND(SQRT(MAX(0,(SUMIFS($R$2:$R$1001,$B$2:$B$1001,B263,$A$2:$A$1001,"&lt;"&amp;A263,$A$2:$A$1001,"&gt;="&amp;(A263-설정!$B$2))-M263*AVERAGEIFS($J$2:$J$1001,$B$2:$B$1001,B263,$A$2:$A$1001,"&lt;"&amp;A263,$A$2:$A$1001,"&gt;="&amp;(A263-설정!$B$2))^2)/(M263-1))),2))</f>
        <v/>
      </c>
      <c r="M263" s="18" t="str">
        <f aca="false">IF(J263="","",COUNTIFS($B$2:$B$1001,B263,$A$2:$A$1001,"&lt;"&amp;A263,$A$2:$A$1001,"&gt;="&amp;(A263-설정!$B$2),$J$2:$J$1001,"&gt;=0"))</f>
        <v/>
      </c>
      <c r="N263" s="18" t="str">
        <f aca="false">IF(K263="","",IF(L263=0,"",ROUND((J263-K263)/L263,2)))</f>
        <v/>
      </c>
      <c r="O263" s="19" t="str">
        <f aca="false">IF(J263="","",IF(MIN(F263,G263)&lt;=설정!$B$5,"예",""))</f>
        <v/>
      </c>
      <c r="P263" s="19" t="str">
        <f aca="false">IF(J263="","",IF(M263&lt;설정!$B$3,"baseline 수집 중",IF(N263="","정상",IF(N263&lt;=설정!$B$4,"낮음","정상"))))</f>
        <v/>
      </c>
      <c r="Q263" s="20"/>
      <c r="R263" s="18" t="str">
        <f aca="false">IF(J263="","",J263^2)</f>
        <v/>
      </c>
    </row>
    <row r="264" customFormat="false" ht="15" hidden="false" customHeight="false" outlineLevel="0" collapsed="false">
      <c r="A264" s="16"/>
      <c r="B264" s="17"/>
      <c r="C264" s="17"/>
      <c r="D264" s="17"/>
      <c r="E264" s="17"/>
      <c r="F264" s="17"/>
      <c r="G264" s="17"/>
      <c r="H264" s="17"/>
      <c r="I264" s="17"/>
      <c r="J264" s="18" t="str">
        <f aca="false">IF(COUNT(E264:I264)&lt;5,"",SUM(E264:I264))</f>
        <v/>
      </c>
      <c r="K264" s="18" t="str">
        <f aca="false">IF(J264="","",IF(M264&lt;설정!$B$3,"",ROUND(AVERAGEIFS($J$2:$J$1001,$B$2:$B$1001,B264,$A$2:$A$1001,"&lt;"&amp;A264,$A$2:$A$1001,"&gt;="&amp;(A264-설정!$B$2)),2)))</f>
        <v/>
      </c>
      <c r="L264" s="18" t="str">
        <f aca="false">IF(K264="","",ROUND(SQRT(MAX(0,(SUMIFS($R$2:$R$1001,$B$2:$B$1001,B264,$A$2:$A$1001,"&lt;"&amp;A264,$A$2:$A$1001,"&gt;="&amp;(A264-설정!$B$2))-M264*AVERAGEIFS($J$2:$J$1001,$B$2:$B$1001,B264,$A$2:$A$1001,"&lt;"&amp;A264,$A$2:$A$1001,"&gt;="&amp;(A264-설정!$B$2))^2)/(M264-1))),2))</f>
        <v/>
      </c>
      <c r="M264" s="18" t="str">
        <f aca="false">IF(J264="","",COUNTIFS($B$2:$B$1001,B264,$A$2:$A$1001,"&lt;"&amp;A264,$A$2:$A$1001,"&gt;="&amp;(A264-설정!$B$2),$J$2:$J$1001,"&gt;=0"))</f>
        <v/>
      </c>
      <c r="N264" s="18" t="str">
        <f aca="false">IF(K264="","",IF(L264=0,"",ROUND((J264-K264)/L264,2)))</f>
        <v/>
      </c>
      <c r="O264" s="19" t="str">
        <f aca="false">IF(J264="","",IF(MIN(F264,G264)&lt;=설정!$B$5,"예",""))</f>
        <v/>
      </c>
      <c r="P264" s="19" t="str">
        <f aca="false">IF(J264="","",IF(M264&lt;설정!$B$3,"baseline 수집 중",IF(N264="","정상",IF(N264&lt;=설정!$B$4,"낮음","정상"))))</f>
        <v/>
      </c>
      <c r="Q264" s="20"/>
      <c r="R264" s="18" t="str">
        <f aca="false">IF(J264="","",J264^2)</f>
        <v/>
      </c>
    </row>
    <row r="265" customFormat="false" ht="15" hidden="false" customHeight="false" outlineLevel="0" collapsed="false">
      <c r="A265" s="16"/>
      <c r="B265" s="17"/>
      <c r="C265" s="17"/>
      <c r="D265" s="17"/>
      <c r="E265" s="17"/>
      <c r="F265" s="17"/>
      <c r="G265" s="17"/>
      <c r="H265" s="17"/>
      <c r="I265" s="17"/>
      <c r="J265" s="18" t="str">
        <f aca="false">IF(COUNT(E265:I265)&lt;5,"",SUM(E265:I265))</f>
        <v/>
      </c>
      <c r="K265" s="18" t="str">
        <f aca="false">IF(J265="","",IF(M265&lt;설정!$B$3,"",ROUND(AVERAGEIFS($J$2:$J$1001,$B$2:$B$1001,B265,$A$2:$A$1001,"&lt;"&amp;A265,$A$2:$A$1001,"&gt;="&amp;(A265-설정!$B$2)),2)))</f>
        <v/>
      </c>
      <c r="L265" s="18" t="str">
        <f aca="false">IF(K265="","",ROUND(SQRT(MAX(0,(SUMIFS($R$2:$R$1001,$B$2:$B$1001,B265,$A$2:$A$1001,"&lt;"&amp;A265,$A$2:$A$1001,"&gt;="&amp;(A265-설정!$B$2))-M265*AVERAGEIFS($J$2:$J$1001,$B$2:$B$1001,B265,$A$2:$A$1001,"&lt;"&amp;A265,$A$2:$A$1001,"&gt;="&amp;(A265-설정!$B$2))^2)/(M265-1))),2))</f>
        <v/>
      </c>
      <c r="M265" s="18" t="str">
        <f aca="false">IF(J265="","",COUNTIFS($B$2:$B$1001,B265,$A$2:$A$1001,"&lt;"&amp;A265,$A$2:$A$1001,"&gt;="&amp;(A265-설정!$B$2),$J$2:$J$1001,"&gt;=0"))</f>
        <v/>
      </c>
      <c r="N265" s="18" t="str">
        <f aca="false">IF(K265="","",IF(L265=0,"",ROUND((J265-K265)/L265,2)))</f>
        <v/>
      </c>
      <c r="O265" s="19" t="str">
        <f aca="false">IF(J265="","",IF(MIN(F265,G265)&lt;=설정!$B$5,"예",""))</f>
        <v/>
      </c>
      <c r="P265" s="19" t="str">
        <f aca="false">IF(J265="","",IF(M265&lt;설정!$B$3,"baseline 수집 중",IF(N265="","정상",IF(N265&lt;=설정!$B$4,"낮음","정상"))))</f>
        <v/>
      </c>
      <c r="Q265" s="20"/>
      <c r="R265" s="18" t="str">
        <f aca="false">IF(J265="","",J265^2)</f>
        <v/>
      </c>
    </row>
    <row r="266" customFormat="false" ht="15" hidden="false" customHeight="false" outlineLevel="0" collapsed="false">
      <c r="A266" s="16"/>
      <c r="B266" s="17"/>
      <c r="C266" s="17"/>
      <c r="D266" s="17"/>
      <c r="E266" s="17"/>
      <c r="F266" s="17"/>
      <c r="G266" s="17"/>
      <c r="H266" s="17"/>
      <c r="I266" s="17"/>
      <c r="J266" s="18" t="str">
        <f aca="false">IF(COUNT(E266:I266)&lt;5,"",SUM(E266:I266))</f>
        <v/>
      </c>
      <c r="K266" s="18" t="str">
        <f aca="false">IF(J266="","",IF(M266&lt;설정!$B$3,"",ROUND(AVERAGEIFS($J$2:$J$1001,$B$2:$B$1001,B266,$A$2:$A$1001,"&lt;"&amp;A266,$A$2:$A$1001,"&gt;="&amp;(A266-설정!$B$2)),2)))</f>
        <v/>
      </c>
      <c r="L266" s="18" t="str">
        <f aca="false">IF(K266="","",ROUND(SQRT(MAX(0,(SUMIFS($R$2:$R$1001,$B$2:$B$1001,B266,$A$2:$A$1001,"&lt;"&amp;A266,$A$2:$A$1001,"&gt;="&amp;(A266-설정!$B$2))-M266*AVERAGEIFS($J$2:$J$1001,$B$2:$B$1001,B266,$A$2:$A$1001,"&lt;"&amp;A266,$A$2:$A$1001,"&gt;="&amp;(A266-설정!$B$2))^2)/(M266-1))),2))</f>
        <v/>
      </c>
      <c r="M266" s="18" t="str">
        <f aca="false">IF(J266="","",COUNTIFS($B$2:$B$1001,B266,$A$2:$A$1001,"&lt;"&amp;A266,$A$2:$A$1001,"&gt;="&amp;(A266-설정!$B$2),$J$2:$J$1001,"&gt;=0"))</f>
        <v/>
      </c>
      <c r="N266" s="18" t="str">
        <f aca="false">IF(K266="","",IF(L266=0,"",ROUND((J266-K266)/L266,2)))</f>
        <v/>
      </c>
      <c r="O266" s="19" t="str">
        <f aca="false">IF(J266="","",IF(MIN(F266,G266)&lt;=설정!$B$5,"예",""))</f>
        <v/>
      </c>
      <c r="P266" s="19" t="str">
        <f aca="false">IF(J266="","",IF(M266&lt;설정!$B$3,"baseline 수집 중",IF(N266="","정상",IF(N266&lt;=설정!$B$4,"낮음","정상"))))</f>
        <v/>
      </c>
      <c r="Q266" s="20"/>
      <c r="R266" s="18" t="str">
        <f aca="false">IF(J266="","",J266^2)</f>
        <v/>
      </c>
    </row>
    <row r="267" customFormat="false" ht="15" hidden="false" customHeight="false" outlineLevel="0" collapsed="false">
      <c r="A267" s="16"/>
      <c r="B267" s="17"/>
      <c r="C267" s="17"/>
      <c r="D267" s="17"/>
      <c r="E267" s="17"/>
      <c r="F267" s="17"/>
      <c r="G267" s="17"/>
      <c r="H267" s="17"/>
      <c r="I267" s="17"/>
      <c r="J267" s="18" t="str">
        <f aca="false">IF(COUNT(E267:I267)&lt;5,"",SUM(E267:I267))</f>
        <v/>
      </c>
      <c r="K267" s="18" t="str">
        <f aca="false">IF(J267="","",IF(M267&lt;설정!$B$3,"",ROUND(AVERAGEIFS($J$2:$J$1001,$B$2:$B$1001,B267,$A$2:$A$1001,"&lt;"&amp;A267,$A$2:$A$1001,"&gt;="&amp;(A267-설정!$B$2)),2)))</f>
        <v/>
      </c>
      <c r="L267" s="18" t="str">
        <f aca="false">IF(K267="","",ROUND(SQRT(MAX(0,(SUMIFS($R$2:$R$1001,$B$2:$B$1001,B267,$A$2:$A$1001,"&lt;"&amp;A267,$A$2:$A$1001,"&gt;="&amp;(A267-설정!$B$2))-M267*AVERAGEIFS($J$2:$J$1001,$B$2:$B$1001,B267,$A$2:$A$1001,"&lt;"&amp;A267,$A$2:$A$1001,"&gt;="&amp;(A267-설정!$B$2))^2)/(M267-1))),2))</f>
        <v/>
      </c>
      <c r="M267" s="18" t="str">
        <f aca="false">IF(J267="","",COUNTIFS($B$2:$B$1001,B267,$A$2:$A$1001,"&lt;"&amp;A267,$A$2:$A$1001,"&gt;="&amp;(A267-설정!$B$2),$J$2:$J$1001,"&gt;=0"))</f>
        <v/>
      </c>
      <c r="N267" s="18" t="str">
        <f aca="false">IF(K267="","",IF(L267=0,"",ROUND((J267-K267)/L267,2)))</f>
        <v/>
      </c>
      <c r="O267" s="19" t="str">
        <f aca="false">IF(J267="","",IF(MIN(F267,G267)&lt;=설정!$B$5,"예",""))</f>
        <v/>
      </c>
      <c r="P267" s="19" t="str">
        <f aca="false">IF(J267="","",IF(M267&lt;설정!$B$3,"baseline 수집 중",IF(N267="","정상",IF(N267&lt;=설정!$B$4,"낮음","정상"))))</f>
        <v/>
      </c>
      <c r="Q267" s="20"/>
      <c r="R267" s="18" t="str">
        <f aca="false">IF(J267="","",J267^2)</f>
        <v/>
      </c>
    </row>
    <row r="268" customFormat="false" ht="15" hidden="false" customHeight="false" outlineLevel="0" collapsed="false">
      <c r="A268" s="16"/>
      <c r="B268" s="17"/>
      <c r="C268" s="17"/>
      <c r="D268" s="17"/>
      <c r="E268" s="17"/>
      <c r="F268" s="17"/>
      <c r="G268" s="17"/>
      <c r="H268" s="17"/>
      <c r="I268" s="17"/>
      <c r="J268" s="18" t="str">
        <f aca="false">IF(COUNT(E268:I268)&lt;5,"",SUM(E268:I268))</f>
        <v/>
      </c>
      <c r="K268" s="18" t="str">
        <f aca="false">IF(J268="","",IF(M268&lt;설정!$B$3,"",ROUND(AVERAGEIFS($J$2:$J$1001,$B$2:$B$1001,B268,$A$2:$A$1001,"&lt;"&amp;A268,$A$2:$A$1001,"&gt;="&amp;(A268-설정!$B$2)),2)))</f>
        <v/>
      </c>
      <c r="L268" s="18" t="str">
        <f aca="false">IF(K268="","",ROUND(SQRT(MAX(0,(SUMIFS($R$2:$R$1001,$B$2:$B$1001,B268,$A$2:$A$1001,"&lt;"&amp;A268,$A$2:$A$1001,"&gt;="&amp;(A268-설정!$B$2))-M268*AVERAGEIFS($J$2:$J$1001,$B$2:$B$1001,B268,$A$2:$A$1001,"&lt;"&amp;A268,$A$2:$A$1001,"&gt;="&amp;(A268-설정!$B$2))^2)/(M268-1))),2))</f>
        <v/>
      </c>
      <c r="M268" s="18" t="str">
        <f aca="false">IF(J268="","",COUNTIFS($B$2:$B$1001,B268,$A$2:$A$1001,"&lt;"&amp;A268,$A$2:$A$1001,"&gt;="&amp;(A268-설정!$B$2),$J$2:$J$1001,"&gt;=0"))</f>
        <v/>
      </c>
      <c r="N268" s="18" t="str">
        <f aca="false">IF(K268="","",IF(L268=0,"",ROUND((J268-K268)/L268,2)))</f>
        <v/>
      </c>
      <c r="O268" s="19" t="str">
        <f aca="false">IF(J268="","",IF(MIN(F268,G268)&lt;=설정!$B$5,"예",""))</f>
        <v/>
      </c>
      <c r="P268" s="19" t="str">
        <f aca="false">IF(J268="","",IF(M268&lt;설정!$B$3,"baseline 수집 중",IF(N268="","정상",IF(N268&lt;=설정!$B$4,"낮음","정상"))))</f>
        <v/>
      </c>
      <c r="Q268" s="20"/>
      <c r="R268" s="18" t="str">
        <f aca="false">IF(J268="","",J268^2)</f>
        <v/>
      </c>
    </row>
    <row r="269" customFormat="false" ht="15" hidden="false" customHeight="false" outlineLevel="0" collapsed="false">
      <c r="A269" s="16"/>
      <c r="B269" s="17"/>
      <c r="C269" s="17"/>
      <c r="D269" s="17"/>
      <c r="E269" s="17"/>
      <c r="F269" s="17"/>
      <c r="G269" s="17"/>
      <c r="H269" s="17"/>
      <c r="I269" s="17"/>
      <c r="J269" s="18" t="str">
        <f aca="false">IF(COUNT(E269:I269)&lt;5,"",SUM(E269:I269))</f>
        <v/>
      </c>
      <c r="K269" s="18" t="str">
        <f aca="false">IF(J269="","",IF(M269&lt;설정!$B$3,"",ROUND(AVERAGEIFS($J$2:$J$1001,$B$2:$B$1001,B269,$A$2:$A$1001,"&lt;"&amp;A269,$A$2:$A$1001,"&gt;="&amp;(A269-설정!$B$2)),2)))</f>
        <v/>
      </c>
      <c r="L269" s="18" t="str">
        <f aca="false">IF(K269="","",ROUND(SQRT(MAX(0,(SUMIFS($R$2:$R$1001,$B$2:$B$1001,B269,$A$2:$A$1001,"&lt;"&amp;A269,$A$2:$A$1001,"&gt;="&amp;(A269-설정!$B$2))-M269*AVERAGEIFS($J$2:$J$1001,$B$2:$B$1001,B269,$A$2:$A$1001,"&lt;"&amp;A269,$A$2:$A$1001,"&gt;="&amp;(A269-설정!$B$2))^2)/(M269-1))),2))</f>
        <v/>
      </c>
      <c r="M269" s="18" t="str">
        <f aca="false">IF(J269="","",COUNTIFS($B$2:$B$1001,B269,$A$2:$A$1001,"&lt;"&amp;A269,$A$2:$A$1001,"&gt;="&amp;(A269-설정!$B$2),$J$2:$J$1001,"&gt;=0"))</f>
        <v/>
      </c>
      <c r="N269" s="18" t="str">
        <f aca="false">IF(K269="","",IF(L269=0,"",ROUND((J269-K269)/L269,2)))</f>
        <v/>
      </c>
      <c r="O269" s="19" t="str">
        <f aca="false">IF(J269="","",IF(MIN(F269,G269)&lt;=설정!$B$5,"예",""))</f>
        <v/>
      </c>
      <c r="P269" s="19" t="str">
        <f aca="false">IF(J269="","",IF(M269&lt;설정!$B$3,"baseline 수집 중",IF(N269="","정상",IF(N269&lt;=설정!$B$4,"낮음","정상"))))</f>
        <v/>
      </c>
      <c r="Q269" s="20"/>
      <c r="R269" s="18" t="str">
        <f aca="false">IF(J269="","",J269^2)</f>
        <v/>
      </c>
    </row>
    <row r="270" customFormat="false" ht="15" hidden="false" customHeight="false" outlineLevel="0" collapsed="false">
      <c r="A270" s="16"/>
      <c r="B270" s="17"/>
      <c r="C270" s="17"/>
      <c r="D270" s="17"/>
      <c r="E270" s="17"/>
      <c r="F270" s="17"/>
      <c r="G270" s="17"/>
      <c r="H270" s="17"/>
      <c r="I270" s="17"/>
      <c r="J270" s="18" t="str">
        <f aca="false">IF(COUNT(E270:I270)&lt;5,"",SUM(E270:I270))</f>
        <v/>
      </c>
      <c r="K270" s="18" t="str">
        <f aca="false">IF(J270="","",IF(M270&lt;설정!$B$3,"",ROUND(AVERAGEIFS($J$2:$J$1001,$B$2:$B$1001,B270,$A$2:$A$1001,"&lt;"&amp;A270,$A$2:$A$1001,"&gt;="&amp;(A270-설정!$B$2)),2)))</f>
        <v/>
      </c>
      <c r="L270" s="18" t="str">
        <f aca="false">IF(K270="","",ROUND(SQRT(MAX(0,(SUMIFS($R$2:$R$1001,$B$2:$B$1001,B270,$A$2:$A$1001,"&lt;"&amp;A270,$A$2:$A$1001,"&gt;="&amp;(A270-설정!$B$2))-M270*AVERAGEIFS($J$2:$J$1001,$B$2:$B$1001,B270,$A$2:$A$1001,"&lt;"&amp;A270,$A$2:$A$1001,"&gt;="&amp;(A270-설정!$B$2))^2)/(M270-1))),2))</f>
        <v/>
      </c>
      <c r="M270" s="18" t="str">
        <f aca="false">IF(J270="","",COUNTIFS($B$2:$B$1001,B270,$A$2:$A$1001,"&lt;"&amp;A270,$A$2:$A$1001,"&gt;="&amp;(A270-설정!$B$2),$J$2:$J$1001,"&gt;=0"))</f>
        <v/>
      </c>
      <c r="N270" s="18" t="str">
        <f aca="false">IF(K270="","",IF(L270=0,"",ROUND((J270-K270)/L270,2)))</f>
        <v/>
      </c>
      <c r="O270" s="19" t="str">
        <f aca="false">IF(J270="","",IF(MIN(F270,G270)&lt;=설정!$B$5,"예",""))</f>
        <v/>
      </c>
      <c r="P270" s="19" t="str">
        <f aca="false">IF(J270="","",IF(M270&lt;설정!$B$3,"baseline 수집 중",IF(N270="","정상",IF(N270&lt;=설정!$B$4,"낮음","정상"))))</f>
        <v/>
      </c>
      <c r="Q270" s="20"/>
      <c r="R270" s="18" t="str">
        <f aca="false">IF(J270="","",J270^2)</f>
        <v/>
      </c>
    </row>
    <row r="271" customFormat="false" ht="15" hidden="false" customHeight="false" outlineLevel="0" collapsed="false">
      <c r="A271" s="16"/>
      <c r="B271" s="17"/>
      <c r="C271" s="17"/>
      <c r="D271" s="17"/>
      <c r="E271" s="17"/>
      <c r="F271" s="17"/>
      <c r="G271" s="17"/>
      <c r="H271" s="17"/>
      <c r="I271" s="17"/>
      <c r="J271" s="18" t="str">
        <f aca="false">IF(COUNT(E271:I271)&lt;5,"",SUM(E271:I271))</f>
        <v/>
      </c>
      <c r="K271" s="18" t="str">
        <f aca="false">IF(J271="","",IF(M271&lt;설정!$B$3,"",ROUND(AVERAGEIFS($J$2:$J$1001,$B$2:$B$1001,B271,$A$2:$A$1001,"&lt;"&amp;A271,$A$2:$A$1001,"&gt;="&amp;(A271-설정!$B$2)),2)))</f>
        <v/>
      </c>
      <c r="L271" s="18" t="str">
        <f aca="false">IF(K271="","",ROUND(SQRT(MAX(0,(SUMIFS($R$2:$R$1001,$B$2:$B$1001,B271,$A$2:$A$1001,"&lt;"&amp;A271,$A$2:$A$1001,"&gt;="&amp;(A271-설정!$B$2))-M271*AVERAGEIFS($J$2:$J$1001,$B$2:$B$1001,B271,$A$2:$A$1001,"&lt;"&amp;A271,$A$2:$A$1001,"&gt;="&amp;(A271-설정!$B$2))^2)/(M271-1))),2))</f>
        <v/>
      </c>
      <c r="M271" s="18" t="str">
        <f aca="false">IF(J271="","",COUNTIFS($B$2:$B$1001,B271,$A$2:$A$1001,"&lt;"&amp;A271,$A$2:$A$1001,"&gt;="&amp;(A271-설정!$B$2),$J$2:$J$1001,"&gt;=0"))</f>
        <v/>
      </c>
      <c r="N271" s="18" t="str">
        <f aca="false">IF(K271="","",IF(L271=0,"",ROUND((J271-K271)/L271,2)))</f>
        <v/>
      </c>
      <c r="O271" s="19" t="str">
        <f aca="false">IF(J271="","",IF(MIN(F271,G271)&lt;=설정!$B$5,"예",""))</f>
        <v/>
      </c>
      <c r="P271" s="19" t="str">
        <f aca="false">IF(J271="","",IF(M271&lt;설정!$B$3,"baseline 수집 중",IF(N271="","정상",IF(N271&lt;=설정!$B$4,"낮음","정상"))))</f>
        <v/>
      </c>
      <c r="Q271" s="20"/>
      <c r="R271" s="18" t="str">
        <f aca="false">IF(J271="","",J271^2)</f>
        <v/>
      </c>
    </row>
    <row r="272" customFormat="false" ht="15" hidden="false" customHeight="false" outlineLevel="0" collapsed="false">
      <c r="A272" s="16"/>
      <c r="B272" s="17"/>
      <c r="C272" s="17"/>
      <c r="D272" s="17"/>
      <c r="E272" s="17"/>
      <c r="F272" s="17"/>
      <c r="G272" s="17"/>
      <c r="H272" s="17"/>
      <c r="I272" s="17"/>
      <c r="J272" s="18" t="str">
        <f aca="false">IF(COUNT(E272:I272)&lt;5,"",SUM(E272:I272))</f>
        <v/>
      </c>
      <c r="K272" s="18" t="str">
        <f aca="false">IF(J272="","",IF(M272&lt;설정!$B$3,"",ROUND(AVERAGEIFS($J$2:$J$1001,$B$2:$B$1001,B272,$A$2:$A$1001,"&lt;"&amp;A272,$A$2:$A$1001,"&gt;="&amp;(A272-설정!$B$2)),2)))</f>
        <v/>
      </c>
      <c r="L272" s="18" t="str">
        <f aca="false">IF(K272="","",ROUND(SQRT(MAX(0,(SUMIFS($R$2:$R$1001,$B$2:$B$1001,B272,$A$2:$A$1001,"&lt;"&amp;A272,$A$2:$A$1001,"&gt;="&amp;(A272-설정!$B$2))-M272*AVERAGEIFS($J$2:$J$1001,$B$2:$B$1001,B272,$A$2:$A$1001,"&lt;"&amp;A272,$A$2:$A$1001,"&gt;="&amp;(A272-설정!$B$2))^2)/(M272-1))),2))</f>
        <v/>
      </c>
      <c r="M272" s="18" t="str">
        <f aca="false">IF(J272="","",COUNTIFS($B$2:$B$1001,B272,$A$2:$A$1001,"&lt;"&amp;A272,$A$2:$A$1001,"&gt;="&amp;(A272-설정!$B$2),$J$2:$J$1001,"&gt;=0"))</f>
        <v/>
      </c>
      <c r="N272" s="18" t="str">
        <f aca="false">IF(K272="","",IF(L272=0,"",ROUND((J272-K272)/L272,2)))</f>
        <v/>
      </c>
      <c r="O272" s="19" t="str">
        <f aca="false">IF(J272="","",IF(MIN(F272,G272)&lt;=설정!$B$5,"예",""))</f>
        <v/>
      </c>
      <c r="P272" s="19" t="str">
        <f aca="false">IF(J272="","",IF(M272&lt;설정!$B$3,"baseline 수집 중",IF(N272="","정상",IF(N272&lt;=설정!$B$4,"낮음","정상"))))</f>
        <v/>
      </c>
      <c r="Q272" s="20"/>
      <c r="R272" s="18" t="str">
        <f aca="false">IF(J272="","",J272^2)</f>
        <v/>
      </c>
    </row>
    <row r="273" customFormat="false" ht="15" hidden="false" customHeight="false" outlineLevel="0" collapsed="false">
      <c r="A273" s="16"/>
      <c r="B273" s="17"/>
      <c r="C273" s="17"/>
      <c r="D273" s="17"/>
      <c r="E273" s="17"/>
      <c r="F273" s="17"/>
      <c r="G273" s="17"/>
      <c r="H273" s="17"/>
      <c r="I273" s="17"/>
      <c r="J273" s="18" t="str">
        <f aca="false">IF(COUNT(E273:I273)&lt;5,"",SUM(E273:I273))</f>
        <v/>
      </c>
      <c r="K273" s="18" t="str">
        <f aca="false">IF(J273="","",IF(M273&lt;설정!$B$3,"",ROUND(AVERAGEIFS($J$2:$J$1001,$B$2:$B$1001,B273,$A$2:$A$1001,"&lt;"&amp;A273,$A$2:$A$1001,"&gt;="&amp;(A273-설정!$B$2)),2)))</f>
        <v/>
      </c>
      <c r="L273" s="18" t="str">
        <f aca="false">IF(K273="","",ROUND(SQRT(MAX(0,(SUMIFS($R$2:$R$1001,$B$2:$B$1001,B273,$A$2:$A$1001,"&lt;"&amp;A273,$A$2:$A$1001,"&gt;="&amp;(A273-설정!$B$2))-M273*AVERAGEIFS($J$2:$J$1001,$B$2:$B$1001,B273,$A$2:$A$1001,"&lt;"&amp;A273,$A$2:$A$1001,"&gt;="&amp;(A273-설정!$B$2))^2)/(M273-1))),2))</f>
        <v/>
      </c>
      <c r="M273" s="18" t="str">
        <f aca="false">IF(J273="","",COUNTIFS($B$2:$B$1001,B273,$A$2:$A$1001,"&lt;"&amp;A273,$A$2:$A$1001,"&gt;="&amp;(A273-설정!$B$2),$J$2:$J$1001,"&gt;=0"))</f>
        <v/>
      </c>
      <c r="N273" s="18" t="str">
        <f aca="false">IF(K273="","",IF(L273=0,"",ROUND((J273-K273)/L273,2)))</f>
        <v/>
      </c>
      <c r="O273" s="19" t="str">
        <f aca="false">IF(J273="","",IF(MIN(F273,G273)&lt;=설정!$B$5,"예",""))</f>
        <v/>
      </c>
      <c r="P273" s="19" t="str">
        <f aca="false">IF(J273="","",IF(M273&lt;설정!$B$3,"baseline 수집 중",IF(N273="","정상",IF(N273&lt;=설정!$B$4,"낮음","정상"))))</f>
        <v/>
      </c>
      <c r="Q273" s="20"/>
      <c r="R273" s="18" t="str">
        <f aca="false">IF(J273="","",J273^2)</f>
        <v/>
      </c>
    </row>
    <row r="274" customFormat="false" ht="15" hidden="false" customHeight="false" outlineLevel="0" collapsed="false">
      <c r="A274" s="16"/>
      <c r="B274" s="17"/>
      <c r="C274" s="17"/>
      <c r="D274" s="17"/>
      <c r="E274" s="17"/>
      <c r="F274" s="17"/>
      <c r="G274" s="17"/>
      <c r="H274" s="17"/>
      <c r="I274" s="17"/>
      <c r="J274" s="18" t="str">
        <f aca="false">IF(COUNT(E274:I274)&lt;5,"",SUM(E274:I274))</f>
        <v/>
      </c>
      <c r="K274" s="18" t="str">
        <f aca="false">IF(J274="","",IF(M274&lt;설정!$B$3,"",ROUND(AVERAGEIFS($J$2:$J$1001,$B$2:$B$1001,B274,$A$2:$A$1001,"&lt;"&amp;A274,$A$2:$A$1001,"&gt;="&amp;(A274-설정!$B$2)),2)))</f>
        <v/>
      </c>
      <c r="L274" s="18" t="str">
        <f aca="false">IF(K274="","",ROUND(SQRT(MAX(0,(SUMIFS($R$2:$R$1001,$B$2:$B$1001,B274,$A$2:$A$1001,"&lt;"&amp;A274,$A$2:$A$1001,"&gt;="&amp;(A274-설정!$B$2))-M274*AVERAGEIFS($J$2:$J$1001,$B$2:$B$1001,B274,$A$2:$A$1001,"&lt;"&amp;A274,$A$2:$A$1001,"&gt;="&amp;(A274-설정!$B$2))^2)/(M274-1))),2))</f>
        <v/>
      </c>
      <c r="M274" s="18" t="str">
        <f aca="false">IF(J274="","",COUNTIFS($B$2:$B$1001,B274,$A$2:$A$1001,"&lt;"&amp;A274,$A$2:$A$1001,"&gt;="&amp;(A274-설정!$B$2),$J$2:$J$1001,"&gt;=0"))</f>
        <v/>
      </c>
      <c r="N274" s="18" t="str">
        <f aca="false">IF(K274="","",IF(L274=0,"",ROUND((J274-K274)/L274,2)))</f>
        <v/>
      </c>
      <c r="O274" s="19" t="str">
        <f aca="false">IF(J274="","",IF(MIN(F274,G274)&lt;=설정!$B$5,"예",""))</f>
        <v/>
      </c>
      <c r="P274" s="19" t="str">
        <f aca="false">IF(J274="","",IF(M274&lt;설정!$B$3,"baseline 수집 중",IF(N274="","정상",IF(N274&lt;=설정!$B$4,"낮음","정상"))))</f>
        <v/>
      </c>
      <c r="Q274" s="20"/>
      <c r="R274" s="18" t="str">
        <f aca="false">IF(J274="","",J274^2)</f>
        <v/>
      </c>
    </row>
    <row r="275" customFormat="false" ht="15" hidden="false" customHeight="false" outlineLevel="0" collapsed="false">
      <c r="A275" s="16"/>
      <c r="B275" s="17"/>
      <c r="C275" s="17"/>
      <c r="D275" s="17"/>
      <c r="E275" s="17"/>
      <c r="F275" s="17"/>
      <c r="G275" s="17"/>
      <c r="H275" s="17"/>
      <c r="I275" s="17"/>
      <c r="J275" s="18" t="str">
        <f aca="false">IF(COUNT(E275:I275)&lt;5,"",SUM(E275:I275))</f>
        <v/>
      </c>
      <c r="K275" s="18" t="str">
        <f aca="false">IF(J275="","",IF(M275&lt;설정!$B$3,"",ROUND(AVERAGEIFS($J$2:$J$1001,$B$2:$B$1001,B275,$A$2:$A$1001,"&lt;"&amp;A275,$A$2:$A$1001,"&gt;="&amp;(A275-설정!$B$2)),2)))</f>
        <v/>
      </c>
      <c r="L275" s="18" t="str">
        <f aca="false">IF(K275="","",ROUND(SQRT(MAX(0,(SUMIFS($R$2:$R$1001,$B$2:$B$1001,B275,$A$2:$A$1001,"&lt;"&amp;A275,$A$2:$A$1001,"&gt;="&amp;(A275-설정!$B$2))-M275*AVERAGEIFS($J$2:$J$1001,$B$2:$B$1001,B275,$A$2:$A$1001,"&lt;"&amp;A275,$A$2:$A$1001,"&gt;="&amp;(A275-설정!$B$2))^2)/(M275-1))),2))</f>
        <v/>
      </c>
      <c r="M275" s="18" t="str">
        <f aca="false">IF(J275="","",COUNTIFS($B$2:$B$1001,B275,$A$2:$A$1001,"&lt;"&amp;A275,$A$2:$A$1001,"&gt;="&amp;(A275-설정!$B$2),$J$2:$J$1001,"&gt;=0"))</f>
        <v/>
      </c>
      <c r="N275" s="18" t="str">
        <f aca="false">IF(K275="","",IF(L275=0,"",ROUND((J275-K275)/L275,2)))</f>
        <v/>
      </c>
      <c r="O275" s="19" t="str">
        <f aca="false">IF(J275="","",IF(MIN(F275,G275)&lt;=설정!$B$5,"예",""))</f>
        <v/>
      </c>
      <c r="P275" s="19" t="str">
        <f aca="false">IF(J275="","",IF(M275&lt;설정!$B$3,"baseline 수집 중",IF(N275="","정상",IF(N275&lt;=설정!$B$4,"낮음","정상"))))</f>
        <v/>
      </c>
      <c r="Q275" s="20"/>
      <c r="R275" s="18" t="str">
        <f aca="false">IF(J275="","",J275^2)</f>
        <v/>
      </c>
    </row>
    <row r="276" customFormat="false" ht="15" hidden="false" customHeight="false" outlineLevel="0" collapsed="false">
      <c r="A276" s="16"/>
      <c r="B276" s="17"/>
      <c r="C276" s="17"/>
      <c r="D276" s="17"/>
      <c r="E276" s="17"/>
      <c r="F276" s="17"/>
      <c r="G276" s="17"/>
      <c r="H276" s="17"/>
      <c r="I276" s="17"/>
      <c r="J276" s="18" t="str">
        <f aca="false">IF(COUNT(E276:I276)&lt;5,"",SUM(E276:I276))</f>
        <v/>
      </c>
      <c r="K276" s="18" t="str">
        <f aca="false">IF(J276="","",IF(M276&lt;설정!$B$3,"",ROUND(AVERAGEIFS($J$2:$J$1001,$B$2:$B$1001,B276,$A$2:$A$1001,"&lt;"&amp;A276,$A$2:$A$1001,"&gt;="&amp;(A276-설정!$B$2)),2)))</f>
        <v/>
      </c>
      <c r="L276" s="18" t="str">
        <f aca="false">IF(K276="","",ROUND(SQRT(MAX(0,(SUMIFS($R$2:$R$1001,$B$2:$B$1001,B276,$A$2:$A$1001,"&lt;"&amp;A276,$A$2:$A$1001,"&gt;="&amp;(A276-설정!$B$2))-M276*AVERAGEIFS($J$2:$J$1001,$B$2:$B$1001,B276,$A$2:$A$1001,"&lt;"&amp;A276,$A$2:$A$1001,"&gt;="&amp;(A276-설정!$B$2))^2)/(M276-1))),2))</f>
        <v/>
      </c>
      <c r="M276" s="18" t="str">
        <f aca="false">IF(J276="","",COUNTIFS($B$2:$B$1001,B276,$A$2:$A$1001,"&lt;"&amp;A276,$A$2:$A$1001,"&gt;="&amp;(A276-설정!$B$2),$J$2:$J$1001,"&gt;=0"))</f>
        <v/>
      </c>
      <c r="N276" s="18" t="str">
        <f aca="false">IF(K276="","",IF(L276=0,"",ROUND((J276-K276)/L276,2)))</f>
        <v/>
      </c>
      <c r="O276" s="19" t="str">
        <f aca="false">IF(J276="","",IF(MIN(F276,G276)&lt;=설정!$B$5,"예",""))</f>
        <v/>
      </c>
      <c r="P276" s="19" t="str">
        <f aca="false">IF(J276="","",IF(M276&lt;설정!$B$3,"baseline 수집 중",IF(N276="","정상",IF(N276&lt;=설정!$B$4,"낮음","정상"))))</f>
        <v/>
      </c>
      <c r="Q276" s="20"/>
      <c r="R276" s="18" t="str">
        <f aca="false">IF(J276="","",J276^2)</f>
        <v/>
      </c>
    </row>
    <row r="277" customFormat="false" ht="15" hidden="false" customHeight="false" outlineLevel="0" collapsed="false">
      <c r="A277" s="16"/>
      <c r="B277" s="17"/>
      <c r="C277" s="17"/>
      <c r="D277" s="17"/>
      <c r="E277" s="17"/>
      <c r="F277" s="17"/>
      <c r="G277" s="17"/>
      <c r="H277" s="17"/>
      <c r="I277" s="17"/>
      <c r="J277" s="18" t="str">
        <f aca="false">IF(COUNT(E277:I277)&lt;5,"",SUM(E277:I277))</f>
        <v/>
      </c>
      <c r="K277" s="18" t="str">
        <f aca="false">IF(J277="","",IF(M277&lt;설정!$B$3,"",ROUND(AVERAGEIFS($J$2:$J$1001,$B$2:$B$1001,B277,$A$2:$A$1001,"&lt;"&amp;A277,$A$2:$A$1001,"&gt;="&amp;(A277-설정!$B$2)),2)))</f>
        <v/>
      </c>
      <c r="L277" s="18" t="str">
        <f aca="false">IF(K277="","",ROUND(SQRT(MAX(0,(SUMIFS($R$2:$R$1001,$B$2:$B$1001,B277,$A$2:$A$1001,"&lt;"&amp;A277,$A$2:$A$1001,"&gt;="&amp;(A277-설정!$B$2))-M277*AVERAGEIFS($J$2:$J$1001,$B$2:$B$1001,B277,$A$2:$A$1001,"&lt;"&amp;A277,$A$2:$A$1001,"&gt;="&amp;(A277-설정!$B$2))^2)/(M277-1))),2))</f>
        <v/>
      </c>
      <c r="M277" s="18" t="str">
        <f aca="false">IF(J277="","",COUNTIFS($B$2:$B$1001,B277,$A$2:$A$1001,"&lt;"&amp;A277,$A$2:$A$1001,"&gt;="&amp;(A277-설정!$B$2),$J$2:$J$1001,"&gt;=0"))</f>
        <v/>
      </c>
      <c r="N277" s="18" t="str">
        <f aca="false">IF(K277="","",IF(L277=0,"",ROUND((J277-K277)/L277,2)))</f>
        <v/>
      </c>
      <c r="O277" s="19" t="str">
        <f aca="false">IF(J277="","",IF(MIN(F277,G277)&lt;=설정!$B$5,"예",""))</f>
        <v/>
      </c>
      <c r="P277" s="19" t="str">
        <f aca="false">IF(J277="","",IF(M277&lt;설정!$B$3,"baseline 수집 중",IF(N277="","정상",IF(N277&lt;=설정!$B$4,"낮음","정상"))))</f>
        <v/>
      </c>
      <c r="Q277" s="20"/>
      <c r="R277" s="18" t="str">
        <f aca="false">IF(J277="","",J277^2)</f>
        <v/>
      </c>
    </row>
    <row r="278" customFormat="false" ht="15" hidden="false" customHeight="false" outlineLevel="0" collapsed="false">
      <c r="A278" s="16"/>
      <c r="B278" s="17"/>
      <c r="C278" s="17"/>
      <c r="D278" s="17"/>
      <c r="E278" s="17"/>
      <c r="F278" s="17"/>
      <c r="G278" s="17"/>
      <c r="H278" s="17"/>
      <c r="I278" s="17"/>
      <c r="J278" s="18" t="str">
        <f aca="false">IF(COUNT(E278:I278)&lt;5,"",SUM(E278:I278))</f>
        <v/>
      </c>
      <c r="K278" s="18" t="str">
        <f aca="false">IF(J278="","",IF(M278&lt;설정!$B$3,"",ROUND(AVERAGEIFS($J$2:$J$1001,$B$2:$B$1001,B278,$A$2:$A$1001,"&lt;"&amp;A278,$A$2:$A$1001,"&gt;="&amp;(A278-설정!$B$2)),2)))</f>
        <v/>
      </c>
      <c r="L278" s="18" t="str">
        <f aca="false">IF(K278="","",ROUND(SQRT(MAX(0,(SUMIFS($R$2:$R$1001,$B$2:$B$1001,B278,$A$2:$A$1001,"&lt;"&amp;A278,$A$2:$A$1001,"&gt;="&amp;(A278-설정!$B$2))-M278*AVERAGEIFS($J$2:$J$1001,$B$2:$B$1001,B278,$A$2:$A$1001,"&lt;"&amp;A278,$A$2:$A$1001,"&gt;="&amp;(A278-설정!$B$2))^2)/(M278-1))),2))</f>
        <v/>
      </c>
      <c r="M278" s="18" t="str">
        <f aca="false">IF(J278="","",COUNTIFS($B$2:$B$1001,B278,$A$2:$A$1001,"&lt;"&amp;A278,$A$2:$A$1001,"&gt;="&amp;(A278-설정!$B$2),$J$2:$J$1001,"&gt;=0"))</f>
        <v/>
      </c>
      <c r="N278" s="18" t="str">
        <f aca="false">IF(K278="","",IF(L278=0,"",ROUND((J278-K278)/L278,2)))</f>
        <v/>
      </c>
      <c r="O278" s="19" t="str">
        <f aca="false">IF(J278="","",IF(MIN(F278,G278)&lt;=설정!$B$5,"예",""))</f>
        <v/>
      </c>
      <c r="P278" s="19" t="str">
        <f aca="false">IF(J278="","",IF(M278&lt;설정!$B$3,"baseline 수집 중",IF(N278="","정상",IF(N278&lt;=설정!$B$4,"낮음","정상"))))</f>
        <v/>
      </c>
      <c r="Q278" s="20"/>
      <c r="R278" s="18" t="str">
        <f aca="false">IF(J278="","",J278^2)</f>
        <v/>
      </c>
    </row>
    <row r="279" customFormat="false" ht="15" hidden="false" customHeight="false" outlineLevel="0" collapsed="false">
      <c r="A279" s="16"/>
      <c r="B279" s="17"/>
      <c r="C279" s="17"/>
      <c r="D279" s="17"/>
      <c r="E279" s="17"/>
      <c r="F279" s="17"/>
      <c r="G279" s="17"/>
      <c r="H279" s="17"/>
      <c r="I279" s="17"/>
      <c r="J279" s="18" t="str">
        <f aca="false">IF(COUNT(E279:I279)&lt;5,"",SUM(E279:I279))</f>
        <v/>
      </c>
      <c r="K279" s="18" t="str">
        <f aca="false">IF(J279="","",IF(M279&lt;설정!$B$3,"",ROUND(AVERAGEIFS($J$2:$J$1001,$B$2:$B$1001,B279,$A$2:$A$1001,"&lt;"&amp;A279,$A$2:$A$1001,"&gt;="&amp;(A279-설정!$B$2)),2)))</f>
        <v/>
      </c>
      <c r="L279" s="18" t="str">
        <f aca="false">IF(K279="","",ROUND(SQRT(MAX(0,(SUMIFS($R$2:$R$1001,$B$2:$B$1001,B279,$A$2:$A$1001,"&lt;"&amp;A279,$A$2:$A$1001,"&gt;="&amp;(A279-설정!$B$2))-M279*AVERAGEIFS($J$2:$J$1001,$B$2:$B$1001,B279,$A$2:$A$1001,"&lt;"&amp;A279,$A$2:$A$1001,"&gt;="&amp;(A279-설정!$B$2))^2)/(M279-1))),2))</f>
        <v/>
      </c>
      <c r="M279" s="18" t="str">
        <f aca="false">IF(J279="","",COUNTIFS($B$2:$B$1001,B279,$A$2:$A$1001,"&lt;"&amp;A279,$A$2:$A$1001,"&gt;="&amp;(A279-설정!$B$2),$J$2:$J$1001,"&gt;=0"))</f>
        <v/>
      </c>
      <c r="N279" s="18" t="str">
        <f aca="false">IF(K279="","",IF(L279=0,"",ROUND((J279-K279)/L279,2)))</f>
        <v/>
      </c>
      <c r="O279" s="19" t="str">
        <f aca="false">IF(J279="","",IF(MIN(F279,G279)&lt;=설정!$B$5,"예",""))</f>
        <v/>
      </c>
      <c r="P279" s="19" t="str">
        <f aca="false">IF(J279="","",IF(M279&lt;설정!$B$3,"baseline 수집 중",IF(N279="","정상",IF(N279&lt;=설정!$B$4,"낮음","정상"))))</f>
        <v/>
      </c>
      <c r="Q279" s="20"/>
      <c r="R279" s="18" t="str">
        <f aca="false">IF(J279="","",J279^2)</f>
        <v/>
      </c>
    </row>
    <row r="280" customFormat="false" ht="15" hidden="false" customHeight="false" outlineLevel="0" collapsed="false">
      <c r="A280" s="16"/>
      <c r="B280" s="17"/>
      <c r="C280" s="17"/>
      <c r="D280" s="17"/>
      <c r="E280" s="17"/>
      <c r="F280" s="17"/>
      <c r="G280" s="17"/>
      <c r="H280" s="17"/>
      <c r="I280" s="17"/>
      <c r="J280" s="18" t="str">
        <f aca="false">IF(COUNT(E280:I280)&lt;5,"",SUM(E280:I280))</f>
        <v/>
      </c>
      <c r="K280" s="18" t="str">
        <f aca="false">IF(J280="","",IF(M280&lt;설정!$B$3,"",ROUND(AVERAGEIFS($J$2:$J$1001,$B$2:$B$1001,B280,$A$2:$A$1001,"&lt;"&amp;A280,$A$2:$A$1001,"&gt;="&amp;(A280-설정!$B$2)),2)))</f>
        <v/>
      </c>
      <c r="L280" s="18" t="str">
        <f aca="false">IF(K280="","",ROUND(SQRT(MAX(0,(SUMIFS($R$2:$R$1001,$B$2:$B$1001,B280,$A$2:$A$1001,"&lt;"&amp;A280,$A$2:$A$1001,"&gt;="&amp;(A280-설정!$B$2))-M280*AVERAGEIFS($J$2:$J$1001,$B$2:$B$1001,B280,$A$2:$A$1001,"&lt;"&amp;A280,$A$2:$A$1001,"&gt;="&amp;(A280-설정!$B$2))^2)/(M280-1))),2))</f>
        <v/>
      </c>
      <c r="M280" s="18" t="str">
        <f aca="false">IF(J280="","",COUNTIFS($B$2:$B$1001,B280,$A$2:$A$1001,"&lt;"&amp;A280,$A$2:$A$1001,"&gt;="&amp;(A280-설정!$B$2),$J$2:$J$1001,"&gt;=0"))</f>
        <v/>
      </c>
      <c r="N280" s="18" t="str">
        <f aca="false">IF(K280="","",IF(L280=0,"",ROUND((J280-K280)/L280,2)))</f>
        <v/>
      </c>
      <c r="O280" s="19" t="str">
        <f aca="false">IF(J280="","",IF(MIN(F280,G280)&lt;=설정!$B$5,"예",""))</f>
        <v/>
      </c>
      <c r="P280" s="19" t="str">
        <f aca="false">IF(J280="","",IF(M280&lt;설정!$B$3,"baseline 수집 중",IF(N280="","정상",IF(N280&lt;=설정!$B$4,"낮음","정상"))))</f>
        <v/>
      </c>
      <c r="Q280" s="20"/>
      <c r="R280" s="18" t="str">
        <f aca="false">IF(J280="","",J280^2)</f>
        <v/>
      </c>
    </row>
    <row r="281" customFormat="false" ht="15" hidden="false" customHeight="false" outlineLevel="0" collapsed="false">
      <c r="A281" s="16"/>
      <c r="B281" s="17"/>
      <c r="C281" s="17"/>
      <c r="D281" s="17"/>
      <c r="E281" s="17"/>
      <c r="F281" s="17"/>
      <c r="G281" s="17"/>
      <c r="H281" s="17"/>
      <c r="I281" s="17"/>
      <c r="J281" s="18" t="str">
        <f aca="false">IF(COUNT(E281:I281)&lt;5,"",SUM(E281:I281))</f>
        <v/>
      </c>
      <c r="K281" s="18" t="str">
        <f aca="false">IF(J281="","",IF(M281&lt;설정!$B$3,"",ROUND(AVERAGEIFS($J$2:$J$1001,$B$2:$B$1001,B281,$A$2:$A$1001,"&lt;"&amp;A281,$A$2:$A$1001,"&gt;="&amp;(A281-설정!$B$2)),2)))</f>
        <v/>
      </c>
      <c r="L281" s="18" t="str">
        <f aca="false">IF(K281="","",ROUND(SQRT(MAX(0,(SUMIFS($R$2:$R$1001,$B$2:$B$1001,B281,$A$2:$A$1001,"&lt;"&amp;A281,$A$2:$A$1001,"&gt;="&amp;(A281-설정!$B$2))-M281*AVERAGEIFS($J$2:$J$1001,$B$2:$B$1001,B281,$A$2:$A$1001,"&lt;"&amp;A281,$A$2:$A$1001,"&gt;="&amp;(A281-설정!$B$2))^2)/(M281-1))),2))</f>
        <v/>
      </c>
      <c r="M281" s="18" t="str">
        <f aca="false">IF(J281="","",COUNTIFS($B$2:$B$1001,B281,$A$2:$A$1001,"&lt;"&amp;A281,$A$2:$A$1001,"&gt;="&amp;(A281-설정!$B$2),$J$2:$J$1001,"&gt;=0"))</f>
        <v/>
      </c>
      <c r="N281" s="18" t="str">
        <f aca="false">IF(K281="","",IF(L281=0,"",ROUND((J281-K281)/L281,2)))</f>
        <v/>
      </c>
      <c r="O281" s="19" t="str">
        <f aca="false">IF(J281="","",IF(MIN(F281,G281)&lt;=설정!$B$5,"예",""))</f>
        <v/>
      </c>
      <c r="P281" s="19" t="str">
        <f aca="false">IF(J281="","",IF(M281&lt;설정!$B$3,"baseline 수집 중",IF(N281="","정상",IF(N281&lt;=설정!$B$4,"낮음","정상"))))</f>
        <v/>
      </c>
      <c r="Q281" s="20"/>
      <c r="R281" s="18" t="str">
        <f aca="false">IF(J281="","",J281^2)</f>
        <v/>
      </c>
    </row>
    <row r="282" customFormat="false" ht="15" hidden="false" customHeight="false" outlineLevel="0" collapsed="false">
      <c r="A282" s="16"/>
      <c r="B282" s="17"/>
      <c r="C282" s="17"/>
      <c r="D282" s="17"/>
      <c r="E282" s="17"/>
      <c r="F282" s="17"/>
      <c r="G282" s="17"/>
      <c r="H282" s="17"/>
      <c r="I282" s="17"/>
      <c r="J282" s="18" t="str">
        <f aca="false">IF(COUNT(E282:I282)&lt;5,"",SUM(E282:I282))</f>
        <v/>
      </c>
      <c r="K282" s="18" t="str">
        <f aca="false">IF(J282="","",IF(M282&lt;설정!$B$3,"",ROUND(AVERAGEIFS($J$2:$J$1001,$B$2:$B$1001,B282,$A$2:$A$1001,"&lt;"&amp;A282,$A$2:$A$1001,"&gt;="&amp;(A282-설정!$B$2)),2)))</f>
        <v/>
      </c>
      <c r="L282" s="18" t="str">
        <f aca="false">IF(K282="","",ROUND(SQRT(MAX(0,(SUMIFS($R$2:$R$1001,$B$2:$B$1001,B282,$A$2:$A$1001,"&lt;"&amp;A282,$A$2:$A$1001,"&gt;="&amp;(A282-설정!$B$2))-M282*AVERAGEIFS($J$2:$J$1001,$B$2:$B$1001,B282,$A$2:$A$1001,"&lt;"&amp;A282,$A$2:$A$1001,"&gt;="&amp;(A282-설정!$B$2))^2)/(M282-1))),2))</f>
        <v/>
      </c>
      <c r="M282" s="18" t="str">
        <f aca="false">IF(J282="","",COUNTIFS($B$2:$B$1001,B282,$A$2:$A$1001,"&lt;"&amp;A282,$A$2:$A$1001,"&gt;="&amp;(A282-설정!$B$2),$J$2:$J$1001,"&gt;=0"))</f>
        <v/>
      </c>
      <c r="N282" s="18" t="str">
        <f aca="false">IF(K282="","",IF(L282=0,"",ROUND((J282-K282)/L282,2)))</f>
        <v/>
      </c>
      <c r="O282" s="19" t="str">
        <f aca="false">IF(J282="","",IF(MIN(F282,G282)&lt;=설정!$B$5,"예",""))</f>
        <v/>
      </c>
      <c r="P282" s="19" t="str">
        <f aca="false">IF(J282="","",IF(M282&lt;설정!$B$3,"baseline 수집 중",IF(N282="","정상",IF(N282&lt;=설정!$B$4,"낮음","정상"))))</f>
        <v/>
      </c>
      <c r="Q282" s="20"/>
      <c r="R282" s="18" t="str">
        <f aca="false">IF(J282="","",J282^2)</f>
        <v/>
      </c>
    </row>
    <row r="283" customFormat="false" ht="15" hidden="false" customHeight="false" outlineLevel="0" collapsed="false">
      <c r="A283" s="16"/>
      <c r="B283" s="17"/>
      <c r="C283" s="17"/>
      <c r="D283" s="17"/>
      <c r="E283" s="17"/>
      <c r="F283" s="17"/>
      <c r="G283" s="17"/>
      <c r="H283" s="17"/>
      <c r="I283" s="17"/>
      <c r="J283" s="18" t="str">
        <f aca="false">IF(COUNT(E283:I283)&lt;5,"",SUM(E283:I283))</f>
        <v/>
      </c>
      <c r="K283" s="18" t="str">
        <f aca="false">IF(J283="","",IF(M283&lt;설정!$B$3,"",ROUND(AVERAGEIFS($J$2:$J$1001,$B$2:$B$1001,B283,$A$2:$A$1001,"&lt;"&amp;A283,$A$2:$A$1001,"&gt;="&amp;(A283-설정!$B$2)),2)))</f>
        <v/>
      </c>
      <c r="L283" s="18" t="str">
        <f aca="false">IF(K283="","",ROUND(SQRT(MAX(0,(SUMIFS($R$2:$R$1001,$B$2:$B$1001,B283,$A$2:$A$1001,"&lt;"&amp;A283,$A$2:$A$1001,"&gt;="&amp;(A283-설정!$B$2))-M283*AVERAGEIFS($J$2:$J$1001,$B$2:$B$1001,B283,$A$2:$A$1001,"&lt;"&amp;A283,$A$2:$A$1001,"&gt;="&amp;(A283-설정!$B$2))^2)/(M283-1))),2))</f>
        <v/>
      </c>
      <c r="M283" s="18" t="str">
        <f aca="false">IF(J283="","",COUNTIFS($B$2:$B$1001,B283,$A$2:$A$1001,"&lt;"&amp;A283,$A$2:$A$1001,"&gt;="&amp;(A283-설정!$B$2),$J$2:$J$1001,"&gt;=0"))</f>
        <v/>
      </c>
      <c r="N283" s="18" t="str">
        <f aca="false">IF(K283="","",IF(L283=0,"",ROUND((J283-K283)/L283,2)))</f>
        <v/>
      </c>
      <c r="O283" s="19" t="str">
        <f aca="false">IF(J283="","",IF(MIN(F283,G283)&lt;=설정!$B$5,"예",""))</f>
        <v/>
      </c>
      <c r="P283" s="19" t="str">
        <f aca="false">IF(J283="","",IF(M283&lt;설정!$B$3,"baseline 수집 중",IF(N283="","정상",IF(N283&lt;=설정!$B$4,"낮음","정상"))))</f>
        <v/>
      </c>
      <c r="Q283" s="20"/>
      <c r="R283" s="18" t="str">
        <f aca="false">IF(J283="","",J283^2)</f>
        <v/>
      </c>
    </row>
    <row r="284" customFormat="false" ht="15" hidden="false" customHeight="false" outlineLevel="0" collapsed="false">
      <c r="A284" s="16"/>
      <c r="B284" s="17"/>
      <c r="C284" s="17"/>
      <c r="D284" s="17"/>
      <c r="E284" s="17"/>
      <c r="F284" s="17"/>
      <c r="G284" s="17"/>
      <c r="H284" s="17"/>
      <c r="I284" s="17"/>
      <c r="J284" s="18" t="str">
        <f aca="false">IF(COUNT(E284:I284)&lt;5,"",SUM(E284:I284))</f>
        <v/>
      </c>
      <c r="K284" s="18" t="str">
        <f aca="false">IF(J284="","",IF(M284&lt;설정!$B$3,"",ROUND(AVERAGEIFS($J$2:$J$1001,$B$2:$B$1001,B284,$A$2:$A$1001,"&lt;"&amp;A284,$A$2:$A$1001,"&gt;="&amp;(A284-설정!$B$2)),2)))</f>
        <v/>
      </c>
      <c r="L284" s="18" t="str">
        <f aca="false">IF(K284="","",ROUND(SQRT(MAX(0,(SUMIFS($R$2:$R$1001,$B$2:$B$1001,B284,$A$2:$A$1001,"&lt;"&amp;A284,$A$2:$A$1001,"&gt;="&amp;(A284-설정!$B$2))-M284*AVERAGEIFS($J$2:$J$1001,$B$2:$B$1001,B284,$A$2:$A$1001,"&lt;"&amp;A284,$A$2:$A$1001,"&gt;="&amp;(A284-설정!$B$2))^2)/(M284-1))),2))</f>
        <v/>
      </c>
      <c r="M284" s="18" t="str">
        <f aca="false">IF(J284="","",COUNTIFS($B$2:$B$1001,B284,$A$2:$A$1001,"&lt;"&amp;A284,$A$2:$A$1001,"&gt;="&amp;(A284-설정!$B$2),$J$2:$J$1001,"&gt;=0"))</f>
        <v/>
      </c>
      <c r="N284" s="18" t="str">
        <f aca="false">IF(K284="","",IF(L284=0,"",ROUND((J284-K284)/L284,2)))</f>
        <v/>
      </c>
      <c r="O284" s="19" t="str">
        <f aca="false">IF(J284="","",IF(MIN(F284,G284)&lt;=설정!$B$5,"예",""))</f>
        <v/>
      </c>
      <c r="P284" s="19" t="str">
        <f aca="false">IF(J284="","",IF(M284&lt;설정!$B$3,"baseline 수집 중",IF(N284="","정상",IF(N284&lt;=설정!$B$4,"낮음","정상"))))</f>
        <v/>
      </c>
      <c r="Q284" s="20"/>
      <c r="R284" s="18" t="str">
        <f aca="false">IF(J284="","",J284^2)</f>
        <v/>
      </c>
    </row>
    <row r="285" customFormat="false" ht="15" hidden="false" customHeight="false" outlineLevel="0" collapsed="false">
      <c r="A285" s="16"/>
      <c r="B285" s="17"/>
      <c r="C285" s="17"/>
      <c r="D285" s="17"/>
      <c r="E285" s="17"/>
      <c r="F285" s="17"/>
      <c r="G285" s="17"/>
      <c r="H285" s="17"/>
      <c r="I285" s="17"/>
      <c r="J285" s="18" t="str">
        <f aca="false">IF(COUNT(E285:I285)&lt;5,"",SUM(E285:I285))</f>
        <v/>
      </c>
      <c r="K285" s="18" t="str">
        <f aca="false">IF(J285="","",IF(M285&lt;설정!$B$3,"",ROUND(AVERAGEIFS($J$2:$J$1001,$B$2:$B$1001,B285,$A$2:$A$1001,"&lt;"&amp;A285,$A$2:$A$1001,"&gt;="&amp;(A285-설정!$B$2)),2)))</f>
        <v/>
      </c>
      <c r="L285" s="18" t="str">
        <f aca="false">IF(K285="","",ROUND(SQRT(MAX(0,(SUMIFS($R$2:$R$1001,$B$2:$B$1001,B285,$A$2:$A$1001,"&lt;"&amp;A285,$A$2:$A$1001,"&gt;="&amp;(A285-설정!$B$2))-M285*AVERAGEIFS($J$2:$J$1001,$B$2:$B$1001,B285,$A$2:$A$1001,"&lt;"&amp;A285,$A$2:$A$1001,"&gt;="&amp;(A285-설정!$B$2))^2)/(M285-1))),2))</f>
        <v/>
      </c>
      <c r="M285" s="18" t="str">
        <f aca="false">IF(J285="","",COUNTIFS($B$2:$B$1001,B285,$A$2:$A$1001,"&lt;"&amp;A285,$A$2:$A$1001,"&gt;="&amp;(A285-설정!$B$2),$J$2:$J$1001,"&gt;=0"))</f>
        <v/>
      </c>
      <c r="N285" s="18" t="str">
        <f aca="false">IF(K285="","",IF(L285=0,"",ROUND((J285-K285)/L285,2)))</f>
        <v/>
      </c>
      <c r="O285" s="19" t="str">
        <f aca="false">IF(J285="","",IF(MIN(F285,G285)&lt;=설정!$B$5,"예",""))</f>
        <v/>
      </c>
      <c r="P285" s="19" t="str">
        <f aca="false">IF(J285="","",IF(M285&lt;설정!$B$3,"baseline 수집 중",IF(N285="","정상",IF(N285&lt;=설정!$B$4,"낮음","정상"))))</f>
        <v/>
      </c>
      <c r="Q285" s="20"/>
      <c r="R285" s="18" t="str">
        <f aca="false">IF(J285="","",J285^2)</f>
        <v/>
      </c>
    </row>
    <row r="286" customFormat="false" ht="15" hidden="false" customHeight="false" outlineLevel="0" collapsed="false">
      <c r="A286" s="16"/>
      <c r="B286" s="17"/>
      <c r="C286" s="17"/>
      <c r="D286" s="17"/>
      <c r="E286" s="17"/>
      <c r="F286" s="17"/>
      <c r="G286" s="17"/>
      <c r="H286" s="17"/>
      <c r="I286" s="17"/>
      <c r="J286" s="18" t="str">
        <f aca="false">IF(COUNT(E286:I286)&lt;5,"",SUM(E286:I286))</f>
        <v/>
      </c>
      <c r="K286" s="18" t="str">
        <f aca="false">IF(J286="","",IF(M286&lt;설정!$B$3,"",ROUND(AVERAGEIFS($J$2:$J$1001,$B$2:$B$1001,B286,$A$2:$A$1001,"&lt;"&amp;A286,$A$2:$A$1001,"&gt;="&amp;(A286-설정!$B$2)),2)))</f>
        <v/>
      </c>
      <c r="L286" s="18" t="str">
        <f aca="false">IF(K286="","",ROUND(SQRT(MAX(0,(SUMIFS($R$2:$R$1001,$B$2:$B$1001,B286,$A$2:$A$1001,"&lt;"&amp;A286,$A$2:$A$1001,"&gt;="&amp;(A286-설정!$B$2))-M286*AVERAGEIFS($J$2:$J$1001,$B$2:$B$1001,B286,$A$2:$A$1001,"&lt;"&amp;A286,$A$2:$A$1001,"&gt;="&amp;(A286-설정!$B$2))^2)/(M286-1))),2))</f>
        <v/>
      </c>
      <c r="M286" s="18" t="str">
        <f aca="false">IF(J286="","",COUNTIFS($B$2:$B$1001,B286,$A$2:$A$1001,"&lt;"&amp;A286,$A$2:$A$1001,"&gt;="&amp;(A286-설정!$B$2),$J$2:$J$1001,"&gt;=0"))</f>
        <v/>
      </c>
      <c r="N286" s="18" t="str">
        <f aca="false">IF(K286="","",IF(L286=0,"",ROUND((J286-K286)/L286,2)))</f>
        <v/>
      </c>
      <c r="O286" s="19" t="str">
        <f aca="false">IF(J286="","",IF(MIN(F286,G286)&lt;=설정!$B$5,"예",""))</f>
        <v/>
      </c>
      <c r="P286" s="19" t="str">
        <f aca="false">IF(J286="","",IF(M286&lt;설정!$B$3,"baseline 수집 중",IF(N286="","정상",IF(N286&lt;=설정!$B$4,"낮음","정상"))))</f>
        <v/>
      </c>
      <c r="Q286" s="20"/>
      <c r="R286" s="18" t="str">
        <f aca="false">IF(J286="","",J286^2)</f>
        <v/>
      </c>
    </row>
    <row r="287" customFormat="false" ht="15" hidden="false" customHeight="false" outlineLevel="0" collapsed="false">
      <c r="A287" s="16"/>
      <c r="B287" s="17"/>
      <c r="C287" s="17"/>
      <c r="D287" s="17"/>
      <c r="E287" s="17"/>
      <c r="F287" s="17"/>
      <c r="G287" s="17"/>
      <c r="H287" s="17"/>
      <c r="I287" s="17"/>
      <c r="J287" s="18" t="str">
        <f aca="false">IF(COUNT(E287:I287)&lt;5,"",SUM(E287:I287))</f>
        <v/>
      </c>
      <c r="K287" s="18" t="str">
        <f aca="false">IF(J287="","",IF(M287&lt;설정!$B$3,"",ROUND(AVERAGEIFS($J$2:$J$1001,$B$2:$B$1001,B287,$A$2:$A$1001,"&lt;"&amp;A287,$A$2:$A$1001,"&gt;="&amp;(A287-설정!$B$2)),2)))</f>
        <v/>
      </c>
      <c r="L287" s="18" t="str">
        <f aca="false">IF(K287="","",ROUND(SQRT(MAX(0,(SUMIFS($R$2:$R$1001,$B$2:$B$1001,B287,$A$2:$A$1001,"&lt;"&amp;A287,$A$2:$A$1001,"&gt;="&amp;(A287-설정!$B$2))-M287*AVERAGEIFS($J$2:$J$1001,$B$2:$B$1001,B287,$A$2:$A$1001,"&lt;"&amp;A287,$A$2:$A$1001,"&gt;="&amp;(A287-설정!$B$2))^2)/(M287-1))),2))</f>
        <v/>
      </c>
      <c r="M287" s="18" t="str">
        <f aca="false">IF(J287="","",COUNTIFS($B$2:$B$1001,B287,$A$2:$A$1001,"&lt;"&amp;A287,$A$2:$A$1001,"&gt;="&amp;(A287-설정!$B$2),$J$2:$J$1001,"&gt;=0"))</f>
        <v/>
      </c>
      <c r="N287" s="18" t="str">
        <f aca="false">IF(K287="","",IF(L287=0,"",ROUND((J287-K287)/L287,2)))</f>
        <v/>
      </c>
      <c r="O287" s="19" t="str">
        <f aca="false">IF(J287="","",IF(MIN(F287,G287)&lt;=설정!$B$5,"예",""))</f>
        <v/>
      </c>
      <c r="P287" s="19" t="str">
        <f aca="false">IF(J287="","",IF(M287&lt;설정!$B$3,"baseline 수집 중",IF(N287="","정상",IF(N287&lt;=설정!$B$4,"낮음","정상"))))</f>
        <v/>
      </c>
      <c r="Q287" s="20"/>
      <c r="R287" s="18" t="str">
        <f aca="false">IF(J287="","",J287^2)</f>
        <v/>
      </c>
    </row>
    <row r="288" customFormat="false" ht="15" hidden="false" customHeight="false" outlineLevel="0" collapsed="false">
      <c r="A288" s="16"/>
      <c r="B288" s="17"/>
      <c r="C288" s="17"/>
      <c r="D288" s="17"/>
      <c r="E288" s="17"/>
      <c r="F288" s="17"/>
      <c r="G288" s="17"/>
      <c r="H288" s="17"/>
      <c r="I288" s="17"/>
      <c r="J288" s="18" t="str">
        <f aca="false">IF(COUNT(E288:I288)&lt;5,"",SUM(E288:I288))</f>
        <v/>
      </c>
      <c r="K288" s="18" t="str">
        <f aca="false">IF(J288="","",IF(M288&lt;설정!$B$3,"",ROUND(AVERAGEIFS($J$2:$J$1001,$B$2:$B$1001,B288,$A$2:$A$1001,"&lt;"&amp;A288,$A$2:$A$1001,"&gt;="&amp;(A288-설정!$B$2)),2)))</f>
        <v/>
      </c>
      <c r="L288" s="18" t="str">
        <f aca="false">IF(K288="","",ROUND(SQRT(MAX(0,(SUMIFS($R$2:$R$1001,$B$2:$B$1001,B288,$A$2:$A$1001,"&lt;"&amp;A288,$A$2:$A$1001,"&gt;="&amp;(A288-설정!$B$2))-M288*AVERAGEIFS($J$2:$J$1001,$B$2:$B$1001,B288,$A$2:$A$1001,"&lt;"&amp;A288,$A$2:$A$1001,"&gt;="&amp;(A288-설정!$B$2))^2)/(M288-1))),2))</f>
        <v/>
      </c>
      <c r="M288" s="18" t="str">
        <f aca="false">IF(J288="","",COUNTIFS($B$2:$B$1001,B288,$A$2:$A$1001,"&lt;"&amp;A288,$A$2:$A$1001,"&gt;="&amp;(A288-설정!$B$2),$J$2:$J$1001,"&gt;=0"))</f>
        <v/>
      </c>
      <c r="N288" s="18" t="str">
        <f aca="false">IF(K288="","",IF(L288=0,"",ROUND((J288-K288)/L288,2)))</f>
        <v/>
      </c>
      <c r="O288" s="19" t="str">
        <f aca="false">IF(J288="","",IF(MIN(F288,G288)&lt;=설정!$B$5,"예",""))</f>
        <v/>
      </c>
      <c r="P288" s="19" t="str">
        <f aca="false">IF(J288="","",IF(M288&lt;설정!$B$3,"baseline 수집 중",IF(N288="","정상",IF(N288&lt;=설정!$B$4,"낮음","정상"))))</f>
        <v/>
      </c>
      <c r="Q288" s="20"/>
      <c r="R288" s="18" t="str">
        <f aca="false">IF(J288="","",J288^2)</f>
        <v/>
      </c>
    </row>
    <row r="289" customFormat="false" ht="15" hidden="false" customHeight="false" outlineLevel="0" collapsed="false">
      <c r="A289" s="16"/>
      <c r="B289" s="17"/>
      <c r="C289" s="17"/>
      <c r="D289" s="17"/>
      <c r="E289" s="17"/>
      <c r="F289" s="17"/>
      <c r="G289" s="17"/>
      <c r="H289" s="17"/>
      <c r="I289" s="17"/>
      <c r="J289" s="18" t="str">
        <f aca="false">IF(COUNT(E289:I289)&lt;5,"",SUM(E289:I289))</f>
        <v/>
      </c>
      <c r="K289" s="18" t="str">
        <f aca="false">IF(J289="","",IF(M289&lt;설정!$B$3,"",ROUND(AVERAGEIFS($J$2:$J$1001,$B$2:$B$1001,B289,$A$2:$A$1001,"&lt;"&amp;A289,$A$2:$A$1001,"&gt;="&amp;(A289-설정!$B$2)),2)))</f>
        <v/>
      </c>
      <c r="L289" s="18" t="str">
        <f aca="false">IF(K289="","",ROUND(SQRT(MAX(0,(SUMIFS($R$2:$R$1001,$B$2:$B$1001,B289,$A$2:$A$1001,"&lt;"&amp;A289,$A$2:$A$1001,"&gt;="&amp;(A289-설정!$B$2))-M289*AVERAGEIFS($J$2:$J$1001,$B$2:$B$1001,B289,$A$2:$A$1001,"&lt;"&amp;A289,$A$2:$A$1001,"&gt;="&amp;(A289-설정!$B$2))^2)/(M289-1))),2))</f>
        <v/>
      </c>
      <c r="M289" s="18" t="str">
        <f aca="false">IF(J289="","",COUNTIFS($B$2:$B$1001,B289,$A$2:$A$1001,"&lt;"&amp;A289,$A$2:$A$1001,"&gt;="&amp;(A289-설정!$B$2),$J$2:$J$1001,"&gt;=0"))</f>
        <v/>
      </c>
      <c r="N289" s="18" t="str">
        <f aca="false">IF(K289="","",IF(L289=0,"",ROUND((J289-K289)/L289,2)))</f>
        <v/>
      </c>
      <c r="O289" s="19" t="str">
        <f aca="false">IF(J289="","",IF(MIN(F289,G289)&lt;=설정!$B$5,"예",""))</f>
        <v/>
      </c>
      <c r="P289" s="19" t="str">
        <f aca="false">IF(J289="","",IF(M289&lt;설정!$B$3,"baseline 수집 중",IF(N289="","정상",IF(N289&lt;=설정!$B$4,"낮음","정상"))))</f>
        <v/>
      </c>
      <c r="Q289" s="20"/>
      <c r="R289" s="18" t="str">
        <f aca="false">IF(J289="","",J289^2)</f>
        <v/>
      </c>
    </row>
    <row r="290" customFormat="false" ht="15" hidden="false" customHeight="false" outlineLevel="0" collapsed="false">
      <c r="A290" s="16"/>
      <c r="B290" s="17"/>
      <c r="C290" s="17"/>
      <c r="D290" s="17"/>
      <c r="E290" s="17"/>
      <c r="F290" s="17"/>
      <c r="G290" s="17"/>
      <c r="H290" s="17"/>
      <c r="I290" s="17"/>
      <c r="J290" s="18" t="str">
        <f aca="false">IF(COUNT(E290:I290)&lt;5,"",SUM(E290:I290))</f>
        <v/>
      </c>
      <c r="K290" s="18" t="str">
        <f aca="false">IF(J290="","",IF(M290&lt;설정!$B$3,"",ROUND(AVERAGEIFS($J$2:$J$1001,$B$2:$B$1001,B290,$A$2:$A$1001,"&lt;"&amp;A290,$A$2:$A$1001,"&gt;="&amp;(A290-설정!$B$2)),2)))</f>
        <v/>
      </c>
      <c r="L290" s="18" t="str">
        <f aca="false">IF(K290="","",ROUND(SQRT(MAX(0,(SUMIFS($R$2:$R$1001,$B$2:$B$1001,B290,$A$2:$A$1001,"&lt;"&amp;A290,$A$2:$A$1001,"&gt;="&amp;(A290-설정!$B$2))-M290*AVERAGEIFS($J$2:$J$1001,$B$2:$B$1001,B290,$A$2:$A$1001,"&lt;"&amp;A290,$A$2:$A$1001,"&gt;="&amp;(A290-설정!$B$2))^2)/(M290-1))),2))</f>
        <v/>
      </c>
      <c r="M290" s="18" t="str">
        <f aca="false">IF(J290="","",COUNTIFS($B$2:$B$1001,B290,$A$2:$A$1001,"&lt;"&amp;A290,$A$2:$A$1001,"&gt;="&amp;(A290-설정!$B$2),$J$2:$J$1001,"&gt;=0"))</f>
        <v/>
      </c>
      <c r="N290" s="18" t="str">
        <f aca="false">IF(K290="","",IF(L290=0,"",ROUND((J290-K290)/L290,2)))</f>
        <v/>
      </c>
      <c r="O290" s="19" t="str">
        <f aca="false">IF(J290="","",IF(MIN(F290,G290)&lt;=설정!$B$5,"예",""))</f>
        <v/>
      </c>
      <c r="P290" s="19" t="str">
        <f aca="false">IF(J290="","",IF(M290&lt;설정!$B$3,"baseline 수집 중",IF(N290="","정상",IF(N290&lt;=설정!$B$4,"낮음","정상"))))</f>
        <v/>
      </c>
      <c r="Q290" s="20"/>
      <c r="R290" s="18" t="str">
        <f aca="false">IF(J290="","",J290^2)</f>
        <v/>
      </c>
    </row>
    <row r="291" customFormat="false" ht="15" hidden="false" customHeight="false" outlineLevel="0" collapsed="false">
      <c r="A291" s="16"/>
      <c r="B291" s="17"/>
      <c r="C291" s="17"/>
      <c r="D291" s="17"/>
      <c r="E291" s="17"/>
      <c r="F291" s="17"/>
      <c r="G291" s="17"/>
      <c r="H291" s="17"/>
      <c r="I291" s="17"/>
      <c r="J291" s="18" t="str">
        <f aca="false">IF(COUNT(E291:I291)&lt;5,"",SUM(E291:I291))</f>
        <v/>
      </c>
      <c r="K291" s="18" t="str">
        <f aca="false">IF(J291="","",IF(M291&lt;설정!$B$3,"",ROUND(AVERAGEIFS($J$2:$J$1001,$B$2:$B$1001,B291,$A$2:$A$1001,"&lt;"&amp;A291,$A$2:$A$1001,"&gt;="&amp;(A291-설정!$B$2)),2)))</f>
        <v/>
      </c>
      <c r="L291" s="18" t="str">
        <f aca="false">IF(K291="","",ROUND(SQRT(MAX(0,(SUMIFS($R$2:$R$1001,$B$2:$B$1001,B291,$A$2:$A$1001,"&lt;"&amp;A291,$A$2:$A$1001,"&gt;="&amp;(A291-설정!$B$2))-M291*AVERAGEIFS($J$2:$J$1001,$B$2:$B$1001,B291,$A$2:$A$1001,"&lt;"&amp;A291,$A$2:$A$1001,"&gt;="&amp;(A291-설정!$B$2))^2)/(M291-1))),2))</f>
        <v/>
      </c>
      <c r="M291" s="18" t="str">
        <f aca="false">IF(J291="","",COUNTIFS($B$2:$B$1001,B291,$A$2:$A$1001,"&lt;"&amp;A291,$A$2:$A$1001,"&gt;="&amp;(A291-설정!$B$2),$J$2:$J$1001,"&gt;=0"))</f>
        <v/>
      </c>
      <c r="N291" s="18" t="str">
        <f aca="false">IF(K291="","",IF(L291=0,"",ROUND((J291-K291)/L291,2)))</f>
        <v/>
      </c>
      <c r="O291" s="19" t="str">
        <f aca="false">IF(J291="","",IF(MIN(F291,G291)&lt;=설정!$B$5,"예",""))</f>
        <v/>
      </c>
      <c r="P291" s="19" t="str">
        <f aca="false">IF(J291="","",IF(M291&lt;설정!$B$3,"baseline 수집 중",IF(N291="","정상",IF(N291&lt;=설정!$B$4,"낮음","정상"))))</f>
        <v/>
      </c>
      <c r="Q291" s="20"/>
      <c r="R291" s="18" t="str">
        <f aca="false">IF(J291="","",J291^2)</f>
        <v/>
      </c>
    </row>
    <row r="292" customFormat="false" ht="15" hidden="false" customHeight="false" outlineLevel="0" collapsed="false">
      <c r="A292" s="16"/>
      <c r="B292" s="17"/>
      <c r="C292" s="17"/>
      <c r="D292" s="17"/>
      <c r="E292" s="17"/>
      <c r="F292" s="17"/>
      <c r="G292" s="17"/>
      <c r="H292" s="17"/>
      <c r="I292" s="17"/>
      <c r="J292" s="18" t="str">
        <f aca="false">IF(COUNT(E292:I292)&lt;5,"",SUM(E292:I292))</f>
        <v/>
      </c>
      <c r="K292" s="18" t="str">
        <f aca="false">IF(J292="","",IF(M292&lt;설정!$B$3,"",ROUND(AVERAGEIFS($J$2:$J$1001,$B$2:$B$1001,B292,$A$2:$A$1001,"&lt;"&amp;A292,$A$2:$A$1001,"&gt;="&amp;(A292-설정!$B$2)),2)))</f>
        <v/>
      </c>
      <c r="L292" s="18" t="str">
        <f aca="false">IF(K292="","",ROUND(SQRT(MAX(0,(SUMIFS($R$2:$R$1001,$B$2:$B$1001,B292,$A$2:$A$1001,"&lt;"&amp;A292,$A$2:$A$1001,"&gt;="&amp;(A292-설정!$B$2))-M292*AVERAGEIFS($J$2:$J$1001,$B$2:$B$1001,B292,$A$2:$A$1001,"&lt;"&amp;A292,$A$2:$A$1001,"&gt;="&amp;(A292-설정!$B$2))^2)/(M292-1))),2))</f>
        <v/>
      </c>
      <c r="M292" s="18" t="str">
        <f aca="false">IF(J292="","",COUNTIFS($B$2:$B$1001,B292,$A$2:$A$1001,"&lt;"&amp;A292,$A$2:$A$1001,"&gt;="&amp;(A292-설정!$B$2),$J$2:$J$1001,"&gt;=0"))</f>
        <v/>
      </c>
      <c r="N292" s="18" t="str">
        <f aca="false">IF(K292="","",IF(L292=0,"",ROUND((J292-K292)/L292,2)))</f>
        <v/>
      </c>
      <c r="O292" s="19" t="str">
        <f aca="false">IF(J292="","",IF(MIN(F292,G292)&lt;=설정!$B$5,"예",""))</f>
        <v/>
      </c>
      <c r="P292" s="19" t="str">
        <f aca="false">IF(J292="","",IF(M292&lt;설정!$B$3,"baseline 수집 중",IF(N292="","정상",IF(N292&lt;=설정!$B$4,"낮음","정상"))))</f>
        <v/>
      </c>
      <c r="Q292" s="20"/>
      <c r="R292" s="18" t="str">
        <f aca="false">IF(J292="","",J292^2)</f>
        <v/>
      </c>
    </row>
    <row r="293" customFormat="false" ht="15" hidden="false" customHeight="false" outlineLevel="0" collapsed="false">
      <c r="A293" s="16"/>
      <c r="B293" s="17"/>
      <c r="C293" s="17"/>
      <c r="D293" s="17"/>
      <c r="E293" s="17"/>
      <c r="F293" s="17"/>
      <c r="G293" s="17"/>
      <c r="H293" s="17"/>
      <c r="I293" s="17"/>
      <c r="J293" s="18" t="str">
        <f aca="false">IF(COUNT(E293:I293)&lt;5,"",SUM(E293:I293))</f>
        <v/>
      </c>
      <c r="K293" s="18" t="str">
        <f aca="false">IF(J293="","",IF(M293&lt;설정!$B$3,"",ROUND(AVERAGEIFS($J$2:$J$1001,$B$2:$B$1001,B293,$A$2:$A$1001,"&lt;"&amp;A293,$A$2:$A$1001,"&gt;="&amp;(A293-설정!$B$2)),2)))</f>
        <v/>
      </c>
      <c r="L293" s="18" t="str">
        <f aca="false">IF(K293="","",ROUND(SQRT(MAX(0,(SUMIFS($R$2:$R$1001,$B$2:$B$1001,B293,$A$2:$A$1001,"&lt;"&amp;A293,$A$2:$A$1001,"&gt;="&amp;(A293-설정!$B$2))-M293*AVERAGEIFS($J$2:$J$1001,$B$2:$B$1001,B293,$A$2:$A$1001,"&lt;"&amp;A293,$A$2:$A$1001,"&gt;="&amp;(A293-설정!$B$2))^2)/(M293-1))),2))</f>
        <v/>
      </c>
      <c r="M293" s="18" t="str">
        <f aca="false">IF(J293="","",COUNTIFS($B$2:$B$1001,B293,$A$2:$A$1001,"&lt;"&amp;A293,$A$2:$A$1001,"&gt;="&amp;(A293-설정!$B$2),$J$2:$J$1001,"&gt;=0"))</f>
        <v/>
      </c>
      <c r="N293" s="18" t="str">
        <f aca="false">IF(K293="","",IF(L293=0,"",ROUND((J293-K293)/L293,2)))</f>
        <v/>
      </c>
      <c r="O293" s="19" t="str">
        <f aca="false">IF(J293="","",IF(MIN(F293,G293)&lt;=설정!$B$5,"예",""))</f>
        <v/>
      </c>
      <c r="P293" s="19" t="str">
        <f aca="false">IF(J293="","",IF(M293&lt;설정!$B$3,"baseline 수집 중",IF(N293="","정상",IF(N293&lt;=설정!$B$4,"낮음","정상"))))</f>
        <v/>
      </c>
      <c r="Q293" s="20"/>
      <c r="R293" s="18" t="str">
        <f aca="false">IF(J293="","",J293^2)</f>
        <v/>
      </c>
    </row>
    <row r="294" customFormat="false" ht="15" hidden="false" customHeight="false" outlineLevel="0" collapsed="false">
      <c r="A294" s="16"/>
      <c r="B294" s="17"/>
      <c r="C294" s="17"/>
      <c r="D294" s="17"/>
      <c r="E294" s="17"/>
      <c r="F294" s="17"/>
      <c r="G294" s="17"/>
      <c r="H294" s="17"/>
      <c r="I294" s="17"/>
      <c r="J294" s="18" t="str">
        <f aca="false">IF(COUNT(E294:I294)&lt;5,"",SUM(E294:I294))</f>
        <v/>
      </c>
      <c r="K294" s="18" t="str">
        <f aca="false">IF(J294="","",IF(M294&lt;설정!$B$3,"",ROUND(AVERAGEIFS($J$2:$J$1001,$B$2:$B$1001,B294,$A$2:$A$1001,"&lt;"&amp;A294,$A$2:$A$1001,"&gt;="&amp;(A294-설정!$B$2)),2)))</f>
        <v/>
      </c>
      <c r="L294" s="18" t="str">
        <f aca="false">IF(K294="","",ROUND(SQRT(MAX(0,(SUMIFS($R$2:$R$1001,$B$2:$B$1001,B294,$A$2:$A$1001,"&lt;"&amp;A294,$A$2:$A$1001,"&gt;="&amp;(A294-설정!$B$2))-M294*AVERAGEIFS($J$2:$J$1001,$B$2:$B$1001,B294,$A$2:$A$1001,"&lt;"&amp;A294,$A$2:$A$1001,"&gt;="&amp;(A294-설정!$B$2))^2)/(M294-1))),2))</f>
        <v/>
      </c>
      <c r="M294" s="18" t="str">
        <f aca="false">IF(J294="","",COUNTIFS($B$2:$B$1001,B294,$A$2:$A$1001,"&lt;"&amp;A294,$A$2:$A$1001,"&gt;="&amp;(A294-설정!$B$2),$J$2:$J$1001,"&gt;=0"))</f>
        <v/>
      </c>
      <c r="N294" s="18" t="str">
        <f aca="false">IF(K294="","",IF(L294=0,"",ROUND((J294-K294)/L294,2)))</f>
        <v/>
      </c>
      <c r="O294" s="19" t="str">
        <f aca="false">IF(J294="","",IF(MIN(F294,G294)&lt;=설정!$B$5,"예",""))</f>
        <v/>
      </c>
      <c r="P294" s="19" t="str">
        <f aca="false">IF(J294="","",IF(M294&lt;설정!$B$3,"baseline 수집 중",IF(N294="","정상",IF(N294&lt;=설정!$B$4,"낮음","정상"))))</f>
        <v/>
      </c>
      <c r="Q294" s="20"/>
      <c r="R294" s="18" t="str">
        <f aca="false">IF(J294="","",J294^2)</f>
        <v/>
      </c>
    </row>
    <row r="295" customFormat="false" ht="15" hidden="false" customHeight="false" outlineLevel="0" collapsed="false">
      <c r="A295" s="16"/>
      <c r="B295" s="17"/>
      <c r="C295" s="17"/>
      <c r="D295" s="17"/>
      <c r="E295" s="17"/>
      <c r="F295" s="17"/>
      <c r="G295" s="17"/>
      <c r="H295" s="17"/>
      <c r="I295" s="17"/>
      <c r="J295" s="18" t="str">
        <f aca="false">IF(COUNT(E295:I295)&lt;5,"",SUM(E295:I295))</f>
        <v/>
      </c>
      <c r="K295" s="18" t="str">
        <f aca="false">IF(J295="","",IF(M295&lt;설정!$B$3,"",ROUND(AVERAGEIFS($J$2:$J$1001,$B$2:$B$1001,B295,$A$2:$A$1001,"&lt;"&amp;A295,$A$2:$A$1001,"&gt;="&amp;(A295-설정!$B$2)),2)))</f>
        <v/>
      </c>
      <c r="L295" s="18" t="str">
        <f aca="false">IF(K295="","",ROUND(SQRT(MAX(0,(SUMIFS($R$2:$R$1001,$B$2:$B$1001,B295,$A$2:$A$1001,"&lt;"&amp;A295,$A$2:$A$1001,"&gt;="&amp;(A295-설정!$B$2))-M295*AVERAGEIFS($J$2:$J$1001,$B$2:$B$1001,B295,$A$2:$A$1001,"&lt;"&amp;A295,$A$2:$A$1001,"&gt;="&amp;(A295-설정!$B$2))^2)/(M295-1))),2))</f>
        <v/>
      </c>
      <c r="M295" s="18" t="str">
        <f aca="false">IF(J295="","",COUNTIFS($B$2:$B$1001,B295,$A$2:$A$1001,"&lt;"&amp;A295,$A$2:$A$1001,"&gt;="&amp;(A295-설정!$B$2),$J$2:$J$1001,"&gt;=0"))</f>
        <v/>
      </c>
      <c r="N295" s="18" t="str">
        <f aca="false">IF(K295="","",IF(L295=0,"",ROUND((J295-K295)/L295,2)))</f>
        <v/>
      </c>
      <c r="O295" s="19" t="str">
        <f aca="false">IF(J295="","",IF(MIN(F295,G295)&lt;=설정!$B$5,"예",""))</f>
        <v/>
      </c>
      <c r="P295" s="19" t="str">
        <f aca="false">IF(J295="","",IF(M295&lt;설정!$B$3,"baseline 수집 중",IF(N295="","정상",IF(N295&lt;=설정!$B$4,"낮음","정상"))))</f>
        <v/>
      </c>
      <c r="Q295" s="20"/>
      <c r="R295" s="18" t="str">
        <f aca="false">IF(J295="","",J295^2)</f>
        <v/>
      </c>
    </row>
    <row r="296" customFormat="false" ht="15" hidden="false" customHeight="false" outlineLevel="0" collapsed="false">
      <c r="A296" s="16"/>
      <c r="B296" s="17"/>
      <c r="C296" s="17"/>
      <c r="D296" s="17"/>
      <c r="E296" s="17"/>
      <c r="F296" s="17"/>
      <c r="G296" s="17"/>
      <c r="H296" s="17"/>
      <c r="I296" s="17"/>
      <c r="J296" s="18" t="str">
        <f aca="false">IF(COUNT(E296:I296)&lt;5,"",SUM(E296:I296))</f>
        <v/>
      </c>
      <c r="K296" s="18" t="str">
        <f aca="false">IF(J296="","",IF(M296&lt;설정!$B$3,"",ROUND(AVERAGEIFS($J$2:$J$1001,$B$2:$B$1001,B296,$A$2:$A$1001,"&lt;"&amp;A296,$A$2:$A$1001,"&gt;="&amp;(A296-설정!$B$2)),2)))</f>
        <v/>
      </c>
      <c r="L296" s="18" t="str">
        <f aca="false">IF(K296="","",ROUND(SQRT(MAX(0,(SUMIFS($R$2:$R$1001,$B$2:$B$1001,B296,$A$2:$A$1001,"&lt;"&amp;A296,$A$2:$A$1001,"&gt;="&amp;(A296-설정!$B$2))-M296*AVERAGEIFS($J$2:$J$1001,$B$2:$B$1001,B296,$A$2:$A$1001,"&lt;"&amp;A296,$A$2:$A$1001,"&gt;="&amp;(A296-설정!$B$2))^2)/(M296-1))),2))</f>
        <v/>
      </c>
      <c r="M296" s="18" t="str">
        <f aca="false">IF(J296="","",COUNTIFS($B$2:$B$1001,B296,$A$2:$A$1001,"&lt;"&amp;A296,$A$2:$A$1001,"&gt;="&amp;(A296-설정!$B$2),$J$2:$J$1001,"&gt;=0"))</f>
        <v/>
      </c>
      <c r="N296" s="18" t="str">
        <f aca="false">IF(K296="","",IF(L296=0,"",ROUND((J296-K296)/L296,2)))</f>
        <v/>
      </c>
      <c r="O296" s="19" t="str">
        <f aca="false">IF(J296="","",IF(MIN(F296,G296)&lt;=설정!$B$5,"예",""))</f>
        <v/>
      </c>
      <c r="P296" s="19" t="str">
        <f aca="false">IF(J296="","",IF(M296&lt;설정!$B$3,"baseline 수집 중",IF(N296="","정상",IF(N296&lt;=설정!$B$4,"낮음","정상"))))</f>
        <v/>
      </c>
      <c r="Q296" s="20"/>
      <c r="R296" s="18" t="str">
        <f aca="false">IF(J296="","",J296^2)</f>
        <v/>
      </c>
    </row>
    <row r="297" customFormat="false" ht="15" hidden="false" customHeight="false" outlineLevel="0" collapsed="false">
      <c r="A297" s="16"/>
      <c r="B297" s="17"/>
      <c r="C297" s="17"/>
      <c r="D297" s="17"/>
      <c r="E297" s="17"/>
      <c r="F297" s="17"/>
      <c r="G297" s="17"/>
      <c r="H297" s="17"/>
      <c r="I297" s="17"/>
      <c r="J297" s="18" t="str">
        <f aca="false">IF(COUNT(E297:I297)&lt;5,"",SUM(E297:I297))</f>
        <v/>
      </c>
      <c r="K297" s="18" t="str">
        <f aca="false">IF(J297="","",IF(M297&lt;설정!$B$3,"",ROUND(AVERAGEIFS($J$2:$J$1001,$B$2:$B$1001,B297,$A$2:$A$1001,"&lt;"&amp;A297,$A$2:$A$1001,"&gt;="&amp;(A297-설정!$B$2)),2)))</f>
        <v/>
      </c>
      <c r="L297" s="18" t="str">
        <f aca="false">IF(K297="","",ROUND(SQRT(MAX(0,(SUMIFS($R$2:$R$1001,$B$2:$B$1001,B297,$A$2:$A$1001,"&lt;"&amp;A297,$A$2:$A$1001,"&gt;="&amp;(A297-설정!$B$2))-M297*AVERAGEIFS($J$2:$J$1001,$B$2:$B$1001,B297,$A$2:$A$1001,"&lt;"&amp;A297,$A$2:$A$1001,"&gt;="&amp;(A297-설정!$B$2))^2)/(M297-1))),2))</f>
        <v/>
      </c>
      <c r="M297" s="18" t="str">
        <f aca="false">IF(J297="","",COUNTIFS($B$2:$B$1001,B297,$A$2:$A$1001,"&lt;"&amp;A297,$A$2:$A$1001,"&gt;="&amp;(A297-설정!$B$2),$J$2:$J$1001,"&gt;=0"))</f>
        <v/>
      </c>
      <c r="N297" s="18" t="str">
        <f aca="false">IF(K297="","",IF(L297=0,"",ROUND((J297-K297)/L297,2)))</f>
        <v/>
      </c>
      <c r="O297" s="19" t="str">
        <f aca="false">IF(J297="","",IF(MIN(F297,G297)&lt;=설정!$B$5,"예",""))</f>
        <v/>
      </c>
      <c r="P297" s="19" t="str">
        <f aca="false">IF(J297="","",IF(M297&lt;설정!$B$3,"baseline 수집 중",IF(N297="","정상",IF(N297&lt;=설정!$B$4,"낮음","정상"))))</f>
        <v/>
      </c>
      <c r="Q297" s="20"/>
      <c r="R297" s="18" t="str">
        <f aca="false">IF(J297="","",J297^2)</f>
        <v/>
      </c>
    </row>
    <row r="298" customFormat="false" ht="15" hidden="false" customHeight="false" outlineLevel="0" collapsed="false">
      <c r="A298" s="16"/>
      <c r="B298" s="17"/>
      <c r="C298" s="17"/>
      <c r="D298" s="17"/>
      <c r="E298" s="17"/>
      <c r="F298" s="17"/>
      <c r="G298" s="17"/>
      <c r="H298" s="17"/>
      <c r="I298" s="17"/>
      <c r="J298" s="18" t="str">
        <f aca="false">IF(COUNT(E298:I298)&lt;5,"",SUM(E298:I298))</f>
        <v/>
      </c>
      <c r="K298" s="18" t="str">
        <f aca="false">IF(J298="","",IF(M298&lt;설정!$B$3,"",ROUND(AVERAGEIFS($J$2:$J$1001,$B$2:$B$1001,B298,$A$2:$A$1001,"&lt;"&amp;A298,$A$2:$A$1001,"&gt;="&amp;(A298-설정!$B$2)),2)))</f>
        <v/>
      </c>
      <c r="L298" s="18" t="str">
        <f aca="false">IF(K298="","",ROUND(SQRT(MAX(0,(SUMIFS($R$2:$R$1001,$B$2:$B$1001,B298,$A$2:$A$1001,"&lt;"&amp;A298,$A$2:$A$1001,"&gt;="&amp;(A298-설정!$B$2))-M298*AVERAGEIFS($J$2:$J$1001,$B$2:$B$1001,B298,$A$2:$A$1001,"&lt;"&amp;A298,$A$2:$A$1001,"&gt;="&amp;(A298-설정!$B$2))^2)/(M298-1))),2))</f>
        <v/>
      </c>
      <c r="M298" s="18" t="str">
        <f aca="false">IF(J298="","",COUNTIFS($B$2:$B$1001,B298,$A$2:$A$1001,"&lt;"&amp;A298,$A$2:$A$1001,"&gt;="&amp;(A298-설정!$B$2),$J$2:$J$1001,"&gt;=0"))</f>
        <v/>
      </c>
      <c r="N298" s="18" t="str">
        <f aca="false">IF(K298="","",IF(L298=0,"",ROUND((J298-K298)/L298,2)))</f>
        <v/>
      </c>
      <c r="O298" s="19" t="str">
        <f aca="false">IF(J298="","",IF(MIN(F298,G298)&lt;=설정!$B$5,"예",""))</f>
        <v/>
      </c>
      <c r="P298" s="19" t="str">
        <f aca="false">IF(J298="","",IF(M298&lt;설정!$B$3,"baseline 수집 중",IF(N298="","정상",IF(N298&lt;=설정!$B$4,"낮음","정상"))))</f>
        <v/>
      </c>
      <c r="Q298" s="20"/>
      <c r="R298" s="18" t="str">
        <f aca="false">IF(J298="","",J298^2)</f>
        <v/>
      </c>
    </row>
    <row r="299" customFormat="false" ht="15" hidden="false" customHeight="false" outlineLevel="0" collapsed="false">
      <c r="A299" s="16"/>
      <c r="B299" s="17"/>
      <c r="C299" s="17"/>
      <c r="D299" s="17"/>
      <c r="E299" s="17"/>
      <c r="F299" s="17"/>
      <c r="G299" s="17"/>
      <c r="H299" s="17"/>
      <c r="I299" s="17"/>
      <c r="J299" s="18" t="str">
        <f aca="false">IF(COUNT(E299:I299)&lt;5,"",SUM(E299:I299))</f>
        <v/>
      </c>
      <c r="K299" s="18" t="str">
        <f aca="false">IF(J299="","",IF(M299&lt;설정!$B$3,"",ROUND(AVERAGEIFS($J$2:$J$1001,$B$2:$B$1001,B299,$A$2:$A$1001,"&lt;"&amp;A299,$A$2:$A$1001,"&gt;="&amp;(A299-설정!$B$2)),2)))</f>
        <v/>
      </c>
      <c r="L299" s="18" t="str">
        <f aca="false">IF(K299="","",ROUND(SQRT(MAX(0,(SUMIFS($R$2:$R$1001,$B$2:$B$1001,B299,$A$2:$A$1001,"&lt;"&amp;A299,$A$2:$A$1001,"&gt;="&amp;(A299-설정!$B$2))-M299*AVERAGEIFS($J$2:$J$1001,$B$2:$B$1001,B299,$A$2:$A$1001,"&lt;"&amp;A299,$A$2:$A$1001,"&gt;="&amp;(A299-설정!$B$2))^2)/(M299-1))),2))</f>
        <v/>
      </c>
      <c r="M299" s="18" t="str">
        <f aca="false">IF(J299="","",COUNTIFS($B$2:$B$1001,B299,$A$2:$A$1001,"&lt;"&amp;A299,$A$2:$A$1001,"&gt;="&amp;(A299-설정!$B$2),$J$2:$J$1001,"&gt;=0"))</f>
        <v/>
      </c>
      <c r="N299" s="18" t="str">
        <f aca="false">IF(K299="","",IF(L299=0,"",ROUND((J299-K299)/L299,2)))</f>
        <v/>
      </c>
      <c r="O299" s="19" t="str">
        <f aca="false">IF(J299="","",IF(MIN(F299,G299)&lt;=설정!$B$5,"예",""))</f>
        <v/>
      </c>
      <c r="P299" s="19" t="str">
        <f aca="false">IF(J299="","",IF(M299&lt;설정!$B$3,"baseline 수집 중",IF(N299="","정상",IF(N299&lt;=설정!$B$4,"낮음","정상"))))</f>
        <v/>
      </c>
      <c r="Q299" s="20"/>
      <c r="R299" s="18" t="str">
        <f aca="false">IF(J299="","",J299^2)</f>
        <v/>
      </c>
    </row>
    <row r="300" customFormat="false" ht="15" hidden="false" customHeight="false" outlineLevel="0" collapsed="false">
      <c r="A300" s="16"/>
      <c r="B300" s="17"/>
      <c r="C300" s="17"/>
      <c r="D300" s="17"/>
      <c r="E300" s="17"/>
      <c r="F300" s="17"/>
      <c r="G300" s="17"/>
      <c r="H300" s="17"/>
      <c r="I300" s="17"/>
      <c r="J300" s="18" t="str">
        <f aca="false">IF(COUNT(E300:I300)&lt;5,"",SUM(E300:I300))</f>
        <v/>
      </c>
      <c r="K300" s="18" t="str">
        <f aca="false">IF(J300="","",IF(M300&lt;설정!$B$3,"",ROUND(AVERAGEIFS($J$2:$J$1001,$B$2:$B$1001,B300,$A$2:$A$1001,"&lt;"&amp;A300,$A$2:$A$1001,"&gt;="&amp;(A300-설정!$B$2)),2)))</f>
        <v/>
      </c>
      <c r="L300" s="18" t="str">
        <f aca="false">IF(K300="","",ROUND(SQRT(MAX(0,(SUMIFS($R$2:$R$1001,$B$2:$B$1001,B300,$A$2:$A$1001,"&lt;"&amp;A300,$A$2:$A$1001,"&gt;="&amp;(A300-설정!$B$2))-M300*AVERAGEIFS($J$2:$J$1001,$B$2:$B$1001,B300,$A$2:$A$1001,"&lt;"&amp;A300,$A$2:$A$1001,"&gt;="&amp;(A300-설정!$B$2))^2)/(M300-1))),2))</f>
        <v/>
      </c>
      <c r="M300" s="18" t="str">
        <f aca="false">IF(J300="","",COUNTIFS($B$2:$B$1001,B300,$A$2:$A$1001,"&lt;"&amp;A300,$A$2:$A$1001,"&gt;="&amp;(A300-설정!$B$2),$J$2:$J$1001,"&gt;=0"))</f>
        <v/>
      </c>
      <c r="N300" s="18" t="str">
        <f aca="false">IF(K300="","",IF(L300=0,"",ROUND((J300-K300)/L300,2)))</f>
        <v/>
      </c>
      <c r="O300" s="19" t="str">
        <f aca="false">IF(J300="","",IF(MIN(F300,G300)&lt;=설정!$B$5,"예",""))</f>
        <v/>
      </c>
      <c r="P300" s="19" t="str">
        <f aca="false">IF(J300="","",IF(M300&lt;설정!$B$3,"baseline 수집 중",IF(N300="","정상",IF(N300&lt;=설정!$B$4,"낮음","정상"))))</f>
        <v/>
      </c>
      <c r="Q300" s="20"/>
      <c r="R300" s="18" t="str">
        <f aca="false">IF(J300="","",J300^2)</f>
        <v/>
      </c>
    </row>
    <row r="301" customFormat="false" ht="15" hidden="false" customHeight="false" outlineLevel="0" collapsed="false">
      <c r="A301" s="16"/>
      <c r="B301" s="17"/>
      <c r="C301" s="17"/>
      <c r="D301" s="17"/>
      <c r="E301" s="17"/>
      <c r="F301" s="17"/>
      <c r="G301" s="17"/>
      <c r="H301" s="17"/>
      <c r="I301" s="17"/>
      <c r="J301" s="18" t="str">
        <f aca="false">IF(COUNT(E301:I301)&lt;5,"",SUM(E301:I301))</f>
        <v/>
      </c>
      <c r="K301" s="18" t="str">
        <f aca="false">IF(J301="","",IF(M301&lt;설정!$B$3,"",ROUND(AVERAGEIFS($J$2:$J$1001,$B$2:$B$1001,B301,$A$2:$A$1001,"&lt;"&amp;A301,$A$2:$A$1001,"&gt;="&amp;(A301-설정!$B$2)),2)))</f>
        <v/>
      </c>
      <c r="L301" s="18" t="str">
        <f aca="false">IF(K301="","",ROUND(SQRT(MAX(0,(SUMIFS($R$2:$R$1001,$B$2:$B$1001,B301,$A$2:$A$1001,"&lt;"&amp;A301,$A$2:$A$1001,"&gt;="&amp;(A301-설정!$B$2))-M301*AVERAGEIFS($J$2:$J$1001,$B$2:$B$1001,B301,$A$2:$A$1001,"&lt;"&amp;A301,$A$2:$A$1001,"&gt;="&amp;(A301-설정!$B$2))^2)/(M301-1))),2))</f>
        <v/>
      </c>
      <c r="M301" s="18" t="str">
        <f aca="false">IF(J301="","",COUNTIFS($B$2:$B$1001,B301,$A$2:$A$1001,"&lt;"&amp;A301,$A$2:$A$1001,"&gt;="&amp;(A301-설정!$B$2),$J$2:$J$1001,"&gt;=0"))</f>
        <v/>
      </c>
      <c r="N301" s="18" t="str">
        <f aca="false">IF(K301="","",IF(L301=0,"",ROUND((J301-K301)/L301,2)))</f>
        <v/>
      </c>
      <c r="O301" s="19" t="str">
        <f aca="false">IF(J301="","",IF(MIN(F301,G301)&lt;=설정!$B$5,"예",""))</f>
        <v/>
      </c>
      <c r="P301" s="19" t="str">
        <f aca="false">IF(J301="","",IF(M301&lt;설정!$B$3,"baseline 수집 중",IF(N301="","정상",IF(N301&lt;=설정!$B$4,"낮음","정상"))))</f>
        <v/>
      </c>
      <c r="Q301" s="20"/>
      <c r="R301" s="18" t="str">
        <f aca="false">IF(J301="","",J301^2)</f>
        <v/>
      </c>
    </row>
    <row r="302" customFormat="false" ht="15" hidden="false" customHeight="false" outlineLevel="0" collapsed="false">
      <c r="A302" s="16"/>
      <c r="B302" s="17"/>
      <c r="C302" s="17"/>
      <c r="D302" s="17"/>
      <c r="E302" s="17"/>
      <c r="F302" s="17"/>
      <c r="G302" s="17"/>
      <c r="H302" s="17"/>
      <c r="I302" s="17"/>
      <c r="J302" s="18" t="str">
        <f aca="false">IF(COUNT(E302:I302)&lt;5,"",SUM(E302:I302))</f>
        <v/>
      </c>
      <c r="K302" s="18" t="str">
        <f aca="false">IF(J302="","",IF(M302&lt;설정!$B$3,"",ROUND(AVERAGEIFS($J$2:$J$1001,$B$2:$B$1001,B302,$A$2:$A$1001,"&lt;"&amp;A302,$A$2:$A$1001,"&gt;="&amp;(A302-설정!$B$2)),2)))</f>
        <v/>
      </c>
      <c r="L302" s="18" t="str">
        <f aca="false">IF(K302="","",ROUND(SQRT(MAX(0,(SUMIFS($R$2:$R$1001,$B$2:$B$1001,B302,$A$2:$A$1001,"&lt;"&amp;A302,$A$2:$A$1001,"&gt;="&amp;(A302-설정!$B$2))-M302*AVERAGEIFS($J$2:$J$1001,$B$2:$B$1001,B302,$A$2:$A$1001,"&lt;"&amp;A302,$A$2:$A$1001,"&gt;="&amp;(A302-설정!$B$2))^2)/(M302-1))),2))</f>
        <v/>
      </c>
      <c r="M302" s="18" t="str">
        <f aca="false">IF(J302="","",COUNTIFS($B$2:$B$1001,B302,$A$2:$A$1001,"&lt;"&amp;A302,$A$2:$A$1001,"&gt;="&amp;(A302-설정!$B$2),$J$2:$J$1001,"&gt;=0"))</f>
        <v/>
      </c>
      <c r="N302" s="18" t="str">
        <f aca="false">IF(K302="","",IF(L302=0,"",ROUND((J302-K302)/L302,2)))</f>
        <v/>
      </c>
      <c r="O302" s="19" t="str">
        <f aca="false">IF(J302="","",IF(MIN(F302,G302)&lt;=설정!$B$5,"예",""))</f>
        <v/>
      </c>
      <c r="P302" s="19" t="str">
        <f aca="false">IF(J302="","",IF(M302&lt;설정!$B$3,"baseline 수집 중",IF(N302="","정상",IF(N302&lt;=설정!$B$4,"낮음","정상"))))</f>
        <v/>
      </c>
      <c r="Q302" s="20"/>
      <c r="R302" s="18" t="str">
        <f aca="false">IF(J302="","",J302^2)</f>
        <v/>
      </c>
    </row>
    <row r="303" customFormat="false" ht="15" hidden="false" customHeight="false" outlineLevel="0" collapsed="false">
      <c r="A303" s="16"/>
      <c r="B303" s="17"/>
      <c r="C303" s="17"/>
      <c r="D303" s="17"/>
      <c r="E303" s="17"/>
      <c r="F303" s="17"/>
      <c r="G303" s="17"/>
      <c r="H303" s="17"/>
      <c r="I303" s="17"/>
      <c r="J303" s="18" t="str">
        <f aca="false">IF(COUNT(E303:I303)&lt;5,"",SUM(E303:I303))</f>
        <v/>
      </c>
      <c r="K303" s="18" t="str">
        <f aca="false">IF(J303="","",IF(M303&lt;설정!$B$3,"",ROUND(AVERAGEIFS($J$2:$J$1001,$B$2:$B$1001,B303,$A$2:$A$1001,"&lt;"&amp;A303,$A$2:$A$1001,"&gt;="&amp;(A303-설정!$B$2)),2)))</f>
        <v/>
      </c>
      <c r="L303" s="18" t="str">
        <f aca="false">IF(K303="","",ROUND(SQRT(MAX(0,(SUMIFS($R$2:$R$1001,$B$2:$B$1001,B303,$A$2:$A$1001,"&lt;"&amp;A303,$A$2:$A$1001,"&gt;="&amp;(A303-설정!$B$2))-M303*AVERAGEIFS($J$2:$J$1001,$B$2:$B$1001,B303,$A$2:$A$1001,"&lt;"&amp;A303,$A$2:$A$1001,"&gt;="&amp;(A303-설정!$B$2))^2)/(M303-1))),2))</f>
        <v/>
      </c>
      <c r="M303" s="18" t="str">
        <f aca="false">IF(J303="","",COUNTIFS($B$2:$B$1001,B303,$A$2:$A$1001,"&lt;"&amp;A303,$A$2:$A$1001,"&gt;="&amp;(A303-설정!$B$2),$J$2:$J$1001,"&gt;=0"))</f>
        <v/>
      </c>
      <c r="N303" s="18" t="str">
        <f aca="false">IF(K303="","",IF(L303=0,"",ROUND((J303-K303)/L303,2)))</f>
        <v/>
      </c>
      <c r="O303" s="19" t="str">
        <f aca="false">IF(J303="","",IF(MIN(F303,G303)&lt;=설정!$B$5,"예",""))</f>
        <v/>
      </c>
      <c r="P303" s="19" t="str">
        <f aca="false">IF(J303="","",IF(M303&lt;설정!$B$3,"baseline 수집 중",IF(N303="","정상",IF(N303&lt;=설정!$B$4,"낮음","정상"))))</f>
        <v/>
      </c>
      <c r="Q303" s="20"/>
      <c r="R303" s="18" t="str">
        <f aca="false">IF(J303="","",J303^2)</f>
        <v/>
      </c>
    </row>
    <row r="304" customFormat="false" ht="15" hidden="false" customHeight="false" outlineLevel="0" collapsed="false">
      <c r="A304" s="16"/>
      <c r="B304" s="17"/>
      <c r="C304" s="17"/>
      <c r="D304" s="17"/>
      <c r="E304" s="17"/>
      <c r="F304" s="17"/>
      <c r="G304" s="17"/>
      <c r="H304" s="17"/>
      <c r="I304" s="17"/>
      <c r="J304" s="18" t="str">
        <f aca="false">IF(COUNT(E304:I304)&lt;5,"",SUM(E304:I304))</f>
        <v/>
      </c>
      <c r="K304" s="18" t="str">
        <f aca="false">IF(J304="","",IF(M304&lt;설정!$B$3,"",ROUND(AVERAGEIFS($J$2:$J$1001,$B$2:$B$1001,B304,$A$2:$A$1001,"&lt;"&amp;A304,$A$2:$A$1001,"&gt;="&amp;(A304-설정!$B$2)),2)))</f>
        <v/>
      </c>
      <c r="L304" s="18" t="str">
        <f aca="false">IF(K304="","",ROUND(SQRT(MAX(0,(SUMIFS($R$2:$R$1001,$B$2:$B$1001,B304,$A$2:$A$1001,"&lt;"&amp;A304,$A$2:$A$1001,"&gt;="&amp;(A304-설정!$B$2))-M304*AVERAGEIFS($J$2:$J$1001,$B$2:$B$1001,B304,$A$2:$A$1001,"&lt;"&amp;A304,$A$2:$A$1001,"&gt;="&amp;(A304-설정!$B$2))^2)/(M304-1))),2))</f>
        <v/>
      </c>
      <c r="M304" s="18" t="str">
        <f aca="false">IF(J304="","",COUNTIFS($B$2:$B$1001,B304,$A$2:$A$1001,"&lt;"&amp;A304,$A$2:$A$1001,"&gt;="&amp;(A304-설정!$B$2),$J$2:$J$1001,"&gt;=0"))</f>
        <v/>
      </c>
      <c r="N304" s="18" t="str">
        <f aca="false">IF(K304="","",IF(L304=0,"",ROUND((J304-K304)/L304,2)))</f>
        <v/>
      </c>
      <c r="O304" s="19" t="str">
        <f aca="false">IF(J304="","",IF(MIN(F304,G304)&lt;=설정!$B$5,"예",""))</f>
        <v/>
      </c>
      <c r="P304" s="19" t="str">
        <f aca="false">IF(J304="","",IF(M304&lt;설정!$B$3,"baseline 수집 중",IF(N304="","정상",IF(N304&lt;=설정!$B$4,"낮음","정상"))))</f>
        <v/>
      </c>
      <c r="Q304" s="20"/>
      <c r="R304" s="18" t="str">
        <f aca="false">IF(J304="","",J304^2)</f>
        <v/>
      </c>
    </row>
    <row r="305" customFormat="false" ht="15" hidden="false" customHeight="false" outlineLevel="0" collapsed="false">
      <c r="A305" s="16"/>
      <c r="B305" s="17"/>
      <c r="C305" s="17"/>
      <c r="D305" s="17"/>
      <c r="E305" s="17"/>
      <c r="F305" s="17"/>
      <c r="G305" s="17"/>
      <c r="H305" s="17"/>
      <c r="I305" s="17"/>
      <c r="J305" s="18" t="str">
        <f aca="false">IF(COUNT(E305:I305)&lt;5,"",SUM(E305:I305))</f>
        <v/>
      </c>
      <c r="K305" s="18" t="str">
        <f aca="false">IF(J305="","",IF(M305&lt;설정!$B$3,"",ROUND(AVERAGEIFS($J$2:$J$1001,$B$2:$B$1001,B305,$A$2:$A$1001,"&lt;"&amp;A305,$A$2:$A$1001,"&gt;="&amp;(A305-설정!$B$2)),2)))</f>
        <v/>
      </c>
      <c r="L305" s="18" t="str">
        <f aca="false">IF(K305="","",ROUND(SQRT(MAX(0,(SUMIFS($R$2:$R$1001,$B$2:$B$1001,B305,$A$2:$A$1001,"&lt;"&amp;A305,$A$2:$A$1001,"&gt;="&amp;(A305-설정!$B$2))-M305*AVERAGEIFS($J$2:$J$1001,$B$2:$B$1001,B305,$A$2:$A$1001,"&lt;"&amp;A305,$A$2:$A$1001,"&gt;="&amp;(A305-설정!$B$2))^2)/(M305-1))),2))</f>
        <v/>
      </c>
      <c r="M305" s="18" t="str">
        <f aca="false">IF(J305="","",COUNTIFS($B$2:$B$1001,B305,$A$2:$A$1001,"&lt;"&amp;A305,$A$2:$A$1001,"&gt;="&amp;(A305-설정!$B$2),$J$2:$J$1001,"&gt;=0"))</f>
        <v/>
      </c>
      <c r="N305" s="18" t="str">
        <f aca="false">IF(K305="","",IF(L305=0,"",ROUND((J305-K305)/L305,2)))</f>
        <v/>
      </c>
      <c r="O305" s="19" t="str">
        <f aca="false">IF(J305="","",IF(MIN(F305,G305)&lt;=설정!$B$5,"예",""))</f>
        <v/>
      </c>
      <c r="P305" s="19" t="str">
        <f aca="false">IF(J305="","",IF(M305&lt;설정!$B$3,"baseline 수집 중",IF(N305="","정상",IF(N305&lt;=설정!$B$4,"낮음","정상"))))</f>
        <v/>
      </c>
      <c r="Q305" s="20"/>
      <c r="R305" s="18" t="str">
        <f aca="false">IF(J305="","",J305^2)</f>
        <v/>
      </c>
    </row>
    <row r="306" customFormat="false" ht="15" hidden="false" customHeight="false" outlineLevel="0" collapsed="false">
      <c r="A306" s="16"/>
      <c r="B306" s="17"/>
      <c r="C306" s="17"/>
      <c r="D306" s="17"/>
      <c r="E306" s="17"/>
      <c r="F306" s="17"/>
      <c r="G306" s="17"/>
      <c r="H306" s="17"/>
      <c r="I306" s="17"/>
      <c r="J306" s="18" t="str">
        <f aca="false">IF(COUNT(E306:I306)&lt;5,"",SUM(E306:I306))</f>
        <v/>
      </c>
      <c r="K306" s="18" t="str">
        <f aca="false">IF(J306="","",IF(M306&lt;설정!$B$3,"",ROUND(AVERAGEIFS($J$2:$J$1001,$B$2:$B$1001,B306,$A$2:$A$1001,"&lt;"&amp;A306,$A$2:$A$1001,"&gt;="&amp;(A306-설정!$B$2)),2)))</f>
        <v/>
      </c>
      <c r="L306" s="18" t="str">
        <f aca="false">IF(K306="","",ROUND(SQRT(MAX(0,(SUMIFS($R$2:$R$1001,$B$2:$B$1001,B306,$A$2:$A$1001,"&lt;"&amp;A306,$A$2:$A$1001,"&gt;="&amp;(A306-설정!$B$2))-M306*AVERAGEIFS($J$2:$J$1001,$B$2:$B$1001,B306,$A$2:$A$1001,"&lt;"&amp;A306,$A$2:$A$1001,"&gt;="&amp;(A306-설정!$B$2))^2)/(M306-1))),2))</f>
        <v/>
      </c>
      <c r="M306" s="18" t="str">
        <f aca="false">IF(J306="","",COUNTIFS($B$2:$B$1001,B306,$A$2:$A$1001,"&lt;"&amp;A306,$A$2:$A$1001,"&gt;="&amp;(A306-설정!$B$2),$J$2:$J$1001,"&gt;=0"))</f>
        <v/>
      </c>
      <c r="N306" s="18" t="str">
        <f aca="false">IF(K306="","",IF(L306=0,"",ROUND((J306-K306)/L306,2)))</f>
        <v/>
      </c>
      <c r="O306" s="19" t="str">
        <f aca="false">IF(J306="","",IF(MIN(F306,G306)&lt;=설정!$B$5,"예",""))</f>
        <v/>
      </c>
      <c r="P306" s="19" t="str">
        <f aca="false">IF(J306="","",IF(M306&lt;설정!$B$3,"baseline 수집 중",IF(N306="","정상",IF(N306&lt;=설정!$B$4,"낮음","정상"))))</f>
        <v/>
      </c>
      <c r="Q306" s="20"/>
      <c r="R306" s="18" t="str">
        <f aca="false">IF(J306="","",J306^2)</f>
        <v/>
      </c>
    </row>
    <row r="307" customFormat="false" ht="15" hidden="false" customHeight="false" outlineLevel="0" collapsed="false">
      <c r="A307" s="16"/>
      <c r="B307" s="17"/>
      <c r="C307" s="17"/>
      <c r="D307" s="17"/>
      <c r="E307" s="17"/>
      <c r="F307" s="17"/>
      <c r="G307" s="17"/>
      <c r="H307" s="17"/>
      <c r="I307" s="17"/>
      <c r="J307" s="18" t="str">
        <f aca="false">IF(COUNT(E307:I307)&lt;5,"",SUM(E307:I307))</f>
        <v/>
      </c>
      <c r="K307" s="18" t="str">
        <f aca="false">IF(J307="","",IF(M307&lt;설정!$B$3,"",ROUND(AVERAGEIFS($J$2:$J$1001,$B$2:$B$1001,B307,$A$2:$A$1001,"&lt;"&amp;A307,$A$2:$A$1001,"&gt;="&amp;(A307-설정!$B$2)),2)))</f>
        <v/>
      </c>
      <c r="L307" s="18" t="str">
        <f aca="false">IF(K307="","",ROUND(SQRT(MAX(0,(SUMIFS($R$2:$R$1001,$B$2:$B$1001,B307,$A$2:$A$1001,"&lt;"&amp;A307,$A$2:$A$1001,"&gt;="&amp;(A307-설정!$B$2))-M307*AVERAGEIFS($J$2:$J$1001,$B$2:$B$1001,B307,$A$2:$A$1001,"&lt;"&amp;A307,$A$2:$A$1001,"&gt;="&amp;(A307-설정!$B$2))^2)/(M307-1))),2))</f>
        <v/>
      </c>
      <c r="M307" s="18" t="str">
        <f aca="false">IF(J307="","",COUNTIFS($B$2:$B$1001,B307,$A$2:$A$1001,"&lt;"&amp;A307,$A$2:$A$1001,"&gt;="&amp;(A307-설정!$B$2),$J$2:$J$1001,"&gt;=0"))</f>
        <v/>
      </c>
      <c r="N307" s="18" t="str">
        <f aca="false">IF(K307="","",IF(L307=0,"",ROUND((J307-K307)/L307,2)))</f>
        <v/>
      </c>
      <c r="O307" s="19" t="str">
        <f aca="false">IF(J307="","",IF(MIN(F307,G307)&lt;=설정!$B$5,"예",""))</f>
        <v/>
      </c>
      <c r="P307" s="19" t="str">
        <f aca="false">IF(J307="","",IF(M307&lt;설정!$B$3,"baseline 수집 중",IF(N307="","정상",IF(N307&lt;=설정!$B$4,"낮음","정상"))))</f>
        <v/>
      </c>
      <c r="Q307" s="20"/>
      <c r="R307" s="18" t="str">
        <f aca="false">IF(J307="","",J307^2)</f>
        <v/>
      </c>
    </row>
    <row r="308" customFormat="false" ht="15" hidden="false" customHeight="false" outlineLevel="0" collapsed="false">
      <c r="A308" s="16"/>
      <c r="B308" s="17"/>
      <c r="C308" s="17"/>
      <c r="D308" s="17"/>
      <c r="E308" s="17"/>
      <c r="F308" s="17"/>
      <c r="G308" s="17"/>
      <c r="H308" s="17"/>
      <c r="I308" s="17"/>
      <c r="J308" s="18" t="str">
        <f aca="false">IF(COUNT(E308:I308)&lt;5,"",SUM(E308:I308))</f>
        <v/>
      </c>
      <c r="K308" s="18" t="str">
        <f aca="false">IF(J308="","",IF(M308&lt;설정!$B$3,"",ROUND(AVERAGEIFS($J$2:$J$1001,$B$2:$B$1001,B308,$A$2:$A$1001,"&lt;"&amp;A308,$A$2:$A$1001,"&gt;="&amp;(A308-설정!$B$2)),2)))</f>
        <v/>
      </c>
      <c r="L308" s="18" t="str">
        <f aca="false">IF(K308="","",ROUND(SQRT(MAX(0,(SUMIFS($R$2:$R$1001,$B$2:$B$1001,B308,$A$2:$A$1001,"&lt;"&amp;A308,$A$2:$A$1001,"&gt;="&amp;(A308-설정!$B$2))-M308*AVERAGEIFS($J$2:$J$1001,$B$2:$B$1001,B308,$A$2:$A$1001,"&lt;"&amp;A308,$A$2:$A$1001,"&gt;="&amp;(A308-설정!$B$2))^2)/(M308-1))),2))</f>
        <v/>
      </c>
      <c r="M308" s="18" t="str">
        <f aca="false">IF(J308="","",COUNTIFS($B$2:$B$1001,B308,$A$2:$A$1001,"&lt;"&amp;A308,$A$2:$A$1001,"&gt;="&amp;(A308-설정!$B$2),$J$2:$J$1001,"&gt;=0"))</f>
        <v/>
      </c>
      <c r="N308" s="18" t="str">
        <f aca="false">IF(K308="","",IF(L308=0,"",ROUND((J308-K308)/L308,2)))</f>
        <v/>
      </c>
      <c r="O308" s="19" t="str">
        <f aca="false">IF(J308="","",IF(MIN(F308,G308)&lt;=설정!$B$5,"예",""))</f>
        <v/>
      </c>
      <c r="P308" s="19" t="str">
        <f aca="false">IF(J308="","",IF(M308&lt;설정!$B$3,"baseline 수집 중",IF(N308="","정상",IF(N308&lt;=설정!$B$4,"낮음","정상"))))</f>
        <v/>
      </c>
      <c r="Q308" s="20"/>
      <c r="R308" s="18" t="str">
        <f aca="false">IF(J308="","",J308^2)</f>
        <v/>
      </c>
    </row>
    <row r="309" customFormat="false" ht="15" hidden="false" customHeight="false" outlineLevel="0" collapsed="false">
      <c r="A309" s="16"/>
      <c r="B309" s="17"/>
      <c r="C309" s="17"/>
      <c r="D309" s="17"/>
      <c r="E309" s="17"/>
      <c r="F309" s="17"/>
      <c r="G309" s="17"/>
      <c r="H309" s="17"/>
      <c r="I309" s="17"/>
      <c r="J309" s="18" t="str">
        <f aca="false">IF(COUNT(E309:I309)&lt;5,"",SUM(E309:I309))</f>
        <v/>
      </c>
      <c r="K309" s="18" t="str">
        <f aca="false">IF(J309="","",IF(M309&lt;설정!$B$3,"",ROUND(AVERAGEIFS($J$2:$J$1001,$B$2:$B$1001,B309,$A$2:$A$1001,"&lt;"&amp;A309,$A$2:$A$1001,"&gt;="&amp;(A309-설정!$B$2)),2)))</f>
        <v/>
      </c>
      <c r="L309" s="18" t="str">
        <f aca="false">IF(K309="","",ROUND(SQRT(MAX(0,(SUMIFS($R$2:$R$1001,$B$2:$B$1001,B309,$A$2:$A$1001,"&lt;"&amp;A309,$A$2:$A$1001,"&gt;="&amp;(A309-설정!$B$2))-M309*AVERAGEIFS($J$2:$J$1001,$B$2:$B$1001,B309,$A$2:$A$1001,"&lt;"&amp;A309,$A$2:$A$1001,"&gt;="&amp;(A309-설정!$B$2))^2)/(M309-1))),2))</f>
        <v/>
      </c>
      <c r="M309" s="18" t="str">
        <f aca="false">IF(J309="","",COUNTIFS($B$2:$B$1001,B309,$A$2:$A$1001,"&lt;"&amp;A309,$A$2:$A$1001,"&gt;="&amp;(A309-설정!$B$2),$J$2:$J$1001,"&gt;=0"))</f>
        <v/>
      </c>
      <c r="N309" s="18" t="str">
        <f aca="false">IF(K309="","",IF(L309=0,"",ROUND((J309-K309)/L309,2)))</f>
        <v/>
      </c>
      <c r="O309" s="19" t="str">
        <f aca="false">IF(J309="","",IF(MIN(F309,G309)&lt;=설정!$B$5,"예",""))</f>
        <v/>
      </c>
      <c r="P309" s="19" t="str">
        <f aca="false">IF(J309="","",IF(M309&lt;설정!$B$3,"baseline 수집 중",IF(N309="","정상",IF(N309&lt;=설정!$B$4,"낮음","정상"))))</f>
        <v/>
      </c>
      <c r="Q309" s="20"/>
      <c r="R309" s="18" t="str">
        <f aca="false">IF(J309="","",J309^2)</f>
        <v/>
      </c>
    </row>
    <row r="310" customFormat="false" ht="15" hidden="false" customHeight="false" outlineLevel="0" collapsed="false">
      <c r="A310" s="16"/>
      <c r="B310" s="17"/>
      <c r="C310" s="17"/>
      <c r="D310" s="17"/>
      <c r="E310" s="17"/>
      <c r="F310" s="17"/>
      <c r="G310" s="17"/>
      <c r="H310" s="17"/>
      <c r="I310" s="17"/>
      <c r="J310" s="18" t="str">
        <f aca="false">IF(COUNT(E310:I310)&lt;5,"",SUM(E310:I310))</f>
        <v/>
      </c>
      <c r="K310" s="18" t="str">
        <f aca="false">IF(J310="","",IF(M310&lt;설정!$B$3,"",ROUND(AVERAGEIFS($J$2:$J$1001,$B$2:$B$1001,B310,$A$2:$A$1001,"&lt;"&amp;A310,$A$2:$A$1001,"&gt;="&amp;(A310-설정!$B$2)),2)))</f>
        <v/>
      </c>
      <c r="L310" s="18" t="str">
        <f aca="false">IF(K310="","",ROUND(SQRT(MAX(0,(SUMIFS($R$2:$R$1001,$B$2:$B$1001,B310,$A$2:$A$1001,"&lt;"&amp;A310,$A$2:$A$1001,"&gt;="&amp;(A310-설정!$B$2))-M310*AVERAGEIFS($J$2:$J$1001,$B$2:$B$1001,B310,$A$2:$A$1001,"&lt;"&amp;A310,$A$2:$A$1001,"&gt;="&amp;(A310-설정!$B$2))^2)/(M310-1))),2))</f>
        <v/>
      </c>
      <c r="M310" s="18" t="str">
        <f aca="false">IF(J310="","",COUNTIFS($B$2:$B$1001,B310,$A$2:$A$1001,"&lt;"&amp;A310,$A$2:$A$1001,"&gt;="&amp;(A310-설정!$B$2),$J$2:$J$1001,"&gt;=0"))</f>
        <v/>
      </c>
      <c r="N310" s="18" t="str">
        <f aca="false">IF(K310="","",IF(L310=0,"",ROUND((J310-K310)/L310,2)))</f>
        <v/>
      </c>
      <c r="O310" s="19" t="str">
        <f aca="false">IF(J310="","",IF(MIN(F310,G310)&lt;=설정!$B$5,"예",""))</f>
        <v/>
      </c>
      <c r="P310" s="19" t="str">
        <f aca="false">IF(J310="","",IF(M310&lt;설정!$B$3,"baseline 수집 중",IF(N310="","정상",IF(N310&lt;=설정!$B$4,"낮음","정상"))))</f>
        <v/>
      </c>
      <c r="Q310" s="20"/>
      <c r="R310" s="18" t="str">
        <f aca="false">IF(J310="","",J310^2)</f>
        <v/>
      </c>
    </row>
    <row r="311" customFormat="false" ht="15" hidden="false" customHeight="false" outlineLevel="0" collapsed="false">
      <c r="A311" s="16"/>
      <c r="B311" s="17"/>
      <c r="C311" s="17"/>
      <c r="D311" s="17"/>
      <c r="E311" s="17"/>
      <c r="F311" s="17"/>
      <c r="G311" s="17"/>
      <c r="H311" s="17"/>
      <c r="I311" s="17"/>
      <c r="J311" s="18" t="str">
        <f aca="false">IF(COUNT(E311:I311)&lt;5,"",SUM(E311:I311))</f>
        <v/>
      </c>
      <c r="K311" s="18" t="str">
        <f aca="false">IF(J311="","",IF(M311&lt;설정!$B$3,"",ROUND(AVERAGEIFS($J$2:$J$1001,$B$2:$B$1001,B311,$A$2:$A$1001,"&lt;"&amp;A311,$A$2:$A$1001,"&gt;="&amp;(A311-설정!$B$2)),2)))</f>
        <v/>
      </c>
      <c r="L311" s="18" t="str">
        <f aca="false">IF(K311="","",ROUND(SQRT(MAX(0,(SUMIFS($R$2:$R$1001,$B$2:$B$1001,B311,$A$2:$A$1001,"&lt;"&amp;A311,$A$2:$A$1001,"&gt;="&amp;(A311-설정!$B$2))-M311*AVERAGEIFS($J$2:$J$1001,$B$2:$B$1001,B311,$A$2:$A$1001,"&lt;"&amp;A311,$A$2:$A$1001,"&gt;="&amp;(A311-설정!$B$2))^2)/(M311-1))),2))</f>
        <v/>
      </c>
      <c r="M311" s="18" t="str">
        <f aca="false">IF(J311="","",COUNTIFS($B$2:$B$1001,B311,$A$2:$A$1001,"&lt;"&amp;A311,$A$2:$A$1001,"&gt;="&amp;(A311-설정!$B$2),$J$2:$J$1001,"&gt;=0"))</f>
        <v/>
      </c>
      <c r="N311" s="18" t="str">
        <f aca="false">IF(K311="","",IF(L311=0,"",ROUND((J311-K311)/L311,2)))</f>
        <v/>
      </c>
      <c r="O311" s="19" t="str">
        <f aca="false">IF(J311="","",IF(MIN(F311,G311)&lt;=설정!$B$5,"예",""))</f>
        <v/>
      </c>
      <c r="P311" s="19" t="str">
        <f aca="false">IF(J311="","",IF(M311&lt;설정!$B$3,"baseline 수집 중",IF(N311="","정상",IF(N311&lt;=설정!$B$4,"낮음","정상"))))</f>
        <v/>
      </c>
      <c r="Q311" s="20"/>
      <c r="R311" s="18" t="str">
        <f aca="false">IF(J311="","",J311^2)</f>
        <v/>
      </c>
    </row>
    <row r="312" customFormat="false" ht="15" hidden="false" customHeight="false" outlineLevel="0" collapsed="false">
      <c r="A312" s="16"/>
      <c r="B312" s="17"/>
      <c r="C312" s="17"/>
      <c r="D312" s="17"/>
      <c r="E312" s="17"/>
      <c r="F312" s="17"/>
      <c r="G312" s="17"/>
      <c r="H312" s="17"/>
      <c r="I312" s="17"/>
      <c r="J312" s="18" t="str">
        <f aca="false">IF(COUNT(E312:I312)&lt;5,"",SUM(E312:I312))</f>
        <v/>
      </c>
      <c r="K312" s="18" t="str">
        <f aca="false">IF(J312="","",IF(M312&lt;설정!$B$3,"",ROUND(AVERAGEIFS($J$2:$J$1001,$B$2:$B$1001,B312,$A$2:$A$1001,"&lt;"&amp;A312,$A$2:$A$1001,"&gt;="&amp;(A312-설정!$B$2)),2)))</f>
        <v/>
      </c>
      <c r="L312" s="18" t="str">
        <f aca="false">IF(K312="","",ROUND(SQRT(MAX(0,(SUMIFS($R$2:$R$1001,$B$2:$B$1001,B312,$A$2:$A$1001,"&lt;"&amp;A312,$A$2:$A$1001,"&gt;="&amp;(A312-설정!$B$2))-M312*AVERAGEIFS($J$2:$J$1001,$B$2:$B$1001,B312,$A$2:$A$1001,"&lt;"&amp;A312,$A$2:$A$1001,"&gt;="&amp;(A312-설정!$B$2))^2)/(M312-1))),2))</f>
        <v/>
      </c>
      <c r="M312" s="18" t="str">
        <f aca="false">IF(J312="","",COUNTIFS($B$2:$B$1001,B312,$A$2:$A$1001,"&lt;"&amp;A312,$A$2:$A$1001,"&gt;="&amp;(A312-설정!$B$2),$J$2:$J$1001,"&gt;=0"))</f>
        <v/>
      </c>
      <c r="N312" s="18" t="str">
        <f aca="false">IF(K312="","",IF(L312=0,"",ROUND((J312-K312)/L312,2)))</f>
        <v/>
      </c>
      <c r="O312" s="19" t="str">
        <f aca="false">IF(J312="","",IF(MIN(F312,G312)&lt;=설정!$B$5,"예",""))</f>
        <v/>
      </c>
      <c r="P312" s="19" t="str">
        <f aca="false">IF(J312="","",IF(M312&lt;설정!$B$3,"baseline 수집 중",IF(N312="","정상",IF(N312&lt;=설정!$B$4,"낮음","정상"))))</f>
        <v/>
      </c>
      <c r="Q312" s="20"/>
      <c r="R312" s="18" t="str">
        <f aca="false">IF(J312="","",J312^2)</f>
        <v/>
      </c>
    </row>
    <row r="313" customFormat="false" ht="15" hidden="false" customHeight="false" outlineLevel="0" collapsed="false">
      <c r="A313" s="16"/>
      <c r="B313" s="17"/>
      <c r="C313" s="17"/>
      <c r="D313" s="17"/>
      <c r="E313" s="17"/>
      <c r="F313" s="17"/>
      <c r="G313" s="17"/>
      <c r="H313" s="17"/>
      <c r="I313" s="17"/>
      <c r="J313" s="18" t="str">
        <f aca="false">IF(COUNT(E313:I313)&lt;5,"",SUM(E313:I313))</f>
        <v/>
      </c>
      <c r="K313" s="18" t="str">
        <f aca="false">IF(J313="","",IF(M313&lt;설정!$B$3,"",ROUND(AVERAGEIFS($J$2:$J$1001,$B$2:$B$1001,B313,$A$2:$A$1001,"&lt;"&amp;A313,$A$2:$A$1001,"&gt;="&amp;(A313-설정!$B$2)),2)))</f>
        <v/>
      </c>
      <c r="L313" s="18" t="str">
        <f aca="false">IF(K313="","",ROUND(SQRT(MAX(0,(SUMIFS($R$2:$R$1001,$B$2:$B$1001,B313,$A$2:$A$1001,"&lt;"&amp;A313,$A$2:$A$1001,"&gt;="&amp;(A313-설정!$B$2))-M313*AVERAGEIFS($J$2:$J$1001,$B$2:$B$1001,B313,$A$2:$A$1001,"&lt;"&amp;A313,$A$2:$A$1001,"&gt;="&amp;(A313-설정!$B$2))^2)/(M313-1))),2))</f>
        <v/>
      </c>
      <c r="M313" s="18" t="str">
        <f aca="false">IF(J313="","",COUNTIFS($B$2:$B$1001,B313,$A$2:$A$1001,"&lt;"&amp;A313,$A$2:$A$1001,"&gt;="&amp;(A313-설정!$B$2),$J$2:$J$1001,"&gt;=0"))</f>
        <v/>
      </c>
      <c r="N313" s="18" t="str">
        <f aca="false">IF(K313="","",IF(L313=0,"",ROUND((J313-K313)/L313,2)))</f>
        <v/>
      </c>
      <c r="O313" s="19" t="str">
        <f aca="false">IF(J313="","",IF(MIN(F313,G313)&lt;=설정!$B$5,"예",""))</f>
        <v/>
      </c>
      <c r="P313" s="19" t="str">
        <f aca="false">IF(J313="","",IF(M313&lt;설정!$B$3,"baseline 수집 중",IF(N313="","정상",IF(N313&lt;=설정!$B$4,"낮음","정상"))))</f>
        <v/>
      </c>
      <c r="Q313" s="20"/>
      <c r="R313" s="18" t="str">
        <f aca="false">IF(J313="","",J313^2)</f>
        <v/>
      </c>
    </row>
    <row r="314" customFormat="false" ht="15" hidden="false" customHeight="false" outlineLevel="0" collapsed="false">
      <c r="A314" s="16"/>
      <c r="B314" s="17"/>
      <c r="C314" s="17"/>
      <c r="D314" s="17"/>
      <c r="E314" s="17"/>
      <c r="F314" s="17"/>
      <c r="G314" s="17"/>
      <c r="H314" s="17"/>
      <c r="I314" s="17"/>
      <c r="J314" s="18" t="str">
        <f aca="false">IF(COUNT(E314:I314)&lt;5,"",SUM(E314:I314))</f>
        <v/>
      </c>
      <c r="K314" s="18" t="str">
        <f aca="false">IF(J314="","",IF(M314&lt;설정!$B$3,"",ROUND(AVERAGEIFS($J$2:$J$1001,$B$2:$B$1001,B314,$A$2:$A$1001,"&lt;"&amp;A314,$A$2:$A$1001,"&gt;="&amp;(A314-설정!$B$2)),2)))</f>
        <v/>
      </c>
      <c r="L314" s="18" t="str">
        <f aca="false">IF(K314="","",ROUND(SQRT(MAX(0,(SUMIFS($R$2:$R$1001,$B$2:$B$1001,B314,$A$2:$A$1001,"&lt;"&amp;A314,$A$2:$A$1001,"&gt;="&amp;(A314-설정!$B$2))-M314*AVERAGEIFS($J$2:$J$1001,$B$2:$B$1001,B314,$A$2:$A$1001,"&lt;"&amp;A314,$A$2:$A$1001,"&gt;="&amp;(A314-설정!$B$2))^2)/(M314-1))),2))</f>
        <v/>
      </c>
      <c r="M314" s="18" t="str">
        <f aca="false">IF(J314="","",COUNTIFS($B$2:$B$1001,B314,$A$2:$A$1001,"&lt;"&amp;A314,$A$2:$A$1001,"&gt;="&amp;(A314-설정!$B$2),$J$2:$J$1001,"&gt;=0"))</f>
        <v/>
      </c>
      <c r="N314" s="18" t="str">
        <f aca="false">IF(K314="","",IF(L314=0,"",ROUND((J314-K314)/L314,2)))</f>
        <v/>
      </c>
      <c r="O314" s="19" t="str">
        <f aca="false">IF(J314="","",IF(MIN(F314,G314)&lt;=설정!$B$5,"예",""))</f>
        <v/>
      </c>
      <c r="P314" s="19" t="str">
        <f aca="false">IF(J314="","",IF(M314&lt;설정!$B$3,"baseline 수집 중",IF(N314="","정상",IF(N314&lt;=설정!$B$4,"낮음","정상"))))</f>
        <v/>
      </c>
      <c r="Q314" s="20"/>
      <c r="R314" s="18" t="str">
        <f aca="false">IF(J314="","",J314^2)</f>
        <v/>
      </c>
    </row>
    <row r="315" customFormat="false" ht="15" hidden="false" customHeight="false" outlineLevel="0" collapsed="false">
      <c r="A315" s="16"/>
      <c r="B315" s="17"/>
      <c r="C315" s="17"/>
      <c r="D315" s="17"/>
      <c r="E315" s="17"/>
      <c r="F315" s="17"/>
      <c r="G315" s="17"/>
      <c r="H315" s="17"/>
      <c r="I315" s="17"/>
      <c r="J315" s="18" t="str">
        <f aca="false">IF(COUNT(E315:I315)&lt;5,"",SUM(E315:I315))</f>
        <v/>
      </c>
      <c r="K315" s="18" t="str">
        <f aca="false">IF(J315="","",IF(M315&lt;설정!$B$3,"",ROUND(AVERAGEIFS($J$2:$J$1001,$B$2:$B$1001,B315,$A$2:$A$1001,"&lt;"&amp;A315,$A$2:$A$1001,"&gt;="&amp;(A315-설정!$B$2)),2)))</f>
        <v/>
      </c>
      <c r="L315" s="18" t="str">
        <f aca="false">IF(K315="","",ROUND(SQRT(MAX(0,(SUMIFS($R$2:$R$1001,$B$2:$B$1001,B315,$A$2:$A$1001,"&lt;"&amp;A315,$A$2:$A$1001,"&gt;="&amp;(A315-설정!$B$2))-M315*AVERAGEIFS($J$2:$J$1001,$B$2:$B$1001,B315,$A$2:$A$1001,"&lt;"&amp;A315,$A$2:$A$1001,"&gt;="&amp;(A315-설정!$B$2))^2)/(M315-1))),2))</f>
        <v/>
      </c>
      <c r="M315" s="18" t="str">
        <f aca="false">IF(J315="","",COUNTIFS($B$2:$B$1001,B315,$A$2:$A$1001,"&lt;"&amp;A315,$A$2:$A$1001,"&gt;="&amp;(A315-설정!$B$2),$J$2:$J$1001,"&gt;=0"))</f>
        <v/>
      </c>
      <c r="N315" s="18" t="str">
        <f aca="false">IF(K315="","",IF(L315=0,"",ROUND((J315-K315)/L315,2)))</f>
        <v/>
      </c>
      <c r="O315" s="19" t="str">
        <f aca="false">IF(J315="","",IF(MIN(F315,G315)&lt;=설정!$B$5,"예",""))</f>
        <v/>
      </c>
      <c r="P315" s="19" t="str">
        <f aca="false">IF(J315="","",IF(M315&lt;설정!$B$3,"baseline 수집 중",IF(N315="","정상",IF(N315&lt;=설정!$B$4,"낮음","정상"))))</f>
        <v/>
      </c>
      <c r="Q315" s="20"/>
      <c r="R315" s="18" t="str">
        <f aca="false">IF(J315="","",J315^2)</f>
        <v/>
      </c>
    </row>
    <row r="316" customFormat="false" ht="15" hidden="false" customHeight="false" outlineLevel="0" collapsed="false">
      <c r="A316" s="16"/>
      <c r="B316" s="17"/>
      <c r="C316" s="17"/>
      <c r="D316" s="17"/>
      <c r="E316" s="17"/>
      <c r="F316" s="17"/>
      <c r="G316" s="17"/>
      <c r="H316" s="17"/>
      <c r="I316" s="17"/>
      <c r="J316" s="18" t="str">
        <f aca="false">IF(COUNT(E316:I316)&lt;5,"",SUM(E316:I316))</f>
        <v/>
      </c>
      <c r="K316" s="18" t="str">
        <f aca="false">IF(J316="","",IF(M316&lt;설정!$B$3,"",ROUND(AVERAGEIFS($J$2:$J$1001,$B$2:$B$1001,B316,$A$2:$A$1001,"&lt;"&amp;A316,$A$2:$A$1001,"&gt;="&amp;(A316-설정!$B$2)),2)))</f>
        <v/>
      </c>
      <c r="L316" s="18" t="str">
        <f aca="false">IF(K316="","",ROUND(SQRT(MAX(0,(SUMIFS($R$2:$R$1001,$B$2:$B$1001,B316,$A$2:$A$1001,"&lt;"&amp;A316,$A$2:$A$1001,"&gt;="&amp;(A316-설정!$B$2))-M316*AVERAGEIFS($J$2:$J$1001,$B$2:$B$1001,B316,$A$2:$A$1001,"&lt;"&amp;A316,$A$2:$A$1001,"&gt;="&amp;(A316-설정!$B$2))^2)/(M316-1))),2))</f>
        <v/>
      </c>
      <c r="M316" s="18" t="str">
        <f aca="false">IF(J316="","",COUNTIFS($B$2:$B$1001,B316,$A$2:$A$1001,"&lt;"&amp;A316,$A$2:$A$1001,"&gt;="&amp;(A316-설정!$B$2),$J$2:$J$1001,"&gt;=0"))</f>
        <v/>
      </c>
      <c r="N316" s="18" t="str">
        <f aca="false">IF(K316="","",IF(L316=0,"",ROUND((J316-K316)/L316,2)))</f>
        <v/>
      </c>
      <c r="O316" s="19" t="str">
        <f aca="false">IF(J316="","",IF(MIN(F316,G316)&lt;=설정!$B$5,"예",""))</f>
        <v/>
      </c>
      <c r="P316" s="19" t="str">
        <f aca="false">IF(J316="","",IF(M316&lt;설정!$B$3,"baseline 수집 중",IF(N316="","정상",IF(N316&lt;=설정!$B$4,"낮음","정상"))))</f>
        <v/>
      </c>
      <c r="Q316" s="20"/>
      <c r="R316" s="18" t="str">
        <f aca="false">IF(J316="","",J316^2)</f>
        <v/>
      </c>
    </row>
    <row r="317" customFormat="false" ht="15" hidden="false" customHeight="false" outlineLevel="0" collapsed="false">
      <c r="A317" s="16"/>
      <c r="B317" s="17"/>
      <c r="C317" s="17"/>
      <c r="D317" s="17"/>
      <c r="E317" s="17"/>
      <c r="F317" s="17"/>
      <c r="G317" s="17"/>
      <c r="H317" s="17"/>
      <c r="I317" s="17"/>
      <c r="J317" s="18" t="str">
        <f aca="false">IF(COUNT(E317:I317)&lt;5,"",SUM(E317:I317))</f>
        <v/>
      </c>
      <c r="K317" s="18" t="str">
        <f aca="false">IF(J317="","",IF(M317&lt;설정!$B$3,"",ROUND(AVERAGEIFS($J$2:$J$1001,$B$2:$B$1001,B317,$A$2:$A$1001,"&lt;"&amp;A317,$A$2:$A$1001,"&gt;="&amp;(A317-설정!$B$2)),2)))</f>
        <v/>
      </c>
      <c r="L317" s="18" t="str">
        <f aca="false">IF(K317="","",ROUND(SQRT(MAX(0,(SUMIFS($R$2:$R$1001,$B$2:$B$1001,B317,$A$2:$A$1001,"&lt;"&amp;A317,$A$2:$A$1001,"&gt;="&amp;(A317-설정!$B$2))-M317*AVERAGEIFS($J$2:$J$1001,$B$2:$B$1001,B317,$A$2:$A$1001,"&lt;"&amp;A317,$A$2:$A$1001,"&gt;="&amp;(A317-설정!$B$2))^2)/(M317-1))),2))</f>
        <v/>
      </c>
      <c r="M317" s="18" t="str">
        <f aca="false">IF(J317="","",COUNTIFS($B$2:$B$1001,B317,$A$2:$A$1001,"&lt;"&amp;A317,$A$2:$A$1001,"&gt;="&amp;(A317-설정!$B$2),$J$2:$J$1001,"&gt;=0"))</f>
        <v/>
      </c>
      <c r="N317" s="18" t="str">
        <f aca="false">IF(K317="","",IF(L317=0,"",ROUND((J317-K317)/L317,2)))</f>
        <v/>
      </c>
      <c r="O317" s="19" t="str">
        <f aca="false">IF(J317="","",IF(MIN(F317,G317)&lt;=설정!$B$5,"예",""))</f>
        <v/>
      </c>
      <c r="P317" s="19" t="str">
        <f aca="false">IF(J317="","",IF(M317&lt;설정!$B$3,"baseline 수집 중",IF(N317="","정상",IF(N317&lt;=설정!$B$4,"낮음","정상"))))</f>
        <v/>
      </c>
      <c r="Q317" s="20"/>
      <c r="R317" s="18" t="str">
        <f aca="false">IF(J317="","",J317^2)</f>
        <v/>
      </c>
    </row>
    <row r="318" customFormat="false" ht="15" hidden="false" customHeight="false" outlineLevel="0" collapsed="false">
      <c r="A318" s="16"/>
      <c r="B318" s="17"/>
      <c r="C318" s="17"/>
      <c r="D318" s="17"/>
      <c r="E318" s="17"/>
      <c r="F318" s="17"/>
      <c r="G318" s="17"/>
      <c r="H318" s="17"/>
      <c r="I318" s="17"/>
      <c r="J318" s="18" t="str">
        <f aca="false">IF(COUNT(E318:I318)&lt;5,"",SUM(E318:I318))</f>
        <v/>
      </c>
      <c r="K318" s="18" t="str">
        <f aca="false">IF(J318="","",IF(M318&lt;설정!$B$3,"",ROUND(AVERAGEIFS($J$2:$J$1001,$B$2:$B$1001,B318,$A$2:$A$1001,"&lt;"&amp;A318,$A$2:$A$1001,"&gt;="&amp;(A318-설정!$B$2)),2)))</f>
        <v/>
      </c>
      <c r="L318" s="18" t="str">
        <f aca="false">IF(K318="","",ROUND(SQRT(MAX(0,(SUMIFS($R$2:$R$1001,$B$2:$B$1001,B318,$A$2:$A$1001,"&lt;"&amp;A318,$A$2:$A$1001,"&gt;="&amp;(A318-설정!$B$2))-M318*AVERAGEIFS($J$2:$J$1001,$B$2:$B$1001,B318,$A$2:$A$1001,"&lt;"&amp;A318,$A$2:$A$1001,"&gt;="&amp;(A318-설정!$B$2))^2)/(M318-1))),2))</f>
        <v/>
      </c>
      <c r="M318" s="18" t="str">
        <f aca="false">IF(J318="","",COUNTIFS($B$2:$B$1001,B318,$A$2:$A$1001,"&lt;"&amp;A318,$A$2:$A$1001,"&gt;="&amp;(A318-설정!$B$2),$J$2:$J$1001,"&gt;=0"))</f>
        <v/>
      </c>
      <c r="N318" s="18" t="str">
        <f aca="false">IF(K318="","",IF(L318=0,"",ROUND((J318-K318)/L318,2)))</f>
        <v/>
      </c>
      <c r="O318" s="19" t="str">
        <f aca="false">IF(J318="","",IF(MIN(F318,G318)&lt;=설정!$B$5,"예",""))</f>
        <v/>
      </c>
      <c r="P318" s="19" t="str">
        <f aca="false">IF(J318="","",IF(M318&lt;설정!$B$3,"baseline 수집 중",IF(N318="","정상",IF(N318&lt;=설정!$B$4,"낮음","정상"))))</f>
        <v/>
      </c>
      <c r="Q318" s="20"/>
      <c r="R318" s="18" t="str">
        <f aca="false">IF(J318="","",J318^2)</f>
        <v/>
      </c>
    </row>
    <row r="319" customFormat="false" ht="15" hidden="false" customHeight="false" outlineLevel="0" collapsed="false">
      <c r="A319" s="16"/>
      <c r="B319" s="17"/>
      <c r="C319" s="17"/>
      <c r="D319" s="17"/>
      <c r="E319" s="17"/>
      <c r="F319" s="17"/>
      <c r="G319" s="17"/>
      <c r="H319" s="17"/>
      <c r="I319" s="17"/>
      <c r="J319" s="18" t="str">
        <f aca="false">IF(COUNT(E319:I319)&lt;5,"",SUM(E319:I319))</f>
        <v/>
      </c>
      <c r="K319" s="18" t="str">
        <f aca="false">IF(J319="","",IF(M319&lt;설정!$B$3,"",ROUND(AVERAGEIFS($J$2:$J$1001,$B$2:$B$1001,B319,$A$2:$A$1001,"&lt;"&amp;A319,$A$2:$A$1001,"&gt;="&amp;(A319-설정!$B$2)),2)))</f>
        <v/>
      </c>
      <c r="L319" s="18" t="str">
        <f aca="false">IF(K319="","",ROUND(SQRT(MAX(0,(SUMIFS($R$2:$R$1001,$B$2:$B$1001,B319,$A$2:$A$1001,"&lt;"&amp;A319,$A$2:$A$1001,"&gt;="&amp;(A319-설정!$B$2))-M319*AVERAGEIFS($J$2:$J$1001,$B$2:$B$1001,B319,$A$2:$A$1001,"&lt;"&amp;A319,$A$2:$A$1001,"&gt;="&amp;(A319-설정!$B$2))^2)/(M319-1))),2))</f>
        <v/>
      </c>
      <c r="M319" s="18" t="str">
        <f aca="false">IF(J319="","",COUNTIFS($B$2:$B$1001,B319,$A$2:$A$1001,"&lt;"&amp;A319,$A$2:$A$1001,"&gt;="&amp;(A319-설정!$B$2),$J$2:$J$1001,"&gt;=0"))</f>
        <v/>
      </c>
      <c r="N319" s="18" t="str">
        <f aca="false">IF(K319="","",IF(L319=0,"",ROUND((J319-K319)/L319,2)))</f>
        <v/>
      </c>
      <c r="O319" s="19" t="str">
        <f aca="false">IF(J319="","",IF(MIN(F319,G319)&lt;=설정!$B$5,"예",""))</f>
        <v/>
      </c>
      <c r="P319" s="19" t="str">
        <f aca="false">IF(J319="","",IF(M319&lt;설정!$B$3,"baseline 수집 중",IF(N319="","정상",IF(N319&lt;=설정!$B$4,"낮음","정상"))))</f>
        <v/>
      </c>
      <c r="Q319" s="20"/>
      <c r="R319" s="18" t="str">
        <f aca="false">IF(J319="","",J319^2)</f>
        <v/>
      </c>
    </row>
    <row r="320" customFormat="false" ht="15" hidden="false" customHeight="false" outlineLevel="0" collapsed="false">
      <c r="A320" s="16"/>
      <c r="B320" s="17"/>
      <c r="C320" s="17"/>
      <c r="D320" s="17"/>
      <c r="E320" s="17"/>
      <c r="F320" s="17"/>
      <c r="G320" s="17"/>
      <c r="H320" s="17"/>
      <c r="I320" s="17"/>
      <c r="J320" s="18" t="str">
        <f aca="false">IF(COUNT(E320:I320)&lt;5,"",SUM(E320:I320))</f>
        <v/>
      </c>
      <c r="K320" s="18" t="str">
        <f aca="false">IF(J320="","",IF(M320&lt;설정!$B$3,"",ROUND(AVERAGEIFS($J$2:$J$1001,$B$2:$B$1001,B320,$A$2:$A$1001,"&lt;"&amp;A320,$A$2:$A$1001,"&gt;="&amp;(A320-설정!$B$2)),2)))</f>
        <v/>
      </c>
      <c r="L320" s="18" t="str">
        <f aca="false">IF(K320="","",ROUND(SQRT(MAX(0,(SUMIFS($R$2:$R$1001,$B$2:$B$1001,B320,$A$2:$A$1001,"&lt;"&amp;A320,$A$2:$A$1001,"&gt;="&amp;(A320-설정!$B$2))-M320*AVERAGEIFS($J$2:$J$1001,$B$2:$B$1001,B320,$A$2:$A$1001,"&lt;"&amp;A320,$A$2:$A$1001,"&gt;="&amp;(A320-설정!$B$2))^2)/(M320-1))),2))</f>
        <v/>
      </c>
      <c r="M320" s="18" t="str">
        <f aca="false">IF(J320="","",COUNTIFS($B$2:$B$1001,B320,$A$2:$A$1001,"&lt;"&amp;A320,$A$2:$A$1001,"&gt;="&amp;(A320-설정!$B$2),$J$2:$J$1001,"&gt;=0"))</f>
        <v/>
      </c>
      <c r="N320" s="18" t="str">
        <f aca="false">IF(K320="","",IF(L320=0,"",ROUND((J320-K320)/L320,2)))</f>
        <v/>
      </c>
      <c r="O320" s="19" t="str">
        <f aca="false">IF(J320="","",IF(MIN(F320,G320)&lt;=설정!$B$5,"예",""))</f>
        <v/>
      </c>
      <c r="P320" s="19" t="str">
        <f aca="false">IF(J320="","",IF(M320&lt;설정!$B$3,"baseline 수집 중",IF(N320="","정상",IF(N320&lt;=설정!$B$4,"낮음","정상"))))</f>
        <v/>
      </c>
      <c r="Q320" s="20"/>
      <c r="R320" s="18" t="str">
        <f aca="false">IF(J320="","",J320^2)</f>
        <v/>
      </c>
    </row>
    <row r="321" customFormat="false" ht="15" hidden="false" customHeight="false" outlineLevel="0" collapsed="false">
      <c r="A321" s="16"/>
      <c r="B321" s="17"/>
      <c r="C321" s="17"/>
      <c r="D321" s="17"/>
      <c r="E321" s="17"/>
      <c r="F321" s="17"/>
      <c r="G321" s="17"/>
      <c r="H321" s="17"/>
      <c r="I321" s="17"/>
      <c r="J321" s="18" t="str">
        <f aca="false">IF(COUNT(E321:I321)&lt;5,"",SUM(E321:I321))</f>
        <v/>
      </c>
      <c r="K321" s="18" t="str">
        <f aca="false">IF(J321="","",IF(M321&lt;설정!$B$3,"",ROUND(AVERAGEIFS($J$2:$J$1001,$B$2:$B$1001,B321,$A$2:$A$1001,"&lt;"&amp;A321,$A$2:$A$1001,"&gt;="&amp;(A321-설정!$B$2)),2)))</f>
        <v/>
      </c>
      <c r="L321" s="18" t="str">
        <f aca="false">IF(K321="","",ROUND(SQRT(MAX(0,(SUMIFS($R$2:$R$1001,$B$2:$B$1001,B321,$A$2:$A$1001,"&lt;"&amp;A321,$A$2:$A$1001,"&gt;="&amp;(A321-설정!$B$2))-M321*AVERAGEIFS($J$2:$J$1001,$B$2:$B$1001,B321,$A$2:$A$1001,"&lt;"&amp;A321,$A$2:$A$1001,"&gt;="&amp;(A321-설정!$B$2))^2)/(M321-1))),2))</f>
        <v/>
      </c>
      <c r="M321" s="18" t="str">
        <f aca="false">IF(J321="","",COUNTIFS($B$2:$B$1001,B321,$A$2:$A$1001,"&lt;"&amp;A321,$A$2:$A$1001,"&gt;="&amp;(A321-설정!$B$2),$J$2:$J$1001,"&gt;=0"))</f>
        <v/>
      </c>
      <c r="N321" s="18" t="str">
        <f aca="false">IF(K321="","",IF(L321=0,"",ROUND((J321-K321)/L321,2)))</f>
        <v/>
      </c>
      <c r="O321" s="19" t="str">
        <f aca="false">IF(J321="","",IF(MIN(F321,G321)&lt;=설정!$B$5,"예",""))</f>
        <v/>
      </c>
      <c r="P321" s="19" t="str">
        <f aca="false">IF(J321="","",IF(M321&lt;설정!$B$3,"baseline 수집 중",IF(N321="","정상",IF(N321&lt;=설정!$B$4,"낮음","정상"))))</f>
        <v/>
      </c>
      <c r="Q321" s="20"/>
      <c r="R321" s="18" t="str">
        <f aca="false">IF(J321="","",J321^2)</f>
        <v/>
      </c>
    </row>
    <row r="322" customFormat="false" ht="15" hidden="false" customHeight="false" outlineLevel="0" collapsed="false">
      <c r="A322" s="16"/>
      <c r="B322" s="17"/>
      <c r="C322" s="17"/>
      <c r="D322" s="17"/>
      <c r="E322" s="17"/>
      <c r="F322" s="17"/>
      <c r="G322" s="17"/>
      <c r="H322" s="17"/>
      <c r="I322" s="17"/>
      <c r="J322" s="18" t="str">
        <f aca="false">IF(COUNT(E322:I322)&lt;5,"",SUM(E322:I322))</f>
        <v/>
      </c>
      <c r="K322" s="18" t="str">
        <f aca="false">IF(J322="","",IF(M322&lt;설정!$B$3,"",ROUND(AVERAGEIFS($J$2:$J$1001,$B$2:$B$1001,B322,$A$2:$A$1001,"&lt;"&amp;A322,$A$2:$A$1001,"&gt;="&amp;(A322-설정!$B$2)),2)))</f>
        <v/>
      </c>
      <c r="L322" s="18" t="str">
        <f aca="false">IF(K322="","",ROUND(SQRT(MAX(0,(SUMIFS($R$2:$R$1001,$B$2:$B$1001,B322,$A$2:$A$1001,"&lt;"&amp;A322,$A$2:$A$1001,"&gt;="&amp;(A322-설정!$B$2))-M322*AVERAGEIFS($J$2:$J$1001,$B$2:$B$1001,B322,$A$2:$A$1001,"&lt;"&amp;A322,$A$2:$A$1001,"&gt;="&amp;(A322-설정!$B$2))^2)/(M322-1))),2))</f>
        <v/>
      </c>
      <c r="M322" s="18" t="str">
        <f aca="false">IF(J322="","",COUNTIFS($B$2:$B$1001,B322,$A$2:$A$1001,"&lt;"&amp;A322,$A$2:$A$1001,"&gt;="&amp;(A322-설정!$B$2),$J$2:$J$1001,"&gt;=0"))</f>
        <v/>
      </c>
      <c r="N322" s="18" t="str">
        <f aca="false">IF(K322="","",IF(L322=0,"",ROUND((J322-K322)/L322,2)))</f>
        <v/>
      </c>
      <c r="O322" s="19" t="str">
        <f aca="false">IF(J322="","",IF(MIN(F322,G322)&lt;=설정!$B$5,"예",""))</f>
        <v/>
      </c>
      <c r="P322" s="19" t="str">
        <f aca="false">IF(J322="","",IF(M322&lt;설정!$B$3,"baseline 수집 중",IF(N322="","정상",IF(N322&lt;=설정!$B$4,"낮음","정상"))))</f>
        <v/>
      </c>
      <c r="Q322" s="20"/>
      <c r="R322" s="18" t="str">
        <f aca="false">IF(J322="","",J322^2)</f>
        <v/>
      </c>
    </row>
    <row r="323" customFormat="false" ht="15" hidden="false" customHeight="false" outlineLevel="0" collapsed="false">
      <c r="A323" s="16"/>
      <c r="B323" s="17"/>
      <c r="C323" s="17"/>
      <c r="D323" s="17"/>
      <c r="E323" s="17"/>
      <c r="F323" s="17"/>
      <c r="G323" s="17"/>
      <c r="H323" s="17"/>
      <c r="I323" s="17"/>
      <c r="J323" s="18" t="str">
        <f aca="false">IF(COUNT(E323:I323)&lt;5,"",SUM(E323:I323))</f>
        <v/>
      </c>
      <c r="K323" s="18" t="str">
        <f aca="false">IF(J323="","",IF(M323&lt;설정!$B$3,"",ROUND(AVERAGEIFS($J$2:$J$1001,$B$2:$B$1001,B323,$A$2:$A$1001,"&lt;"&amp;A323,$A$2:$A$1001,"&gt;="&amp;(A323-설정!$B$2)),2)))</f>
        <v/>
      </c>
      <c r="L323" s="18" t="str">
        <f aca="false">IF(K323="","",ROUND(SQRT(MAX(0,(SUMIFS($R$2:$R$1001,$B$2:$B$1001,B323,$A$2:$A$1001,"&lt;"&amp;A323,$A$2:$A$1001,"&gt;="&amp;(A323-설정!$B$2))-M323*AVERAGEIFS($J$2:$J$1001,$B$2:$B$1001,B323,$A$2:$A$1001,"&lt;"&amp;A323,$A$2:$A$1001,"&gt;="&amp;(A323-설정!$B$2))^2)/(M323-1))),2))</f>
        <v/>
      </c>
      <c r="M323" s="18" t="str">
        <f aca="false">IF(J323="","",COUNTIFS($B$2:$B$1001,B323,$A$2:$A$1001,"&lt;"&amp;A323,$A$2:$A$1001,"&gt;="&amp;(A323-설정!$B$2),$J$2:$J$1001,"&gt;=0"))</f>
        <v/>
      </c>
      <c r="N323" s="18" t="str">
        <f aca="false">IF(K323="","",IF(L323=0,"",ROUND((J323-K323)/L323,2)))</f>
        <v/>
      </c>
      <c r="O323" s="19" t="str">
        <f aca="false">IF(J323="","",IF(MIN(F323,G323)&lt;=설정!$B$5,"예",""))</f>
        <v/>
      </c>
      <c r="P323" s="19" t="str">
        <f aca="false">IF(J323="","",IF(M323&lt;설정!$B$3,"baseline 수집 중",IF(N323="","정상",IF(N323&lt;=설정!$B$4,"낮음","정상"))))</f>
        <v/>
      </c>
      <c r="Q323" s="20"/>
      <c r="R323" s="18" t="str">
        <f aca="false">IF(J323="","",J323^2)</f>
        <v/>
      </c>
    </row>
    <row r="324" customFormat="false" ht="15" hidden="false" customHeight="false" outlineLevel="0" collapsed="false">
      <c r="A324" s="16"/>
      <c r="B324" s="17"/>
      <c r="C324" s="17"/>
      <c r="D324" s="17"/>
      <c r="E324" s="17"/>
      <c r="F324" s="17"/>
      <c r="G324" s="17"/>
      <c r="H324" s="17"/>
      <c r="I324" s="17"/>
      <c r="J324" s="18" t="str">
        <f aca="false">IF(COUNT(E324:I324)&lt;5,"",SUM(E324:I324))</f>
        <v/>
      </c>
      <c r="K324" s="18" t="str">
        <f aca="false">IF(J324="","",IF(M324&lt;설정!$B$3,"",ROUND(AVERAGEIFS($J$2:$J$1001,$B$2:$B$1001,B324,$A$2:$A$1001,"&lt;"&amp;A324,$A$2:$A$1001,"&gt;="&amp;(A324-설정!$B$2)),2)))</f>
        <v/>
      </c>
      <c r="L324" s="18" t="str">
        <f aca="false">IF(K324="","",ROUND(SQRT(MAX(0,(SUMIFS($R$2:$R$1001,$B$2:$B$1001,B324,$A$2:$A$1001,"&lt;"&amp;A324,$A$2:$A$1001,"&gt;="&amp;(A324-설정!$B$2))-M324*AVERAGEIFS($J$2:$J$1001,$B$2:$B$1001,B324,$A$2:$A$1001,"&lt;"&amp;A324,$A$2:$A$1001,"&gt;="&amp;(A324-설정!$B$2))^2)/(M324-1))),2))</f>
        <v/>
      </c>
      <c r="M324" s="18" t="str">
        <f aca="false">IF(J324="","",COUNTIFS($B$2:$B$1001,B324,$A$2:$A$1001,"&lt;"&amp;A324,$A$2:$A$1001,"&gt;="&amp;(A324-설정!$B$2),$J$2:$J$1001,"&gt;=0"))</f>
        <v/>
      </c>
      <c r="N324" s="18" t="str">
        <f aca="false">IF(K324="","",IF(L324=0,"",ROUND((J324-K324)/L324,2)))</f>
        <v/>
      </c>
      <c r="O324" s="19" t="str">
        <f aca="false">IF(J324="","",IF(MIN(F324,G324)&lt;=설정!$B$5,"예",""))</f>
        <v/>
      </c>
      <c r="P324" s="19" t="str">
        <f aca="false">IF(J324="","",IF(M324&lt;설정!$B$3,"baseline 수집 중",IF(N324="","정상",IF(N324&lt;=설정!$B$4,"낮음","정상"))))</f>
        <v/>
      </c>
      <c r="Q324" s="20"/>
      <c r="R324" s="18" t="str">
        <f aca="false">IF(J324="","",J324^2)</f>
        <v/>
      </c>
    </row>
    <row r="325" customFormat="false" ht="15" hidden="false" customHeight="false" outlineLevel="0" collapsed="false">
      <c r="A325" s="16"/>
      <c r="B325" s="17"/>
      <c r="C325" s="17"/>
      <c r="D325" s="17"/>
      <c r="E325" s="17"/>
      <c r="F325" s="17"/>
      <c r="G325" s="17"/>
      <c r="H325" s="17"/>
      <c r="I325" s="17"/>
      <c r="J325" s="18" t="str">
        <f aca="false">IF(COUNT(E325:I325)&lt;5,"",SUM(E325:I325))</f>
        <v/>
      </c>
      <c r="K325" s="18" t="str">
        <f aca="false">IF(J325="","",IF(M325&lt;설정!$B$3,"",ROUND(AVERAGEIFS($J$2:$J$1001,$B$2:$B$1001,B325,$A$2:$A$1001,"&lt;"&amp;A325,$A$2:$A$1001,"&gt;="&amp;(A325-설정!$B$2)),2)))</f>
        <v/>
      </c>
      <c r="L325" s="18" t="str">
        <f aca="false">IF(K325="","",ROUND(SQRT(MAX(0,(SUMIFS($R$2:$R$1001,$B$2:$B$1001,B325,$A$2:$A$1001,"&lt;"&amp;A325,$A$2:$A$1001,"&gt;="&amp;(A325-설정!$B$2))-M325*AVERAGEIFS($J$2:$J$1001,$B$2:$B$1001,B325,$A$2:$A$1001,"&lt;"&amp;A325,$A$2:$A$1001,"&gt;="&amp;(A325-설정!$B$2))^2)/(M325-1))),2))</f>
        <v/>
      </c>
      <c r="M325" s="18" t="str">
        <f aca="false">IF(J325="","",COUNTIFS($B$2:$B$1001,B325,$A$2:$A$1001,"&lt;"&amp;A325,$A$2:$A$1001,"&gt;="&amp;(A325-설정!$B$2),$J$2:$J$1001,"&gt;=0"))</f>
        <v/>
      </c>
      <c r="N325" s="18" t="str">
        <f aca="false">IF(K325="","",IF(L325=0,"",ROUND((J325-K325)/L325,2)))</f>
        <v/>
      </c>
      <c r="O325" s="19" t="str">
        <f aca="false">IF(J325="","",IF(MIN(F325,G325)&lt;=설정!$B$5,"예",""))</f>
        <v/>
      </c>
      <c r="P325" s="19" t="str">
        <f aca="false">IF(J325="","",IF(M325&lt;설정!$B$3,"baseline 수집 중",IF(N325="","정상",IF(N325&lt;=설정!$B$4,"낮음","정상"))))</f>
        <v/>
      </c>
      <c r="Q325" s="20"/>
      <c r="R325" s="18" t="str">
        <f aca="false">IF(J325="","",J325^2)</f>
        <v/>
      </c>
    </row>
    <row r="326" customFormat="false" ht="15" hidden="false" customHeight="false" outlineLevel="0" collapsed="false">
      <c r="A326" s="16"/>
      <c r="B326" s="17"/>
      <c r="C326" s="17"/>
      <c r="D326" s="17"/>
      <c r="E326" s="17"/>
      <c r="F326" s="17"/>
      <c r="G326" s="17"/>
      <c r="H326" s="17"/>
      <c r="I326" s="17"/>
      <c r="J326" s="18" t="str">
        <f aca="false">IF(COUNT(E326:I326)&lt;5,"",SUM(E326:I326))</f>
        <v/>
      </c>
      <c r="K326" s="18" t="str">
        <f aca="false">IF(J326="","",IF(M326&lt;설정!$B$3,"",ROUND(AVERAGEIFS($J$2:$J$1001,$B$2:$B$1001,B326,$A$2:$A$1001,"&lt;"&amp;A326,$A$2:$A$1001,"&gt;="&amp;(A326-설정!$B$2)),2)))</f>
        <v/>
      </c>
      <c r="L326" s="18" t="str">
        <f aca="false">IF(K326="","",ROUND(SQRT(MAX(0,(SUMIFS($R$2:$R$1001,$B$2:$B$1001,B326,$A$2:$A$1001,"&lt;"&amp;A326,$A$2:$A$1001,"&gt;="&amp;(A326-설정!$B$2))-M326*AVERAGEIFS($J$2:$J$1001,$B$2:$B$1001,B326,$A$2:$A$1001,"&lt;"&amp;A326,$A$2:$A$1001,"&gt;="&amp;(A326-설정!$B$2))^2)/(M326-1))),2))</f>
        <v/>
      </c>
      <c r="M326" s="18" t="str">
        <f aca="false">IF(J326="","",COUNTIFS($B$2:$B$1001,B326,$A$2:$A$1001,"&lt;"&amp;A326,$A$2:$A$1001,"&gt;="&amp;(A326-설정!$B$2),$J$2:$J$1001,"&gt;=0"))</f>
        <v/>
      </c>
      <c r="N326" s="18" t="str">
        <f aca="false">IF(K326="","",IF(L326=0,"",ROUND((J326-K326)/L326,2)))</f>
        <v/>
      </c>
      <c r="O326" s="19" t="str">
        <f aca="false">IF(J326="","",IF(MIN(F326,G326)&lt;=설정!$B$5,"예",""))</f>
        <v/>
      </c>
      <c r="P326" s="19" t="str">
        <f aca="false">IF(J326="","",IF(M326&lt;설정!$B$3,"baseline 수집 중",IF(N326="","정상",IF(N326&lt;=설정!$B$4,"낮음","정상"))))</f>
        <v/>
      </c>
      <c r="Q326" s="20"/>
      <c r="R326" s="18" t="str">
        <f aca="false">IF(J326="","",J326^2)</f>
        <v/>
      </c>
    </row>
    <row r="327" customFormat="false" ht="15" hidden="false" customHeight="false" outlineLevel="0" collapsed="false">
      <c r="A327" s="16"/>
      <c r="B327" s="17"/>
      <c r="C327" s="17"/>
      <c r="D327" s="17"/>
      <c r="E327" s="17"/>
      <c r="F327" s="17"/>
      <c r="G327" s="17"/>
      <c r="H327" s="17"/>
      <c r="I327" s="17"/>
      <c r="J327" s="18" t="str">
        <f aca="false">IF(COUNT(E327:I327)&lt;5,"",SUM(E327:I327))</f>
        <v/>
      </c>
      <c r="K327" s="18" t="str">
        <f aca="false">IF(J327="","",IF(M327&lt;설정!$B$3,"",ROUND(AVERAGEIFS($J$2:$J$1001,$B$2:$B$1001,B327,$A$2:$A$1001,"&lt;"&amp;A327,$A$2:$A$1001,"&gt;="&amp;(A327-설정!$B$2)),2)))</f>
        <v/>
      </c>
      <c r="L327" s="18" t="str">
        <f aca="false">IF(K327="","",ROUND(SQRT(MAX(0,(SUMIFS($R$2:$R$1001,$B$2:$B$1001,B327,$A$2:$A$1001,"&lt;"&amp;A327,$A$2:$A$1001,"&gt;="&amp;(A327-설정!$B$2))-M327*AVERAGEIFS($J$2:$J$1001,$B$2:$B$1001,B327,$A$2:$A$1001,"&lt;"&amp;A327,$A$2:$A$1001,"&gt;="&amp;(A327-설정!$B$2))^2)/(M327-1))),2))</f>
        <v/>
      </c>
      <c r="M327" s="18" t="str">
        <f aca="false">IF(J327="","",COUNTIFS($B$2:$B$1001,B327,$A$2:$A$1001,"&lt;"&amp;A327,$A$2:$A$1001,"&gt;="&amp;(A327-설정!$B$2),$J$2:$J$1001,"&gt;=0"))</f>
        <v/>
      </c>
      <c r="N327" s="18" t="str">
        <f aca="false">IF(K327="","",IF(L327=0,"",ROUND((J327-K327)/L327,2)))</f>
        <v/>
      </c>
      <c r="O327" s="19" t="str">
        <f aca="false">IF(J327="","",IF(MIN(F327,G327)&lt;=설정!$B$5,"예",""))</f>
        <v/>
      </c>
      <c r="P327" s="19" t="str">
        <f aca="false">IF(J327="","",IF(M327&lt;설정!$B$3,"baseline 수집 중",IF(N327="","정상",IF(N327&lt;=설정!$B$4,"낮음","정상"))))</f>
        <v/>
      </c>
      <c r="Q327" s="20"/>
      <c r="R327" s="18" t="str">
        <f aca="false">IF(J327="","",J327^2)</f>
        <v/>
      </c>
    </row>
    <row r="328" customFormat="false" ht="15" hidden="false" customHeight="false" outlineLevel="0" collapsed="false">
      <c r="A328" s="16"/>
      <c r="B328" s="17"/>
      <c r="C328" s="17"/>
      <c r="D328" s="17"/>
      <c r="E328" s="17"/>
      <c r="F328" s="17"/>
      <c r="G328" s="17"/>
      <c r="H328" s="17"/>
      <c r="I328" s="17"/>
      <c r="J328" s="18" t="str">
        <f aca="false">IF(COUNT(E328:I328)&lt;5,"",SUM(E328:I328))</f>
        <v/>
      </c>
      <c r="K328" s="18" t="str">
        <f aca="false">IF(J328="","",IF(M328&lt;설정!$B$3,"",ROUND(AVERAGEIFS($J$2:$J$1001,$B$2:$B$1001,B328,$A$2:$A$1001,"&lt;"&amp;A328,$A$2:$A$1001,"&gt;="&amp;(A328-설정!$B$2)),2)))</f>
        <v/>
      </c>
      <c r="L328" s="18" t="str">
        <f aca="false">IF(K328="","",ROUND(SQRT(MAX(0,(SUMIFS($R$2:$R$1001,$B$2:$B$1001,B328,$A$2:$A$1001,"&lt;"&amp;A328,$A$2:$A$1001,"&gt;="&amp;(A328-설정!$B$2))-M328*AVERAGEIFS($J$2:$J$1001,$B$2:$B$1001,B328,$A$2:$A$1001,"&lt;"&amp;A328,$A$2:$A$1001,"&gt;="&amp;(A328-설정!$B$2))^2)/(M328-1))),2))</f>
        <v/>
      </c>
      <c r="M328" s="18" t="str">
        <f aca="false">IF(J328="","",COUNTIFS($B$2:$B$1001,B328,$A$2:$A$1001,"&lt;"&amp;A328,$A$2:$A$1001,"&gt;="&amp;(A328-설정!$B$2),$J$2:$J$1001,"&gt;=0"))</f>
        <v/>
      </c>
      <c r="N328" s="18" t="str">
        <f aca="false">IF(K328="","",IF(L328=0,"",ROUND((J328-K328)/L328,2)))</f>
        <v/>
      </c>
      <c r="O328" s="19" t="str">
        <f aca="false">IF(J328="","",IF(MIN(F328,G328)&lt;=설정!$B$5,"예",""))</f>
        <v/>
      </c>
      <c r="P328" s="19" t="str">
        <f aca="false">IF(J328="","",IF(M328&lt;설정!$B$3,"baseline 수집 중",IF(N328="","정상",IF(N328&lt;=설정!$B$4,"낮음","정상"))))</f>
        <v/>
      </c>
      <c r="Q328" s="20"/>
      <c r="R328" s="18" t="str">
        <f aca="false">IF(J328="","",J328^2)</f>
        <v/>
      </c>
    </row>
    <row r="329" customFormat="false" ht="15" hidden="false" customHeight="false" outlineLevel="0" collapsed="false">
      <c r="A329" s="16"/>
      <c r="B329" s="17"/>
      <c r="C329" s="17"/>
      <c r="D329" s="17"/>
      <c r="E329" s="17"/>
      <c r="F329" s="17"/>
      <c r="G329" s="17"/>
      <c r="H329" s="17"/>
      <c r="I329" s="17"/>
      <c r="J329" s="18" t="str">
        <f aca="false">IF(COUNT(E329:I329)&lt;5,"",SUM(E329:I329))</f>
        <v/>
      </c>
      <c r="K329" s="18" t="str">
        <f aca="false">IF(J329="","",IF(M329&lt;설정!$B$3,"",ROUND(AVERAGEIFS($J$2:$J$1001,$B$2:$B$1001,B329,$A$2:$A$1001,"&lt;"&amp;A329,$A$2:$A$1001,"&gt;="&amp;(A329-설정!$B$2)),2)))</f>
        <v/>
      </c>
      <c r="L329" s="18" t="str">
        <f aca="false">IF(K329="","",ROUND(SQRT(MAX(0,(SUMIFS($R$2:$R$1001,$B$2:$B$1001,B329,$A$2:$A$1001,"&lt;"&amp;A329,$A$2:$A$1001,"&gt;="&amp;(A329-설정!$B$2))-M329*AVERAGEIFS($J$2:$J$1001,$B$2:$B$1001,B329,$A$2:$A$1001,"&lt;"&amp;A329,$A$2:$A$1001,"&gt;="&amp;(A329-설정!$B$2))^2)/(M329-1))),2))</f>
        <v/>
      </c>
      <c r="M329" s="18" t="str">
        <f aca="false">IF(J329="","",COUNTIFS($B$2:$B$1001,B329,$A$2:$A$1001,"&lt;"&amp;A329,$A$2:$A$1001,"&gt;="&amp;(A329-설정!$B$2),$J$2:$J$1001,"&gt;=0"))</f>
        <v/>
      </c>
      <c r="N329" s="18" t="str">
        <f aca="false">IF(K329="","",IF(L329=0,"",ROUND((J329-K329)/L329,2)))</f>
        <v/>
      </c>
      <c r="O329" s="19" t="str">
        <f aca="false">IF(J329="","",IF(MIN(F329,G329)&lt;=설정!$B$5,"예",""))</f>
        <v/>
      </c>
      <c r="P329" s="19" t="str">
        <f aca="false">IF(J329="","",IF(M329&lt;설정!$B$3,"baseline 수집 중",IF(N329="","정상",IF(N329&lt;=설정!$B$4,"낮음","정상"))))</f>
        <v/>
      </c>
      <c r="Q329" s="20"/>
      <c r="R329" s="18" t="str">
        <f aca="false">IF(J329="","",J329^2)</f>
        <v/>
      </c>
    </row>
    <row r="330" customFormat="false" ht="15" hidden="false" customHeight="false" outlineLevel="0" collapsed="false">
      <c r="A330" s="16"/>
      <c r="B330" s="17"/>
      <c r="C330" s="17"/>
      <c r="D330" s="17"/>
      <c r="E330" s="17"/>
      <c r="F330" s="17"/>
      <c r="G330" s="17"/>
      <c r="H330" s="17"/>
      <c r="I330" s="17"/>
      <c r="J330" s="18" t="str">
        <f aca="false">IF(COUNT(E330:I330)&lt;5,"",SUM(E330:I330))</f>
        <v/>
      </c>
      <c r="K330" s="18" t="str">
        <f aca="false">IF(J330="","",IF(M330&lt;설정!$B$3,"",ROUND(AVERAGEIFS($J$2:$J$1001,$B$2:$B$1001,B330,$A$2:$A$1001,"&lt;"&amp;A330,$A$2:$A$1001,"&gt;="&amp;(A330-설정!$B$2)),2)))</f>
        <v/>
      </c>
      <c r="L330" s="18" t="str">
        <f aca="false">IF(K330="","",ROUND(SQRT(MAX(0,(SUMIFS($R$2:$R$1001,$B$2:$B$1001,B330,$A$2:$A$1001,"&lt;"&amp;A330,$A$2:$A$1001,"&gt;="&amp;(A330-설정!$B$2))-M330*AVERAGEIFS($J$2:$J$1001,$B$2:$B$1001,B330,$A$2:$A$1001,"&lt;"&amp;A330,$A$2:$A$1001,"&gt;="&amp;(A330-설정!$B$2))^2)/(M330-1))),2))</f>
        <v/>
      </c>
      <c r="M330" s="18" t="str">
        <f aca="false">IF(J330="","",COUNTIFS($B$2:$B$1001,B330,$A$2:$A$1001,"&lt;"&amp;A330,$A$2:$A$1001,"&gt;="&amp;(A330-설정!$B$2),$J$2:$J$1001,"&gt;=0"))</f>
        <v/>
      </c>
      <c r="N330" s="18" t="str">
        <f aca="false">IF(K330="","",IF(L330=0,"",ROUND((J330-K330)/L330,2)))</f>
        <v/>
      </c>
      <c r="O330" s="19" t="str">
        <f aca="false">IF(J330="","",IF(MIN(F330,G330)&lt;=설정!$B$5,"예",""))</f>
        <v/>
      </c>
      <c r="P330" s="19" t="str">
        <f aca="false">IF(J330="","",IF(M330&lt;설정!$B$3,"baseline 수집 중",IF(N330="","정상",IF(N330&lt;=설정!$B$4,"낮음","정상"))))</f>
        <v/>
      </c>
      <c r="Q330" s="20"/>
      <c r="R330" s="18" t="str">
        <f aca="false">IF(J330="","",J330^2)</f>
        <v/>
      </c>
    </row>
    <row r="331" customFormat="false" ht="15" hidden="false" customHeight="false" outlineLevel="0" collapsed="false">
      <c r="A331" s="16"/>
      <c r="B331" s="17"/>
      <c r="C331" s="17"/>
      <c r="D331" s="17"/>
      <c r="E331" s="17"/>
      <c r="F331" s="17"/>
      <c r="G331" s="17"/>
      <c r="H331" s="17"/>
      <c r="I331" s="17"/>
      <c r="J331" s="18" t="str">
        <f aca="false">IF(COUNT(E331:I331)&lt;5,"",SUM(E331:I331))</f>
        <v/>
      </c>
      <c r="K331" s="18" t="str">
        <f aca="false">IF(J331="","",IF(M331&lt;설정!$B$3,"",ROUND(AVERAGEIFS($J$2:$J$1001,$B$2:$B$1001,B331,$A$2:$A$1001,"&lt;"&amp;A331,$A$2:$A$1001,"&gt;="&amp;(A331-설정!$B$2)),2)))</f>
        <v/>
      </c>
      <c r="L331" s="18" t="str">
        <f aca="false">IF(K331="","",ROUND(SQRT(MAX(0,(SUMIFS($R$2:$R$1001,$B$2:$B$1001,B331,$A$2:$A$1001,"&lt;"&amp;A331,$A$2:$A$1001,"&gt;="&amp;(A331-설정!$B$2))-M331*AVERAGEIFS($J$2:$J$1001,$B$2:$B$1001,B331,$A$2:$A$1001,"&lt;"&amp;A331,$A$2:$A$1001,"&gt;="&amp;(A331-설정!$B$2))^2)/(M331-1))),2))</f>
        <v/>
      </c>
      <c r="M331" s="18" t="str">
        <f aca="false">IF(J331="","",COUNTIFS($B$2:$B$1001,B331,$A$2:$A$1001,"&lt;"&amp;A331,$A$2:$A$1001,"&gt;="&amp;(A331-설정!$B$2),$J$2:$J$1001,"&gt;=0"))</f>
        <v/>
      </c>
      <c r="N331" s="18" t="str">
        <f aca="false">IF(K331="","",IF(L331=0,"",ROUND((J331-K331)/L331,2)))</f>
        <v/>
      </c>
      <c r="O331" s="19" t="str">
        <f aca="false">IF(J331="","",IF(MIN(F331,G331)&lt;=설정!$B$5,"예",""))</f>
        <v/>
      </c>
      <c r="P331" s="19" t="str">
        <f aca="false">IF(J331="","",IF(M331&lt;설정!$B$3,"baseline 수집 중",IF(N331="","정상",IF(N331&lt;=설정!$B$4,"낮음","정상"))))</f>
        <v/>
      </c>
      <c r="Q331" s="20"/>
      <c r="R331" s="18" t="str">
        <f aca="false">IF(J331="","",J331^2)</f>
        <v/>
      </c>
    </row>
    <row r="332" customFormat="false" ht="15" hidden="false" customHeight="false" outlineLevel="0" collapsed="false">
      <c r="A332" s="16"/>
      <c r="B332" s="17"/>
      <c r="C332" s="17"/>
      <c r="D332" s="17"/>
      <c r="E332" s="17"/>
      <c r="F332" s="17"/>
      <c r="G332" s="17"/>
      <c r="H332" s="17"/>
      <c r="I332" s="17"/>
      <c r="J332" s="18" t="str">
        <f aca="false">IF(COUNT(E332:I332)&lt;5,"",SUM(E332:I332))</f>
        <v/>
      </c>
      <c r="K332" s="18" t="str">
        <f aca="false">IF(J332="","",IF(M332&lt;설정!$B$3,"",ROUND(AVERAGEIFS($J$2:$J$1001,$B$2:$B$1001,B332,$A$2:$A$1001,"&lt;"&amp;A332,$A$2:$A$1001,"&gt;="&amp;(A332-설정!$B$2)),2)))</f>
        <v/>
      </c>
      <c r="L332" s="18" t="str">
        <f aca="false">IF(K332="","",ROUND(SQRT(MAX(0,(SUMIFS($R$2:$R$1001,$B$2:$B$1001,B332,$A$2:$A$1001,"&lt;"&amp;A332,$A$2:$A$1001,"&gt;="&amp;(A332-설정!$B$2))-M332*AVERAGEIFS($J$2:$J$1001,$B$2:$B$1001,B332,$A$2:$A$1001,"&lt;"&amp;A332,$A$2:$A$1001,"&gt;="&amp;(A332-설정!$B$2))^2)/(M332-1))),2))</f>
        <v/>
      </c>
      <c r="M332" s="18" t="str">
        <f aca="false">IF(J332="","",COUNTIFS($B$2:$B$1001,B332,$A$2:$A$1001,"&lt;"&amp;A332,$A$2:$A$1001,"&gt;="&amp;(A332-설정!$B$2),$J$2:$J$1001,"&gt;=0"))</f>
        <v/>
      </c>
      <c r="N332" s="18" t="str">
        <f aca="false">IF(K332="","",IF(L332=0,"",ROUND((J332-K332)/L332,2)))</f>
        <v/>
      </c>
      <c r="O332" s="19" t="str">
        <f aca="false">IF(J332="","",IF(MIN(F332,G332)&lt;=설정!$B$5,"예",""))</f>
        <v/>
      </c>
      <c r="P332" s="19" t="str">
        <f aca="false">IF(J332="","",IF(M332&lt;설정!$B$3,"baseline 수집 중",IF(N332="","정상",IF(N332&lt;=설정!$B$4,"낮음","정상"))))</f>
        <v/>
      </c>
      <c r="Q332" s="20"/>
      <c r="R332" s="18" t="str">
        <f aca="false">IF(J332="","",J332^2)</f>
        <v/>
      </c>
    </row>
    <row r="333" customFormat="false" ht="15" hidden="false" customHeight="false" outlineLevel="0" collapsed="false">
      <c r="A333" s="16"/>
      <c r="B333" s="17"/>
      <c r="C333" s="17"/>
      <c r="D333" s="17"/>
      <c r="E333" s="17"/>
      <c r="F333" s="17"/>
      <c r="G333" s="17"/>
      <c r="H333" s="17"/>
      <c r="I333" s="17"/>
      <c r="J333" s="18" t="str">
        <f aca="false">IF(COUNT(E333:I333)&lt;5,"",SUM(E333:I333))</f>
        <v/>
      </c>
      <c r="K333" s="18" t="str">
        <f aca="false">IF(J333="","",IF(M333&lt;설정!$B$3,"",ROUND(AVERAGEIFS($J$2:$J$1001,$B$2:$B$1001,B333,$A$2:$A$1001,"&lt;"&amp;A333,$A$2:$A$1001,"&gt;="&amp;(A333-설정!$B$2)),2)))</f>
        <v/>
      </c>
      <c r="L333" s="18" t="str">
        <f aca="false">IF(K333="","",ROUND(SQRT(MAX(0,(SUMIFS($R$2:$R$1001,$B$2:$B$1001,B333,$A$2:$A$1001,"&lt;"&amp;A333,$A$2:$A$1001,"&gt;="&amp;(A333-설정!$B$2))-M333*AVERAGEIFS($J$2:$J$1001,$B$2:$B$1001,B333,$A$2:$A$1001,"&lt;"&amp;A333,$A$2:$A$1001,"&gt;="&amp;(A333-설정!$B$2))^2)/(M333-1))),2))</f>
        <v/>
      </c>
      <c r="M333" s="18" t="str">
        <f aca="false">IF(J333="","",COUNTIFS($B$2:$B$1001,B333,$A$2:$A$1001,"&lt;"&amp;A333,$A$2:$A$1001,"&gt;="&amp;(A333-설정!$B$2),$J$2:$J$1001,"&gt;=0"))</f>
        <v/>
      </c>
      <c r="N333" s="18" t="str">
        <f aca="false">IF(K333="","",IF(L333=0,"",ROUND((J333-K333)/L333,2)))</f>
        <v/>
      </c>
      <c r="O333" s="19" t="str">
        <f aca="false">IF(J333="","",IF(MIN(F333,G333)&lt;=설정!$B$5,"예",""))</f>
        <v/>
      </c>
      <c r="P333" s="19" t="str">
        <f aca="false">IF(J333="","",IF(M333&lt;설정!$B$3,"baseline 수집 중",IF(N333="","정상",IF(N333&lt;=설정!$B$4,"낮음","정상"))))</f>
        <v/>
      </c>
      <c r="Q333" s="20"/>
      <c r="R333" s="18" t="str">
        <f aca="false">IF(J333="","",J333^2)</f>
        <v/>
      </c>
    </row>
    <row r="334" customFormat="false" ht="15" hidden="false" customHeight="false" outlineLevel="0" collapsed="false">
      <c r="A334" s="16"/>
      <c r="B334" s="17"/>
      <c r="C334" s="17"/>
      <c r="D334" s="17"/>
      <c r="E334" s="17"/>
      <c r="F334" s="17"/>
      <c r="G334" s="17"/>
      <c r="H334" s="17"/>
      <c r="I334" s="17"/>
      <c r="J334" s="18" t="str">
        <f aca="false">IF(COUNT(E334:I334)&lt;5,"",SUM(E334:I334))</f>
        <v/>
      </c>
      <c r="K334" s="18" t="str">
        <f aca="false">IF(J334="","",IF(M334&lt;설정!$B$3,"",ROUND(AVERAGEIFS($J$2:$J$1001,$B$2:$B$1001,B334,$A$2:$A$1001,"&lt;"&amp;A334,$A$2:$A$1001,"&gt;="&amp;(A334-설정!$B$2)),2)))</f>
        <v/>
      </c>
      <c r="L334" s="18" t="str">
        <f aca="false">IF(K334="","",ROUND(SQRT(MAX(0,(SUMIFS($R$2:$R$1001,$B$2:$B$1001,B334,$A$2:$A$1001,"&lt;"&amp;A334,$A$2:$A$1001,"&gt;="&amp;(A334-설정!$B$2))-M334*AVERAGEIFS($J$2:$J$1001,$B$2:$B$1001,B334,$A$2:$A$1001,"&lt;"&amp;A334,$A$2:$A$1001,"&gt;="&amp;(A334-설정!$B$2))^2)/(M334-1))),2))</f>
        <v/>
      </c>
      <c r="M334" s="18" t="str">
        <f aca="false">IF(J334="","",COUNTIFS($B$2:$B$1001,B334,$A$2:$A$1001,"&lt;"&amp;A334,$A$2:$A$1001,"&gt;="&amp;(A334-설정!$B$2),$J$2:$J$1001,"&gt;=0"))</f>
        <v/>
      </c>
      <c r="N334" s="18" t="str">
        <f aca="false">IF(K334="","",IF(L334=0,"",ROUND((J334-K334)/L334,2)))</f>
        <v/>
      </c>
      <c r="O334" s="19" t="str">
        <f aca="false">IF(J334="","",IF(MIN(F334,G334)&lt;=설정!$B$5,"예",""))</f>
        <v/>
      </c>
      <c r="P334" s="19" t="str">
        <f aca="false">IF(J334="","",IF(M334&lt;설정!$B$3,"baseline 수집 중",IF(N334="","정상",IF(N334&lt;=설정!$B$4,"낮음","정상"))))</f>
        <v/>
      </c>
      <c r="Q334" s="20"/>
      <c r="R334" s="18" t="str">
        <f aca="false">IF(J334="","",J334^2)</f>
        <v/>
      </c>
    </row>
    <row r="335" customFormat="false" ht="15" hidden="false" customHeight="false" outlineLevel="0" collapsed="false">
      <c r="A335" s="16"/>
      <c r="B335" s="17"/>
      <c r="C335" s="17"/>
      <c r="D335" s="17"/>
      <c r="E335" s="17"/>
      <c r="F335" s="17"/>
      <c r="G335" s="17"/>
      <c r="H335" s="17"/>
      <c r="I335" s="17"/>
      <c r="J335" s="18" t="str">
        <f aca="false">IF(COUNT(E335:I335)&lt;5,"",SUM(E335:I335))</f>
        <v/>
      </c>
      <c r="K335" s="18" t="str">
        <f aca="false">IF(J335="","",IF(M335&lt;설정!$B$3,"",ROUND(AVERAGEIFS($J$2:$J$1001,$B$2:$B$1001,B335,$A$2:$A$1001,"&lt;"&amp;A335,$A$2:$A$1001,"&gt;="&amp;(A335-설정!$B$2)),2)))</f>
        <v/>
      </c>
      <c r="L335" s="18" t="str">
        <f aca="false">IF(K335="","",ROUND(SQRT(MAX(0,(SUMIFS($R$2:$R$1001,$B$2:$B$1001,B335,$A$2:$A$1001,"&lt;"&amp;A335,$A$2:$A$1001,"&gt;="&amp;(A335-설정!$B$2))-M335*AVERAGEIFS($J$2:$J$1001,$B$2:$B$1001,B335,$A$2:$A$1001,"&lt;"&amp;A335,$A$2:$A$1001,"&gt;="&amp;(A335-설정!$B$2))^2)/(M335-1))),2))</f>
        <v/>
      </c>
      <c r="M335" s="18" t="str">
        <f aca="false">IF(J335="","",COUNTIFS($B$2:$B$1001,B335,$A$2:$A$1001,"&lt;"&amp;A335,$A$2:$A$1001,"&gt;="&amp;(A335-설정!$B$2),$J$2:$J$1001,"&gt;=0"))</f>
        <v/>
      </c>
      <c r="N335" s="18" t="str">
        <f aca="false">IF(K335="","",IF(L335=0,"",ROUND((J335-K335)/L335,2)))</f>
        <v/>
      </c>
      <c r="O335" s="19" t="str">
        <f aca="false">IF(J335="","",IF(MIN(F335,G335)&lt;=설정!$B$5,"예",""))</f>
        <v/>
      </c>
      <c r="P335" s="19" t="str">
        <f aca="false">IF(J335="","",IF(M335&lt;설정!$B$3,"baseline 수집 중",IF(N335="","정상",IF(N335&lt;=설정!$B$4,"낮음","정상"))))</f>
        <v/>
      </c>
      <c r="Q335" s="20"/>
      <c r="R335" s="18" t="str">
        <f aca="false">IF(J335="","",J335^2)</f>
        <v/>
      </c>
    </row>
    <row r="336" customFormat="false" ht="15" hidden="false" customHeight="false" outlineLevel="0" collapsed="false">
      <c r="A336" s="16"/>
      <c r="B336" s="17"/>
      <c r="C336" s="17"/>
      <c r="D336" s="17"/>
      <c r="E336" s="17"/>
      <c r="F336" s="17"/>
      <c r="G336" s="17"/>
      <c r="H336" s="17"/>
      <c r="I336" s="17"/>
      <c r="J336" s="18" t="str">
        <f aca="false">IF(COUNT(E336:I336)&lt;5,"",SUM(E336:I336))</f>
        <v/>
      </c>
      <c r="K336" s="18" t="str">
        <f aca="false">IF(J336="","",IF(M336&lt;설정!$B$3,"",ROUND(AVERAGEIFS($J$2:$J$1001,$B$2:$B$1001,B336,$A$2:$A$1001,"&lt;"&amp;A336,$A$2:$A$1001,"&gt;="&amp;(A336-설정!$B$2)),2)))</f>
        <v/>
      </c>
      <c r="L336" s="18" t="str">
        <f aca="false">IF(K336="","",ROUND(SQRT(MAX(0,(SUMIFS($R$2:$R$1001,$B$2:$B$1001,B336,$A$2:$A$1001,"&lt;"&amp;A336,$A$2:$A$1001,"&gt;="&amp;(A336-설정!$B$2))-M336*AVERAGEIFS($J$2:$J$1001,$B$2:$B$1001,B336,$A$2:$A$1001,"&lt;"&amp;A336,$A$2:$A$1001,"&gt;="&amp;(A336-설정!$B$2))^2)/(M336-1))),2))</f>
        <v/>
      </c>
      <c r="M336" s="18" t="str">
        <f aca="false">IF(J336="","",COUNTIFS($B$2:$B$1001,B336,$A$2:$A$1001,"&lt;"&amp;A336,$A$2:$A$1001,"&gt;="&amp;(A336-설정!$B$2),$J$2:$J$1001,"&gt;=0"))</f>
        <v/>
      </c>
      <c r="N336" s="18" t="str">
        <f aca="false">IF(K336="","",IF(L336=0,"",ROUND((J336-K336)/L336,2)))</f>
        <v/>
      </c>
      <c r="O336" s="19" t="str">
        <f aca="false">IF(J336="","",IF(MIN(F336,G336)&lt;=설정!$B$5,"예",""))</f>
        <v/>
      </c>
      <c r="P336" s="19" t="str">
        <f aca="false">IF(J336="","",IF(M336&lt;설정!$B$3,"baseline 수집 중",IF(N336="","정상",IF(N336&lt;=설정!$B$4,"낮음","정상"))))</f>
        <v/>
      </c>
      <c r="Q336" s="20"/>
      <c r="R336" s="18" t="str">
        <f aca="false">IF(J336="","",J336^2)</f>
        <v/>
      </c>
    </row>
    <row r="337" customFormat="false" ht="15" hidden="false" customHeight="false" outlineLevel="0" collapsed="false">
      <c r="A337" s="16"/>
      <c r="B337" s="17"/>
      <c r="C337" s="17"/>
      <c r="D337" s="17"/>
      <c r="E337" s="17"/>
      <c r="F337" s="17"/>
      <c r="G337" s="17"/>
      <c r="H337" s="17"/>
      <c r="I337" s="17"/>
      <c r="J337" s="18" t="str">
        <f aca="false">IF(COUNT(E337:I337)&lt;5,"",SUM(E337:I337))</f>
        <v/>
      </c>
      <c r="K337" s="18" t="str">
        <f aca="false">IF(J337="","",IF(M337&lt;설정!$B$3,"",ROUND(AVERAGEIFS($J$2:$J$1001,$B$2:$B$1001,B337,$A$2:$A$1001,"&lt;"&amp;A337,$A$2:$A$1001,"&gt;="&amp;(A337-설정!$B$2)),2)))</f>
        <v/>
      </c>
      <c r="L337" s="18" t="str">
        <f aca="false">IF(K337="","",ROUND(SQRT(MAX(0,(SUMIFS($R$2:$R$1001,$B$2:$B$1001,B337,$A$2:$A$1001,"&lt;"&amp;A337,$A$2:$A$1001,"&gt;="&amp;(A337-설정!$B$2))-M337*AVERAGEIFS($J$2:$J$1001,$B$2:$B$1001,B337,$A$2:$A$1001,"&lt;"&amp;A337,$A$2:$A$1001,"&gt;="&amp;(A337-설정!$B$2))^2)/(M337-1))),2))</f>
        <v/>
      </c>
      <c r="M337" s="18" t="str">
        <f aca="false">IF(J337="","",COUNTIFS($B$2:$B$1001,B337,$A$2:$A$1001,"&lt;"&amp;A337,$A$2:$A$1001,"&gt;="&amp;(A337-설정!$B$2),$J$2:$J$1001,"&gt;=0"))</f>
        <v/>
      </c>
      <c r="N337" s="18" t="str">
        <f aca="false">IF(K337="","",IF(L337=0,"",ROUND((J337-K337)/L337,2)))</f>
        <v/>
      </c>
      <c r="O337" s="19" t="str">
        <f aca="false">IF(J337="","",IF(MIN(F337,G337)&lt;=설정!$B$5,"예",""))</f>
        <v/>
      </c>
      <c r="P337" s="19" t="str">
        <f aca="false">IF(J337="","",IF(M337&lt;설정!$B$3,"baseline 수집 중",IF(N337="","정상",IF(N337&lt;=설정!$B$4,"낮음","정상"))))</f>
        <v/>
      </c>
      <c r="Q337" s="20"/>
      <c r="R337" s="18" t="str">
        <f aca="false">IF(J337="","",J337^2)</f>
        <v/>
      </c>
    </row>
    <row r="338" customFormat="false" ht="15" hidden="false" customHeight="false" outlineLevel="0" collapsed="false">
      <c r="A338" s="16"/>
      <c r="B338" s="17"/>
      <c r="C338" s="17"/>
      <c r="D338" s="17"/>
      <c r="E338" s="17"/>
      <c r="F338" s="17"/>
      <c r="G338" s="17"/>
      <c r="H338" s="17"/>
      <c r="I338" s="17"/>
      <c r="J338" s="18" t="str">
        <f aca="false">IF(COUNT(E338:I338)&lt;5,"",SUM(E338:I338))</f>
        <v/>
      </c>
      <c r="K338" s="18" t="str">
        <f aca="false">IF(J338="","",IF(M338&lt;설정!$B$3,"",ROUND(AVERAGEIFS($J$2:$J$1001,$B$2:$B$1001,B338,$A$2:$A$1001,"&lt;"&amp;A338,$A$2:$A$1001,"&gt;="&amp;(A338-설정!$B$2)),2)))</f>
        <v/>
      </c>
      <c r="L338" s="18" t="str">
        <f aca="false">IF(K338="","",ROUND(SQRT(MAX(0,(SUMIFS($R$2:$R$1001,$B$2:$B$1001,B338,$A$2:$A$1001,"&lt;"&amp;A338,$A$2:$A$1001,"&gt;="&amp;(A338-설정!$B$2))-M338*AVERAGEIFS($J$2:$J$1001,$B$2:$B$1001,B338,$A$2:$A$1001,"&lt;"&amp;A338,$A$2:$A$1001,"&gt;="&amp;(A338-설정!$B$2))^2)/(M338-1))),2))</f>
        <v/>
      </c>
      <c r="M338" s="18" t="str">
        <f aca="false">IF(J338="","",COUNTIFS($B$2:$B$1001,B338,$A$2:$A$1001,"&lt;"&amp;A338,$A$2:$A$1001,"&gt;="&amp;(A338-설정!$B$2),$J$2:$J$1001,"&gt;=0"))</f>
        <v/>
      </c>
      <c r="N338" s="18" t="str">
        <f aca="false">IF(K338="","",IF(L338=0,"",ROUND((J338-K338)/L338,2)))</f>
        <v/>
      </c>
      <c r="O338" s="19" t="str">
        <f aca="false">IF(J338="","",IF(MIN(F338,G338)&lt;=설정!$B$5,"예",""))</f>
        <v/>
      </c>
      <c r="P338" s="19" t="str">
        <f aca="false">IF(J338="","",IF(M338&lt;설정!$B$3,"baseline 수집 중",IF(N338="","정상",IF(N338&lt;=설정!$B$4,"낮음","정상"))))</f>
        <v/>
      </c>
      <c r="Q338" s="20"/>
      <c r="R338" s="18" t="str">
        <f aca="false">IF(J338="","",J338^2)</f>
        <v/>
      </c>
    </row>
    <row r="339" customFormat="false" ht="15" hidden="false" customHeight="false" outlineLevel="0" collapsed="false">
      <c r="A339" s="16"/>
      <c r="B339" s="17"/>
      <c r="C339" s="17"/>
      <c r="D339" s="17"/>
      <c r="E339" s="17"/>
      <c r="F339" s="17"/>
      <c r="G339" s="17"/>
      <c r="H339" s="17"/>
      <c r="I339" s="17"/>
      <c r="J339" s="18" t="str">
        <f aca="false">IF(COUNT(E339:I339)&lt;5,"",SUM(E339:I339))</f>
        <v/>
      </c>
      <c r="K339" s="18" t="str">
        <f aca="false">IF(J339="","",IF(M339&lt;설정!$B$3,"",ROUND(AVERAGEIFS($J$2:$J$1001,$B$2:$B$1001,B339,$A$2:$A$1001,"&lt;"&amp;A339,$A$2:$A$1001,"&gt;="&amp;(A339-설정!$B$2)),2)))</f>
        <v/>
      </c>
      <c r="L339" s="18" t="str">
        <f aca="false">IF(K339="","",ROUND(SQRT(MAX(0,(SUMIFS($R$2:$R$1001,$B$2:$B$1001,B339,$A$2:$A$1001,"&lt;"&amp;A339,$A$2:$A$1001,"&gt;="&amp;(A339-설정!$B$2))-M339*AVERAGEIFS($J$2:$J$1001,$B$2:$B$1001,B339,$A$2:$A$1001,"&lt;"&amp;A339,$A$2:$A$1001,"&gt;="&amp;(A339-설정!$B$2))^2)/(M339-1))),2))</f>
        <v/>
      </c>
      <c r="M339" s="18" t="str">
        <f aca="false">IF(J339="","",COUNTIFS($B$2:$B$1001,B339,$A$2:$A$1001,"&lt;"&amp;A339,$A$2:$A$1001,"&gt;="&amp;(A339-설정!$B$2),$J$2:$J$1001,"&gt;=0"))</f>
        <v/>
      </c>
      <c r="N339" s="18" t="str">
        <f aca="false">IF(K339="","",IF(L339=0,"",ROUND((J339-K339)/L339,2)))</f>
        <v/>
      </c>
      <c r="O339" s="19" t="str">
        <f aca="false">IF(J339="","",IF(MIN(F339,G339)&lt;=설정!$B$5,"예",""))</f>
        <v/>
      </c>
      <c r="P339" s="19" t="str">
        <f aca="false">IF(J339="","",IF(M339&lt;설정!$B$3,"baseline 수집 중",IF(N339="","정상",IF(N339&lt;=설정!$B$4,"낮음","정상"))))</f>
        <v/>
      </c>
      <c r="Q339" s="20"/>
      <c r="R339" s="18" t="str">
        <f aca="false">IF(J339="","",J339^2)</f>
        <v/>
      </c>
    </row>
    <row r="340" customFormat="false" ht="15" hidden="false" customHeight="false" outlineLevel="0" collapsed="false">
      <c r="A340" s="16"/>
      <c r="B340" s="17"/>
      <c r="C340" s="17"/>
      <c r="D340" s="17"/>
      <c r="E340" s="17"/>
      <c r="F340" s="17"/>
      <c r="G340" s="17"/>
      <c r="H340" s="17"/>
      <c r="I340" s="17"/>
      <c r="J340" s="18" t="str">
        <f aca="false">IF(COUNT(E340:I340)&lt;5,"",SUM(E340:I340))</f>
        <v/>
      </c>
      <c r="K340" s="18" t="str">
        <f aca="false">IF(J340="","",IF(M340&lt;설정!$B$3,"",ROUND(AVERAGEIFS($J$2:$J$1001,$B$2:$B$1001,B340,$A$2:$A$1001,"&lt;"&amp;A340,$A$2:$A$1001,"&gt;="&amp;(A340-설정!$B$2)),2)))</f>
        <v/>
      </c>
      <c r="L340" s="18" t="str">
        <f aca="false">IF(K340="","",ROUND(SQRT(MAX(0,(SUMIFS($R$2:$R$1001,$B$2:$B$1001,B340,$A$2:$A$1001,"&lt;"&amp;A340,$A$2:$A$1001,"&gt;="&amp;(A340-설정!$B$2))-M340*AVERAGEIFS($J$2:$J$1001,$B$2:$B$1001,B340,$A$2:$A$1001,"&lt;"&amp;A340,$A$2:$A$1001,"&gt;="&amp;(A340-설정!$B$2))^2)/(M340-1))),2))</f>
        <v/>
      </c>
      <c r="M340" s="18" t="str">
        <f aca="false">IF(J340="","",COUNTIFS($B$2:$B$1001,B340,$A$2:$A$1001,"&lt;"&amp;A340,$A$2:$A$1001,"&gt;="&amp;(A340-설정!$B$2),$J$2:$J$1001,"&gt;=0"))</f>
        <v/>
      </c>
      <c r="N340" s="18" t="str">
        <f aca="false">IF(K340="","",IF(L340=0,"",ROUND((J340-K340)/L340,2)))</f>
        <v/>
      </c>
      <c r="O340" s="19" t="str">
        <f aca="false">IF(J340="","",IF(MIN(F340,G340)&lt;=설정!$B$5,"예",""))</f>
        <v/>
      </c>
      <c r="P340" s="19" t="str">
        <f aca="false">IF(J340="","",IF(M340&lt;설정!$B$3,"baseline 수집 중",IF(N340="","정상",IF(N340&lt;=설정!$B$4,"낮음","정상"))))</f>
        <v/>
      </c>
      <c r="Q340" s="20"/>
      <c r="R340" s="18" t="str">
        <f aca="false">IF(J340="","",J340^2)</f>
        <v/>
      </c>
    </row>
    <row r="341" customFormat="false" ht="15" hidden="false" customHeight="false" outlineLevel="0" collapsed="false">
      <c r="A341" s="16"/>
      <c r="B341" s="17"/>
      <c r="C341" s="17"/>
      <c r="D341" s="17"/>
      <c r="E341" s="17"/>
      <c r="F341" s="17"/>
      <c r="G341" s="17"/>
      <c r="H341" s="17"/>
      <c r="I341" s="17"/>
      <c r="J341" s="18" t="str">
        <f aca="false">IF(COUNT(E341:I341)&lt;5,"",SUM(E341:I341))</f>
        <v/>
      </c>
      <c r="K341" s="18" t="str">
        <f aca="false">IF(J341="","",IF(M341&lt;설정!$B$3,"",ROUND(AVERAGEIFS($J$2:$J$1001,$B$2:$B$1001,B341,$A$2:$A$1001,"&lt;"&amp;A341,$A$2:$A$1001,"&gt;="&amp;(A341-설정!$B$2)),2)))</f>
        <v/>
      </c>
      <c r="L341" s="18" t="str">
        <f aca="false">IF(K341="","",ROUND(SQRT(MAX(0,(SUMIFS($R$2:$R$1001,$B$2:$B$1001,B341,$A$2:$A$1001,"&lt;"&amp;A341,$A$2:$A$1001,"&gt;="&amp;(A341-설정!$B$2))-M341*AVERAGEIFS($J$2:$J$1001,$B$2:$B$1001,B341,$A$2:$A$1001,"&lt;"&amp;A341,$A$2:$A$1001,"&gt;="&amp;(A341-설정!$B$2))^2)/(M341-1))),2))</f>
        <v/>
      </c>
      <c r="M341" s="18" t="str">
        <f aca="false">IF(J341="","",COUNTIFS($B$2:$B$1001,B341,$A$2:$A$1001,"&lt;"&amp;A341,$A$2:$A$1001,"&gt;="&amp;(A341-설정!$B$2),$J$2:$J$1001,"&gt;=0"))</f>
        <v/>
      </c>
      <c r="N341" s="18" t="str">
        <f aca="false">IF(K341="","",IF(L341=0,"",ROUND((J341-K341)/L341,2)))</f>
        <v/>
      </c>
      <c r="O341" s="19" t="str">
        <f aca="false">IF(J341="","",IF(MIN(F341,G341)&lt;=설정!$B$5,"예",""))</f>
        <v/>
      </c>
      <c r="P341" s="19" t="str">
        <f aca="false">IF(J341="","",IF(M341&lt;설정!$B$3,"baseline 수집 중",IF(N341="","정상",IF(N341&lt;=설정!$B$4,"낮음","정상"))))</f>
        <v/>
      </c>
      <c r="Q341" s="20"/>
      <c r="R341" s="18" t="str">
        <f aca="false">IF(J341="","",J341^2)</f>
        <v/>
      </c>
    </row>
    <row r="342" customFormat="false" ht="15" hidden="false" customHeight="false" outlineLevel="0" collapsed="false">
      <c r="A342" s="16"/>
      <c r="B342" s="17"/>
      <c r="C342" s="17"/>
      <c r="D342" s="17"/>
      <c r="E342" s="17"/>
      <c r="F342" s="17"/>
      <c r="G342" s="17"/>
      <c r="H342" s="17"/>
      <c r="I342" s="17"/>
      <c r="J342" s="18" t="str">
        <f aca="false">IF(COUNT(E342:I342)&lt;5,"",SUM(E342:I342))</f>
        <v/>
      </c>
      <c r="K342" s="18" t="str">
        <f aca="false">IF(J342="","",IF(M342&lt;설정!$B$3,"",ROUND(AVERAGEIFS($J$2:$J$1001,$B$2:$B$1001,B342,$A$2:$A$1001,"&lt;"&amp;A342,$A$2:$A$1001,"&gt;="&amp;(A342-설정!$B$2)),2)))</f>
        <v/>
      </c>
      <c r="L342" s="18" t="str">
        <f aca="false">IF(K342="","",ROUND(SQRT(MAX(0,(SUMIFS($R$2:$R$1001,$B$2:$B$1001,B342,$A$2:$A$1001,"&lt;"&amp;A342,$A$2:$A$1001,"&gt;="&amp;(A342-설정!$B$2))-M342*AVERAGEIFS($J$2:$J$1001,$B$2:$B$1001,B342,$A$2:$A$1001,"&lt;"&amp;A342,$A$2:$A$1001,"&gt;="&amp;(A342-설정!$B$2))^2)/(M342-1))),2))</f>
        <v/>
      </c>
      <c r="M342" s="18" t="str">
        <f aca="false">IF(J342="","",COUNTIFS($B$2:$B$1001,B342,$A$2:$A$1001,"&lt;"&amp;A342,$A$2:$A$1001,"&gt;="&amp;(A342-설정!$B$2),$J$2:$J$1001,"&gt;=0"))</f>
        <v/>
      </c>
      <c r="N342" s="18" t="str">
        <f aca="false">IF(K342="","",IF(L342=0,"",ROUND((J342-K342)/L342,2)))</f>
        <v/>
      </c>
      <c r="O342" s="19" t="str">
        <f aca="false">IF(J342="","",IF(MIN(F342,G342)&lt;=설정!$B$5,"예",""))</f>
        <v/>
      </c>
      <c r="P342" s="19" t="str">
        <f aca="false">IF(J342="","",IF(M342&lt;설정!$B$3,"baseline 수집 중",IF(N342="","정상",IF(N342&lt;=설정!$B$4,"낮음","정상"))))</f>
        <v/>
      </c>
      <c r="Q342" s="20"/>
      <c r="R342" s="18" t="str">
        <f aca="false">IF(J342="","",J342^2)</f>
        <v/>
      </c>
    </row>
    <row r="343" customFormat="false" ht="15" hidden="false" customHeight="false" outlineLevel="0" collapsed="false">
      <c r="A343" s="16"/>
      <c r="B343" s="17"/>
      <c r="C343" s="17"/>
      <c r="D343" s="17"/>
      <c r="E343" s="17"/>
      <c r="F343" s="17"/>
      <c r="G343" s="17"/>
      <c r="H343" s="17"/>
      <c r="I343" s="17"/>
      <c r="J343" s="18" t="str">
        <f aca="false">IF(COUNT(E343:I343)&lt;5,"",SUM(E343:I343))</f>
        <v/>
      </c>
      <c r="K343" s="18" t="str">
        <f aca="false">IF(J343="","",IF(M343&lt;설정!$B$3,"",ROUND(AVERAGEIFS($J$2:$J$1001,$B$2:$B$1001,B343,$A$2:$A$1001,"&lt;"&amp;A343,$A$2:$A$1001,"&gt;="&amp;(A343-설정!$B$2)),2)))</f>
        <v/>
      </c>
      <c r="L343" s="18" t="str">
        <f aca="false">IF(K343="","",ROUND(SQRT(MAX(0,(SUMIFS($R$2:$R$1001,$B$2:$B$1001,B343,$A$2:$A$1001,"&lt;"&amp;A343,$A$2:$A$1001,"&gt;="&amp;(A343-설정!$B$2))-M343*AVERAGEIFS($J$2:$J$1001,$B$2:$B$1001,B343,$A$2:$A$1001,"&lt;"&amp;A343,$A$2:$A$1001,"&gt;="&amp;(A343-설정!$B$2))^2)/(M343-1))),2))</f>
        <v/>
      </c>
      <c r="M343" s="18" t="str">
        <f aca="false">IF(J343="","",COUNTIFS($B$2:$B$1001,B343,$A$2:$A$1001,"&lt;"&amp;A343,$A$2:$A$1001,"&gt;="&amp;(A343-설정!$B$2),$J$2:$J$1001,"&gt;=0"))</f>
        <v/>
      </c>
      <c r="N343" s="18" t="str">
        <f aca="false">IF(K343="","",IF(L343=0,"",ROUND((J343-K343)/L343,2)))</f>
        <v/>
      </c>
      <c r="O343" s="19" t="str">
        <f aca="false">IF(J343="","",IF(MIN(F343,G343)&lt;=설정!$B$5,"예",""))</f>
        <v/>
      </c>
      <c r="P343" s="19" t="str">
        <f aca="false">IF(J343="","",IF(M343&lt;설정!$B$3,"baseline 수집 중",IF(N343="","정상",IF(N343&lt;=설정!$B$4,"낮음","정상"))))</f>
        <v/>
      </c>
      <c r="Q343" s="20"/>
      <c r="R343" s="18" t="str">
        <f aca="false">IF(J343="","",J343^2)</f>
        <v/>
      </c>
    </row>
    <row r="344" customFormat="false" ht="15" hidden="false" customHeight="false" outlineLevel="0" collapsed="false">
      <c r="A344" s="16"/>
      <c r="B344" s="17"/>
      <c r="C344" s="17"/>
      <c r="D344" s="17"/>
      <c r="E344" s="17"/>
      <c r="F344" s="17"/>
      <c r="G344" s="17"/>
      <c r="H344" s="17"/>
      <c r="I344" s="17"/>
      <c r="J344" s="18" t="str">
        <f aca="false">IF(COUNT(E344:I344)&lt;5,"",SUM(E344:I344))</f>
        <v/>
      </c>
      <c r="K344" s="18" t="str">
        <f aca="false">IF(J344="","",IF(M344&lt;설정!$B$3,"",ROUND(AVERAGEIFS($J$2:$J$1001,$B$2:$B$1001,B344,$A$2:$A$1001,"&lt;"&amp;A344,$A$2:$A$1001,"&gt;="&amp;(A344-설정!$B$2)),2)))</f>
        <v/>
      </c>
      <c r="L344" s="18" t="str">
        <f aca="false">IF(K344="","",ROUND(SQRT(MAX(0,(SUMIFS($R$2:$R$1001,$B$2:$B$1001,B344,$A$2:$A$1001,"&lt;"&amp;A344,$A$2:$A$1001,"&gt;="&amp;(A344-설정!$B$2))-M344*AVERAGEIFS($J$2:$J$1001,$B$2:$B$1001,B344,$A$2:$A$1001,"&lt;"&amp;A344,$A$2:$A$1001,"&gt;="&amp;(A344-설정!$B$2))^2)/(M344-1))),2))</f>
        <v/>
      </c>
      <c r="M344" s="18" t="str">
        <f aca="false">IF(J344="","",COUNTIFS($B$2:$B$1001,B344,$A$2:$A$1001,"&lt;"&amp;A344,$A$2:$A$1001,"&gt;="&amp;(A344-설정!$B$2),$J$2:$J$1001,"&gt;=0"))</f>
        <v/>
      </c>
      <c r="N344" s="18" t="str">
        <f aca="false">IF(K344="","",IF(L344=0,"",ROUND((J344-K344)/L344,2)))</f>
        <v/>
      </c>
      <c r="O344" s="19" t="str">
        <f aca="false">IF(J344="","",IF(MIN(F344,G344)&lt;=설정!$B$5,"예",""))</f>
        <v/>
      </c>
      <c r="P344" s="19" t="str">
        <f aca="false">IF(J344="","",IF(M344&lt;설정!$B$3,"baseline 수집 중",IF(N344="","정상",IF(N344&lt;=설정!$B$4,"낮음","정상"))))</f>
        <v/>
      </c>
      <c r="Q344" s="20"/>
      <c r="R344" s="18" t="str">
        <f aca="false">IF(J344="","",J344^2)</f>
        <v/>
      </c>
    </row>
    <row r="345" customFormat="false" ht="15" hidden="false" customHeight="false" outlineLevel="0" collapsed="false">
      <c r="A345" s="16"/>
      <c r="B345" s="17"/>
      <c r="C345" s="17"/>
      <c r="D345" s="17"/>
      <c r="E345" s="17"/>
      <c r="F345" s="17"/>
      <c r="G345" s="17"/>
      <c r="H345" s="17"/>
      <c r="I345" s="17"/>
      <c r="J345" s="18" t="str">
        <f aca="false">IF(COUNT(E345:I345)&lt;5,"",SUM(E345:I345))</f>
        <v/>
      </c>
      <c r="K345" s="18" t="str">
        <f aca="false">IF(J345="","",IF(M345&lt;설정!$B$3,"",ROUND(AVERAGEIFS($J$2:$J$1001,$B$2:$B$1001,B345,$A$2:$A$1001,"&lt;"&amp;A345,$A$2:$A$1001,"&gt;="&amp;(A345-설정!$B$2)),2)))</f>
        <v/>
      </c>
      <c r="L345" s="18" t="str">
        <f aca="false">IF(K345="","",ROUND(SQRT(MAX(0,(SUMIFS($R$2:$R$1001,$B$2:$B$1001,B345,$A$2:$A$1001,"&lt;"&amp;A345,$A$2:$A$1001,"&gt;="&amp;(A345-설정!$B$2))-M345*AVERAGEIFS($J$2:$J$1001,$B$2:$B$1001,B345,$A$2:$A$1001,"&lt;"&amp;A345,$A$2:$A$1001,"&gt;="&amp;(A345-설정!$B$2))^2)/(M345-1))),2))</f>
        <v/>
      </c>
      <c r="M345" s="18" t="str">
        <f aca="false">IF(J345="","",COUNTIFS($B$2:$B$1001,B345,$A$2:$A$1001,"&lt;"&amp;A345,$A$2:$A$1001,"&gt;="&amp;(A345-설정!$B$2),$J$2:$J$1001,"&gt;=0"))</f>
        <v/>
      </c>
      <c r="N345" s="18" t="str">
        <f aca="false">IF(K345="","",IF(L345=0,"",ROUND((J345-K345)/L345,2)))</f>
        <v/>
      </c>
      <c r="O345" s="19" t="str">
        <f aca="false">IF(J345="","",IF(MIN(F345,G345)&lt;=설정!$B$5,"예",""))</f>
        <v/>
      </c>
      <c r="P345" s="19" t="str">
        <f aca="false">IF(J345="","",IF(M345&lt;설정!$B$3,"baseline 수집 중",IF(N345="","정상",IF(N345&lt;=설정!$B$4,"낮음","정상"))))</f>
        <v/>
      </c>
      <c r="Q345" s="20"/>
      <c r="R345" s="18" t="str">
        <f aca="false">IF(J345="","",J345^2)</f>
        <v/>
      </c>
    </row>
    <row r="346" customFormat="false" ht="15" hidden="false" customHeight="false" outlineLevel="0" collapsed="false">
      <c r="A346" s="16"/>
      <c r="B346" s="17"/>
      <c r="C346" s="17"/>
      <c r="D346" s="17"/>
      <c r="E346" s="17"/>
      <c r="F346" s="17"/>
      <c r="G346" s="17"/>
      <c r="H346" s="17"/>
      <c r="I346" s="17"/>
      <c r="J346" s="18" t="str">
        <f aca="false">IF(COUNT(E346:I346)&lt;5,"",SUM(E346:I346))</f>
        <v/>
      </c>
      <c r="K346" s="18" t="str">
        <f aca="false">IF(J346="","",IF(M346&lt;설정!$B$3,"",ROUND(AVERAGEIFS($J$2:$J$1001,$B$2:$B$1001,B346,$A$2:$A$1001,"&lt;"&amp;A346,$A$2:$A$1001,"&gt;="&amp;(A346-설정!$B$2)),2)))</f>
        <v/>
      </c>
      <c r="L346" s="18" t="str">
        <f aca="false">IF(K346="","",ROUND(SQRT(MAX(0,(SUMIFS($R$2:$R$1001,$B$2:$B$1001,B346,$A$2:$A$1001,"&lt;"&amp;A346,$A$2:$A$1001,"&gt;="&amp;(A346-설정!$B$2))-M346*AVERAGEIFS($J$2:$J$1001,$B$2:$B$1001,B346,$A$2:$A$1001,"&lt;"&amp;A346,$A$2:$A$1001,"&gt;="&amp;(A346-설정!$B$2))^2)/(M346-1))),2))</f>
        <v/>
      </c>
      <c r="M346" s="18" t="str">
        <f aca="false">IF(J346="","",COUNTIFS($B$2:$B$1001,B346,$A$2:$A$1001,"&lt;"&amp;A346,$A$2:$A$1001,"&gt;="&amp;(A346-설정!$B$2),$J$2:$J$1001,"&gt;=0"))</f>
        <v/>
      </c>
      <c r="N346" s="18" t="str">
        <f aca="false">IF(K346="","",IF(L346=0,"",ROUND((J346-K346)/L346,2)))</f>
        <v/>
      </c>
      <c r="O346" s="19" t="str">
        <f aca="false">IF(J346="","",IF(MIN(F346,G346)&lt;=설정!$B$5,"예",""))</f>
        <v/>
      </c>
      <c r="P346" s="19" t="str">
        <f aca="false">IF(J346="","",IF(M346&lt;설정!$B$3,"baseline 수집 중",IF(N346="","정상",IF(N346&lt;=설정!$B$4,"낮음","정상"))))</f>
        <v/>
      </c>
      <c r="Q346" s="20"/>
      <c r="R346" s="18" t="str">
        <f aca="false">IF(J346="","",J346^2)</f>
        <v/>
      </c>
    </row>
    <row r="347" customFormat="false" ht="15" hidden="false" customHeight="false" outlineLevel="0" collapsed="false">
      <c r="A347" s="16"/>
      <c r="B347" s="17"/>
      <c r="C347" s="17"/>
      <c r="D347" s="17"/>
      <c r="E347" s="17"/>
      <c r="F347" s="17"/>
      <c r="G347" s="17"/>
      <c r="H347" s="17"/>
      <c r="I347" s="17"/>
      <c r="J347" s="18" t="str">
        <f aca="false">IF(COUNT(E347:I347)&lt;5,"",SUM(E347:I347))</f>
        <v/>
      </c>
      <c r="K347" s="18" t="str">
        <f aca="false">IF(J347="","",IF(M347&lt;설정!$B$3,"",ROUND(AVERAGEIFS($J$2:$J$1001,$B$2:$B$1001,B347,$A$2:$A$1001,"&lt;"&amp;A347,$A$2:$A$1001,"&gt;="&amp;(A347-설정!$B$2)),2)))</f>
        <v/>
      </c>
      <c r="L347" s="18" t="str">
        <f aca="false">IF(K347="","",ROUND(SQRT(MAX(0,(SUMIFS($R$2:$R$1001,$B$2:$B$1001,B347,$A$2:$A$1001,"&lt;"&amp;A347,$A$2:$A$1001,"&gt;="&amp;(A347-설정!$B$2))-M347*AVERAGEIFS($J$2:$J$1001,$B$2:$B$1001,B347,$A$2:$A$1001,"&lt;"&amp;A347,$A$2:$A$1001,"&gt;="&amp;(A347-설정!$B$2))^2)/(M347-1))),2))</f>
        <v/>
      </c>
      <c r="M347" s="18" t="str">
        <f aca="false">IF(J347="","",COUNTIFS($B$2:$B$1001,B347,$A$2:$A$1001,"&lt;"&amp;A347,$A$2:$A$1001,"&gt;="&amp;(A347-설정!$B$2),$J$2:$J$1001,"&gt;=0"))</f>
        <v/>
      </c>
      <c r="N347" s="18" t="str">
        <f aca="false">IF(K347="","",IF(L347=0,"",ROUND((J347-K347)/L347,2)))</f>
        <v/>
      </c>
      <c r="O347" s="19" t="str">
        <f aca="false">IF(J347="","",IF(MIN(F347,G347)&lt;=설정!$B$5,"예",""))</f>
        <v/>
      </c>
      <c r="P347" s="19" t="str">
        <f aca="false">IF(J347="","",IF(M347&lt;설정!$B$3,"baseline 수집 중",IF(N347="","정상",IF(N347&lt;=설정!$B$4,"낮음","정상"))))</f>
        <v/>
      </c>
      <c r="Q347" s="20"/>
      <c r="R347" s="18" t="str">
        <f aca="false">IF(J347="","",J347^2)</f>
        <v/>
      </c>
    </row>
    <row r="348" customFormat="false" ht="15" hidden="false" customHeight="false" outlineLevel="0" collapsed="false">
      <c r="A348" s="16"/>
      <c r="B348" s="17"/>
      <c r="C348" s="17"/>
      <c r="D348" s="17"/>
      <c r="E348" s="17"/>
      <c r="F348" s="17"/>
      <c r="G348" s="17"/>
      <c r="H348" s="17"/>
      <c r="I348" s="17"/>
      <c r="J348" s="18" t="str">
        <f aca="false">IF(COUNT(E348:I348)&lt;5,"",SUM(E348:I348))</f>
        <v/>
      </c>
      <c r="K348" s="18" t="str">
        <f aca="false">IF(J348="","",IF(M348&lt;설정!$B$3,"",ROUND(AVERAGEIFS($J$2:$J$1001,$B$2:$B$1001,B348,$A$2:$A$1001,"&lt;"&amp;A348,$A$2:$A$1001,"&gt;="&amp;(A348-설정!$B$2)),2)))</f>
        <v/>
      </c>
      <c r="L348" s="18" t="str">
        <f aca="false">IF(K348="","",ROUND(SQRT(MAX(0,(SUMIFS($R$2:$R$1001,$B$2:$B$1001,B348,$A$2:$A$1001,"&lt;"&amp;A348,$A$2:$A$1001,"&gt;="&amp;(A348-설정!$B$2))-M348*AVERAGEIFS($J$2:$J$1001,$B$2:$B$1001,B348,$A$2:$A$1001,"&lt;"&amp;A348,$A$2:$A$1001,"&gt;="&amp;(A348-설정!$B$2))^2)/(M348-1))),2))</f>
        <v/>
      </c>
      <c r="M348" s="18" t="str">
        <f aca="false">IF(J348="","",COUNTIFS($B$2:$B$1001,B348,$A$2:$A$1001,"&lt;"&amp;A348,$A$2:$A$1001,"&gt;="&amp;(A348-설정!$B$2),$J$2:$J$1001,"&gt;=0"))</f>
        <v/>
      </c>
      <c r="N348" s="18" t="str">
        <f aca="false">IF(K348="","",IF(L348=0,"",ROUND((J348-K348)/L348,2)))</f>
        <v/>
      </c>
      <c r="O348" s="19" t="str">
        <f aca="false">IF(J348="","",IF(MIN(F348,G348)&lt;=설정!$B$5,"예",""))</f>
        <v/>
      </c>
      <c r="P348" s="19" t="str">
        <f aca="false">IF(J348="","",IF(M348&lt;설정!$B$3,"baseline 수집 중",IF(N348="","정상",IF(N348&lt;=설정!$B$4,"낮음","정상"))))</f>
        <v/>
      </c>
      <c r="Q348" s="20"/>
      <c r="R348" s="18" t="str">
        <f aca="false">IF(J348="","",J348^2)</f>
        <v/>
      </c>
    </row>
    <row r="349" customFormat="false" ht="15" hidden="false" customHeight="false" outlineLevel="0" collapsed="false">
      <c r="A349" s="16"/>
      <c r="B349" s="17"/>
      <c r="C349" s="17"/>
      <c r="D349" s="17"/>
      <c r="E349" s="17"/>
      <c r="F349" s="17"/>
      <c r="G349" s="17"/>
      <c r="H349" s="17"/>
      <c r="I349" s="17"/>
      <c r="J349" s="18" t="str">
        <f aca="false">IF(COUNT(E349:I349)&lt;5,"",SUM(E349:I349))</f>
        <v/>
      </c>
      <c r="K349" s="18" t="str">
        <f aca="false">IF(J349="","",IF(M349&lt;설정!$B$3,"",ROUND(AVERAGEIFS($J$2:$J$1001,$B$2:$B$1001,B349,$A$2:$A$1001,"&lt;"&amp;A349,$A$2:$A$1001,"&gt;="&amp;(A349-설정!$B$2)),2)))</f>
        <v/>
      </c>
      <c r="L349" s="18" t="str">
        <f aca="false">IF(K349="","",ROUND(SQRT(MAX(0,(SUMIFS($R$2:$R$1001,$B$2:$B$1001,B349,$A$2:$A$1001,"&lt;"&amp;A349,$A$2:$A$1001,"&gt;="&amp;(A349-설정!$B$2))-M349*AVERAGEIFS($J$2:$J$1001,$B$2:$B$1001,B349,$A$2:$A$1001,"&lt;"&amp;A349,$A$2:$A$1001,"&gt;="&amp;(A349-설정!$B$2))^2)/(M349-1))),2))</f>
        <v/>
      </c>
      <c r="M349" s="18" t="str">
        <f aca="false">IF(J349="","",COUNTIFS($B$2:$B$1001,B349,$A$2:$A$1001,"&lt;"&amp;A349,$A$2:$A$1001,"&gt;="&amp;(A349-설정!$B$2),$J$2:$J$1001,"&gt;=0"))</f>
        <v/>
      </c>
      <c r="N349" s="18" t="str">
        <f aca="false">IF(K349="","",IF(L349=0,"",ROUND((J349-K349)/L349,2)))</f>
        <v/>
      </c>
      <c r="O349" s="19" t="str">
        <f aca="false">IF(J349="","",IF(MIN(F349,G349)&lt;=설정!$B$5,"예",""))</f>
        <v/>
      </c>
      <c r="P349" s="19" t="str">
        <f aca="false">IF(J349="","",IF(M349&lt;설정!$B$3,"baseline 수집 중",IF(N349="","정상",IF(N349&lt;=설정!$B$4,"낮음","정상"))))</f>
        <v/>
      </c>
      <c r="Q349" s="20"/>
      <c r="R349" s="18" t="str">
        <f aca="false">IF(J349="","",J349^2)</f>
        <v/>
      </c>
    </row>
    <row r="350" customFormat="false" ht="15" hidden="false" customHeight="false" outlineLevel="0" collapsed="false">
      <c r="A350" s="16"/>
      <c r="B350" s="17"/>
      <c r="C350" s="17"/>
      <c r="D350" s="17"/>
      <c r="E350" s="17"/>
      <c r="F350" s="17"/>
      <c r="G350" s="17"/>
      <c r="H350" s="17"/>
      <c r="I350" s="17"/>
      <c r="J350" s="18" t="str">
        <f aca="false">IF(COUNT(E350:I350)&lt;5,"",SUM(E350:I350))</f>
        <v/>
      </c>
      <c r="K350" s="18" t="str">
        <f aca="false">IF(J350="","",IF(M350&lt;설정!$B$3,"",ROUND(AVERAGEIFS($J$2:$J$1001,$B$2:$B$1001,B350,$A$2:$A$1001,"&lt;"&amp;A350,$A$2:$A$1001,"&gt;="&amp;(A350-설정!$B$2)),2)))</f>
        <v/>
      </c>
      <c r="L350" s="18" t="str">
        <f aca="false">IF(K350="","",ROUND(SQRT(MAX(0,(SUMIFS($R$2:$R$1001,$B$2:$B$1001,B350,$A$2:$A$1001,"&lt;"&amp;A350,$A$2:$A$1001,"&gt;="&amp;(A350-설정!$B$2))-M350*AVERAGEIFS($J$2:$J$1001,$B$2:$B$1001,B350,$A$2:$A$1001,"&lt;"&amp;A350,$A$2:$A$1001,"&gt;="&amp;(A350-설정!$B$2))^2)/(M350-1))),2))</f>
        <v/>
      </c>
      <c r="M350" s="18" t="str">
        <f aca="false">IF(J350="","",COUNTIFS($B$2:$B$1001,B350,$A$2:$A$1001,"&lt;"&amp;A350,$A$2:$A$1001,"&gt;="&amp;(A350-설정!$B$2),$J$2:$J$1001,"&gt;=0"))</f>
        <v/>
      </c>
      <c r="N350" s="18" t="str">
        <f aca="false">IF(K350="","",IF(L350=0,"",ROUND((J350-K350)/L350,2)))</f>
        <v/>
      </c>
      <c r="O350" s="19" t="str">
        <f aca="false">IF(J350="","",IF(MIN(F350,G350)&lt;=설정!$B$5,"예",""))</f>
        <v/>
      </c>
      <c r="P350" s="19" t="str">
        <f aca="false">IF(J350="","",IF(M350&lt;설정!$B$3,"baseline 수집 중",IF(N350="","정상",IF(N350&lt;=설정!$B$4,"낮음","정상"))))</f>
        <v/>
      </c>
      <c r="Q350" s="20"/>
      <c r="R350" s="18" t="str">
        <f aca="false">IF(J350="","",J350^2)</f>
        <v/>
      </c>
    </row>
    <row r="351" customFormat="false" ht="15" hidden="false" customHeight="false" outlineLevel="0" collapsed="false">
      <c r="A351" s="16"/>
      <c r="B351" s="17"/>
      <c r="C351" s="17"/>
      <c r="D351" s="17"/>
      <c r="E351" s="17"/>
      <c r="F351" s="17"/>
      <c r="G351" s="17"/>
      <c r="H351" s="17"/>
      <c r="I351" s="17"/>
      <c r="J351" s="18" t="str">
        <f aca="false">IF(COUNT(E351:I351)&lt;5,"",SUM(E351:I351))</f>
        <v/>
      </c>
      <c r="K351" s="18" t="str">
        <f aca="false">IF(J351="","",IF(M351&lt;설정!$B$3,"",ROUND(AVERAGEIFS($J$2:$J$1001,$B$2:$B$1001,B351,$A$2:$A$1001,"&lt;"&amp;A351,$A$2:$A$1001,"&gt;="&amp;(A351-설정!$B$2)),2)))</f>
        <v/>
      </c>
      <c r="L351" s="18" t="str">
        <f aca="false">IF(K351="","",ROUND(SQRT(MAX(0,(SUMIFS($R$2:$R$1001,$B$2:$B$1001,B351,$A$2:$A$1001,"&lt;"&amp;A351,$A$2:$A$1001,"&gt;="&amp;(A351-설정!$B$2))-M351*AVERAGEIFS($J$2:$J$1001,$B$2:$B$1001,B351,$A$2:$A$1001,"&lt;"&amp;A351,$A$2:$A$1001,"&gt;="&amp;(A351-설정!$B$2))^2)/(M351-1))),2))</f>
        <v/>
      </c>
      <c r="M351" s="18" t="str">
        <f aca="false">IF(J351="","",COUNTIFS($B$2:$B$1001,B351,$A$2:$A$1001,"&lt;"&amp;A351,$A$2:$A$1001,"&gt;="&amp;(A351-설정!$B$2),$J$2:$J$1001,"&gt;=0"))</f>
        <v/>
      </c>
      <c r="N351" s="18" t="str">
        <f aca="false">IF(K351="","",IF(L351=0,"",ROUND((J351-K351)/L351,2)))</f>
        <v/>
      </c>
      <c r="O351" s="19" t="str">
        <f aca="false">IF(J351="","",IF(MIN(F351,G351)&lt;=설정!$B$5,"예",""))</f>
        <v/>
      </c>
      <c r="P351" s="19" t="str">
        <f aca="false">IF(J351="","",IF(M351&lt;설정!$B$3,"baseline 수집 중",IF(N351="","정상",IF(N351&lt;=설정!$B$4,"낮음","정상"))))</f>
        <v/>
      </c>
      <c r="Q351" s="20"/>
      <c r="R351" s="18" t="str">
        <f aca="false">IF(J351="","",J351^2)</f>
        <v/>
      </c>
    </row>
    <row r="352" customFormat="false" ht="15" hidden="false" customHeight="false" outlineLevel="0" collapsed="false">
      <c r="A352" s="16"/>
      <c r="B352" s="17"/>
      <c r="C352" s="17"/>
      <c r="D352" s="17"/>
      <c r="E352" s="17"/>
      <c r="F352" s="17"/>
      <c r="G352" s="17"/>
      <c r="H352" s="17"/>
      <c r="I352" s="17"/>
      <c r="J352" s="18" t="str">
        <f aca="false">IF(COUNT(E352:I352)&lt;5,"",SUM(E352:I352))</f>
        <v/>
      </c>
      <c r="K352" s="18" t="str">
        <f aca="false">IF(J352="","",IF(M352&lt;설정!$B$3,"",ROUND(AVERAGEIFS($J$2:$J$1001,$B$2:$B$1001,B352,$A$2:$A$1001,"&lt;"&amp;A352,$A$2:$A$1001,"&gt;="&amp;(A352-설정!$B$2)),2)))</f>
        <v/>
      </c>
      <c r="L352" s="18" t="str">
        <f aca="false">IF(K352="","",ROUND(SQRT(MAX(0,(SUMIFS($R$2:$R$1001,$B$2:$B$1001,B352,$A$2:$A$1001,"&lt;"&amp;A352,$A$2:$A$1001,"&gt;="&amp;(A352-설정!$B$2))-M352*AVERAGEIFS($J$2:$J$1001,$B$2:$B$1001,B352,$A$2:$A$1001,"&lt;"&amp;A352,$A$2:$A$1001,"&gt;="&amp;(A352-설정!$B$2))^2)/(M352-1))),2))</f>
        <v/>
      </c>
      <c r="M352" s="18" t="str">
        <f aca="false">IF(J352="","",COUNTIFS($B$2:$B$1001,B352,$A$2:$A$1001,"&lt;"&amp;A352,$A$2:$A$1001,"&gt;="&amp;(A352-설정!$B$2),$J$2:$J$1001,"&gt;=0"))</f>
        <v/>
      </c>
      <c r="N352" s="18" t="str">
        <f aca="false">IF(K352="","",IF(L352=0,"",ROUND((J352-K352)/L352,2)))</f>
        <v/>
      </c>
      <c r="O352" s="19" t="str">
        <f aca="false">IF(J352="","",IF(MIN(F352,G352)&lt;=설정!$B$5,"예",""))</f>
        <v/>
      </c>
      <c r="P352" s="19" t="str">
        <f aca="false">IF(J352="","",IF(M352&lt;설정!$B$3,"baseline 수집 중",IF(N352="","정상",IF(N352&lt;=설정!$B$4,"낮음","정상"))))</f>
        <v/>
      </c>
      <c r="Q352" s="20"/>
      <c r="R352" s="18" t="str">
        <f aca="false">IF(J352="","",J352^2)</f>
        <v/>
      </c>
    </row>
    <row r="353" customFormat="false" ht="15" hidden="false" customHeight="false" outlineLevel="0" collapsed="false">
      <c r="A353" s="16"/>
      <c r="B353" s="17"/>
      <c r="C353" s="17"/>
      <c r="D353" s="17"/>
      <c r="E353" s="17"/>
      <c r="F353" s="17"/>
      <c r="G353" s="17"/>
      <c r="H353" s="17"/>
      <c r="I353" s="17"/>
      <c r="J353" s="18" t="str">
        <f aca="false">IF(COUNT(E353:I353)&lt;5,"",SUM(E353:I353))</f>
        <v/>
      </c>
      <c r="K353" s="18" t="str">
        <f aca="false">IF(J353="","",IF(M353&lt;설정!$B$3,"",ROUND(AVERAGEIFS($J$2:$J$1001,$B$2:$B$1001,B353,$A$2:$A$1001,"&lt;"&amp;A353,$A$2:$A$1001,"&gt;="&amp;(A353-설정!$B$2)),2)))</f>
        <v/>
      </c>
      <c r="L353" s="18" t="str">
        <f aca="false">IF(K353="","",ROUND(SQRT(MAX(0,(SUMIFS($R$2:$R$1001,$B$2:$B$1001,B353,$A$2:$A$1001,"&lt;"&amp;A353,$A$2:$A$1001,"&gt;="&amp;(A353-설정!$B$2))-M353*AVERAGEIFS($J$2:$J$1001,$B$2:$B$1001,B353,$A$2:$A$1001,"&lt;"&amp;A353,$A$2:$A$1001,"&gt;="&amp;(A353-설정!$B$2))^2)/(M353-1))),2))</f>
        <v/>
      </c>
      <c r="M353" s="18" t="str">
        <f aca="false">IF(J353="","",COUNTIFS($B$2:$B$1001,B353,$A$2:$A$1001,"&lt;"&amp;A353,$A$2:$A$1001,"&gt;="&amp;(A353-설정!$B$2),$J$2:$J$1001,"&gt;=0"))</f>
        <v/>
      </c>
      <c r="N353" s="18" t="str">
        <f aca="false">IF(K353="","",IF(L353=0,"",ROUND((J353-K353)/L353,2)))</f>
        <v/>
      </c>
      <c r="O353" s="19" t="str">
        <f aca="false">IF(J353="","",IF(MIN(F353,G353)&lt;=설정!$B$5,"예",""))</f>
        <v/>
      </c>
      <c r="P353" s="19" t="str">
        <f aca="false">IF(J353="","",IF(M353&lt;설정!$B$3,"baseline 수집 중",IF(N353="","정상",IF(N353&lt;=설정!$B$4,"낮음","정상"))))</f>
        <v/>
      </c>
      <c r="Q353" s="20"/>
      <c r="R353" s="18" t="str">
        <f aca="false">IF(J353="","",J353^2)</f>
        <v/>
      </c>
    </row>
    <row r="354" customFormat="false" ht="15" hidden="false" customHeight="false" outlineLevel="0" collapsed="false">
      <c r="A354" s="16"/>
      <c r="B354" s="17"/>
      <c r="C354" s="17"/>
      <c r="D354" s="17"/>
      <c r="E354" s="17"/>
      <c r="F354" s="17"/>
      <c r="G354" s="17"/>
      <c r="H354" s="17"/>
      <c r="I354" s="17"/>
      <c r="J354" s="18" t="str">
        <f aca="false">IF(COUNT(E354:I354)&lt;5,"",SUM(E354:I354))</f>
        <v/>
      </c>
      <c r="K354" s="18" t="str">
        <f aca="false">IF(J354="","",IF(M354&lt;설정!$B$3,"",ROUND(AVERAGEIFS($J$2:$J$1001,$B$2:$B$1001,B354,$A$2:$A$1001,"&lt;"&amp;A354,$A$2:$A$1001,"&gt;="&amp;(A354-설정!$B$2)),2)))</f>
        <v/>
      </c>
      <c r="L354" s="18" t="str">
        <f aca="false">IF(K354="","",ROUND(SQRT(MAX(0,(SUMIFS($R$2:$R$1001,$B$2:$B$1001,B354,$A$2:$A$1001,"&lt;"&amp;A354,$A$2:$A$1001,"&gt;="&amp;(A354-설정!$B$2))-M354*AVERAGEIFS($J$2:$J$1001,$B$2:$B$1001,B354,$A$2:$A$1001,"&lt;"&amp;A354,$A$2:$A$1001,"&gt;="&amp;(A354-설정!$B$2))^2)/(M354-1))),2))</f>
        <v/>
      </c>
      <c r="M354" s="18" t="str">
        <f aca="false">IF(J354="","",COUNTIFS($B$2:$B$1001,B354,$A$2:$A$1001,"&lt;"&amp;A354,$A$2:$A$1001,"&gt;="&amp;(A354-설정!$B$2),$J$2:$J$1001,"&gt;=0"))</f>
        <v/>
      </c>
      <c r="N354" s="18" t="str">
        <f aca="false">IF(K354="","",IF(L354=0,"",ROUND((J354-K354)/L354,2)))</f>
        <v/>
      </c>
      <c r="O354" s="19" t="str">
        <f aca="false">IF(J354="","",IF(MIN(F354,G354)&lt;=설정!$B$5,"예",""))</f>
        <v/>
      </c>
      <c r="P354" s="19" t="str">
        <f aca="false">IF(J354="","",IF(M354&lt;설정!$B$3,"baseline 수집 중",IF(N354="","정상",IF(N354&lt;=설정!$B$4,"낮음","정상"))))</f>
        <v/>
      </c>
      <c r="Q354" s="20"/>
      <c r="R354" s="18" t="str">
        <f aca="false">IF(J354="","",J354^2)</f>
        <v/>
      </c>
    </row>
    <row r="355" customFormat="false" ht="15" hidden="false" customHeight="false" outlineLevel="0" collapsed="false">
      <c r="A355" s="16"/>
      <c r="B355" s="17"/>
      <c r="C355" s="17"/>
      <c r="D355" s="17"/>
      <c r="E355" s="17"/>
      <c r="F355" s="17"/>
      <c r="G355" s="17"/>
      <c r="H355" s="17"/>
      <c r="I355" s="17"/>
      <c r="J355" s="18" t="str">
        <f aca="false">IF(COUNT(E355:I355)&lt;5,"",SUM(E355:I355))</f>
        <v/>
      </c>
      <c r="K355" s="18" t="str">
        <f aca="false">IF(J355="","",IF(M355&lt;설정!$B$3,"",ROUND(AVERAGEIFS($J$2:$J$1001,$B$2:$B$1001,B355,$A$2:$A$1001,"&lt;"&amp;A355,$A$2:$A$1001,"&gt;="&amp;(A355-설정!$B$2)),2)))</f>
        <v/>
      </c>
      <c r="L355" s="18" t="str">
        <f aca="false">IF(K355="","",ROUND(SQRT(MAX(0,(SUMIFS($R$2:$R$1001,$B$2:$B$1001,B355,$A$2:$A$1001,"&lt;"&amp;A355,$A$2:$A$1001,"&gt;="&amp;(A355-설정!$B$2))-M355*AVERAGEIFS($J$2:$J$1001,$B$2:$B$1001,B355,$A$2:$A$1001,"&lt;"&amp;A355,$A$2:$A$1001,"&gt;="&amp;(A355-설정!$B$2))^2)/(M355-1))),2))</f>
        <v/>
      </c>
      <c r="M355" s="18" t="str">
        <f aca="false">IF(J355="","",COUNTIFS($B$2:$B$1001,B355,$A$2:$A$1001,"&lt;"&amp;A355,$A$2:$A$1001,"&gt;="&amp;(A355-설정!$B$2),$J$2:$J$1001,"&gt;=0"))</f>
        <v/>
      </c>
      <c r="N355" s="18" t="str">
        <f aca="false">IF(K355="","",IF(L355=0,"",ROUND((J355-K355)/L355,2)))</f>
        <v/>
      </c>
      <c r="O355" s="19" t="str">
        <f aca="false">IF(J355="","",IF(MIN(F355,G355)&lt;=설정!$B$5,"예",""))</f>
        <v/>
      </c>
      <c r="P355" s="19" t="str">
        <f aca="false">IF(J355="","",IF(M355&lt;설정!$B$3,"baseline 수집 중",IF(N355="","정상",IF(N355&lt;=설정!$B$4,"낮음","정상"))))</f>
        <v/>
      </c>
      <c r="Q355" s="20"/>
      <c r="R355" s="18" t="str">
        <f aca="false">IF(J355="","",J355^2)</f>
        <v/>
      </c>
    </row>
    <row r="356" customFormat="false" ht="15" hidden="false" customHeight="false" outlineLevel="0" collapsed="false">
      <c r="A356" s="16"/>
      <c r="B356" s="17"/>
      <c r="C356" s="17"/>
      <c r="D356" s="17"/>
      <c r="E356" s="17"/>
      <c r="F356" s="17"/>
      <c r="G356" s="17"/>
      <c r="H356" s="17"/>
      <c r="I356" s="17"/>
      <c r="J356" s="18" t="str">
        <f aca="false">IF(COUNT(E356:I356)&lt;5,"",SUM(E356:I356))</f>
        <v/>
      </c>
      <c r="K356" s="18" t="str">
        <f aca="false">IF(J356="","",IF(M356&lt;설정!$B$3,"",ROUND(AVERAGEIFS($J$2:$J$1001,$B$2:$B$1001,B356,$A$2:$A$1001,"&lt;"&amp;A356,$A$2:$A$1001,"&gt;="&amp;(A356-설정!$B$2)),2)))</f>
        <v/>
      </c>
      <c r="L356" s="18" t="str">
        <f aca="false">IF(K356="","",ROUND(SQRT(MAX(0,(SUMIFS($R$2:$R$1001,$B$2:$B$1001,B356,$A$2:$A$1001,"&lt;"&amp;A356,$A$2:$A$1001,"&gt;="&amp;(A356-설정!$B$2))-M356*AVERAGEIFS($J$2:$J$1001,$B$2:$B$1001,B356,$A$2:$A$1001,"&lt;"&amp;A356,$A$2:$A$1001,"&gt;="&amp;(A356-설정!$B$2))^2)/(M356-1))),2))</f>
        <v/>
      </c>
      <c r="M356" s="18" t="str">
        <f aca="false">IF(J356="","",COUNTIFS($B$2:$B$1001,B356,$A$2:$A$1001,"&lt;"&amp;A356,$A$2:$A$1001,"&gt;="&amp;(A356-설정!$B$2),$J$2:$J$1001,"&gt;=0"))</f>
        <v/>
      </c>
      <c r="N356" s="18" t="str">
        <f aca="false">IF(K356="","",IF(L356=0,"",ROUND((J356-K356)/L356,2)))</f>
        <v/>
      </c>
      <c r="O356" s="19" t="str">
        <f aca="false">IF(J356="","",IF(MIN(F356,G356)&lt;=설정!$B$5,"예",""))</f>
        <v/>
      </c>
      <c r="P356" s="19" t="str">
        <f aca="false">IF(J356="","",IF(M356&lt;설정!$B$3,"baseline 수집 중",IF(N356="","정상",IF(N356&lt;=설정!$B$4,"낮음","정상"))))</f>
        <v/>
      </c>
      <c r="Q356" s="20"/>
      <c r="R356" s="18" t="str">
        <f aca="false">IF(J356="","",J356^2)</f>
        <v/>
      </c>
    </row>
    <row r="357" customFormat="false" ht="15" hidden="false" customHeight="false" outlineLevel="0" collapsed="false">
      <c r="A357" s="16"/>
      <c r="B357" s="17"/>
      <c r="C357" s="17"/>
      <c r="D357" s="17"/>
      <c r="E357" s="17"/>
      <c r="F357" s="17"/>
      <c r="G357" s="17"/>
      <c r="H357" s="17"/>
      <c r="I357" s="17"/>
      <c r="J357" s="18" t="str">
        <f aca="false">IF(COUNT(E357:I357)&lt;5,"",SUM(E357:I357))</f>
        <v/>
      </c>
      <c r="K357" s="18" t="str">
        <f aca="false">IF(J357="","",IF(M357&lt;설정!$B$3,"",ROUND(AVERAGEIFS($J$2:$J$1001,$B$2:$B$1001,B357,$A$2:$A$1001,"&lt;"&amp;A357,$A$2:$A$1001,"&gt;="&amp;(A357-설정!$B$2)),2)))</f>
        <v/>
      </c>
      <c r="L357" s="18" t="str">
        <f aca="false">IF(K357="","",ROUND(SQRT(MAX(0,(SUMIFS($R$2:$R$1001,$B$2:$B$1001,B357,$A$2:$A$1001,"&lt;"&amp;A357,$A$2:$A$1001,"&gt;="&amp;(A357-설정!$B$2))-M357*AVERAGEIFS($J$2:$J$1001,$B$2:$B$1001,B357,$A$2:$A$1001,"&lt;"&amp;A357,$A$2:$A$1001,"&gt;="&amp;(A357-설정!$B$2))^2)/(M357-1))),2))</f>
        <v/>
      </c>
      <c r="M357" s="18" t="str">
        <f aca="false">IF(J357="","",COUNTIFS($B$2:$B$1001,B357,$A$2:$A$1001,"&lt;"&amp;A357,$A$2:$A$1001,"&gt;="&amp;(A357-설정!$B$2),$J$2:$J$1001,"&gt;=0"))</f>
        <v/>
      </c>
      <c r="N357" s="18" t="str">
        <f aca="false">IF(K357="","",IF(L357=0,"",ROUND((J357-K357)/L357,2)))</f>
        <v/>
      </c>
      <c r="O357" s="19" t="str">
        <f aca="false">IF(J357="","",IF(MIN(F357,G357)&lt;=설정!$B$5,"예",""))</f>
        <v/>
      </c>
      <c r="P357" s="19" t="str">
        <f aca="false">IF(J357="","",IF(M357&lt;설정!$B$3,"baseline 수집 중",IF(N357="","정상",IF(N357&lt;=설정!$B$4,"낮음","정상"))))</f>
        <v/>
      </c>
      <c r="Q357" s="20"/>
      <c r="R357" s="18" t="str">
        <f aca="false">IF(J357="","",J357^2)</f>
        <v/>
      </c>
    </row>
    <row r="358" customFormat="false" ht="15" hidden="false" customHeight="false" outlineLevel="0" collapsed="false">
      <c r="A358" s="16"/>
      <c r="B358" s="17"/>
      <c r="C358" s="17"/>
      <c r="D358" s="17"/>
      <c r="E358" s="17"/>
      <c r="F358" s="17"/>
      <c r="G358" s="17"/>
      <c r="H358" s="17"/>
      <c r="I358" s="17"/>
      <c r="J358" s="18" t="str">
        <f aca="false">IF(COUNT(E358:I358)&lt;5,"",SUM(E358:I358))</f>
        <v/>
      </c>
      <c r="K358" s="18" t="str">
        <f aca="false">IF(J358="","",IF(M358&lt;설정!$B$3,"",ROUND(AVERAGEIFS($J$2:$J$1001,$B$2:$B$1001,B358,$A$2:$A$1001,"&lt;"&amp;A358,$A$2:$A$1001,"&gt;="&amp;(A358-설정!$B$2)),2)))</f>
        <v/>
      </c>
      <c r="L358" s="18" t="str">
        <f aca="false">IF(K358="","",ROUND(SQRT(MAX(0,(SUMIFS($R$2:$R$1001,$B$2:$B$1001,B358,$A$2:$A$1001,"&lt;"&amp;A358,$A$2:$A$1001,"&gt;="&amp;(A358-설정!$B$2))-M358*AVERAGEIFS($J$2:$J$1001,$B$2:$B$1001,B358,$A$2:$A$1001,"&lt;"&amp;A358,$A$2:$A$1001,"&gt;="&amp;(A358-설정!$B$2))^2)/(M358-1))),2))</f>
        <v/>
      </c>
      <c r="M358" s="18" t="str">
        <f aca="false">IF(J358="","",COUNTIFS($B$2:$B$1001,B358,$A$2:$A$1001,"&lt;"&amp;A358,$A$2:$A$1001,"&gt;="&amp;(A358-설정!$B$2),$J$2:$J$1001,"&gt;=0"))</f>
        <v/>
      </c>
      <c r="N358" s="18" t="str">
        <f aca="false">IF(K358="","",IF(L358=0,"",ROUND((J358-K358)/L358,2)))</f>
        <v/>
      </c>
      <c r="O358" s="19" t="str">
        <f aca="false">IF(J358="","",IF(MIN(F358,G358)&lt;=설정!$B$5,"예",""))</f>
        <v/>
      </c>
      <c r="P358" s="19" t="str">
        <f aca="false">IF(J358="","",IF(M358&lt;설정!$B$3,"baseline 수집 중",IF(N358="","정상",IF(N358&lt;=설정!$B$4,"낮음","정상"))))</f>
        <v/>
      </c>
      <c r="Q358" s="20"/>
      <c r="R358" s="18" t="str">
        <f aca="false">IF(J358="","",J358^2)</f>
        <v/>
      </c>
    </row>
    <row r="359" customFormat="false" ht="15" hidden="false" customHeight="false" outlineLevel="0" collapsed="false">
      <c r="A359" s="16"/>
      <c r="B359" s="17"/>
      <c r="C359" s="17"/>
      <c r="D359" s="17"/>
      <c r="E359" s="17"/>
      <c r="F359" s="17"/>
      <c r="G359" s="17"/>
      <c r="H359" s="17"/>
      <c r="I359" s="17"/>
      <c r="J359" s="18" t="str">
        <f aca="false">IF(COUNT(E359:I359)&lt;5,"",SUM(E359:I359))</f>
        <v/>
      </c>
      <c r="K359" s="18" t="str">
        <f aca="false">IF(J359="","",IF(M359&lt;설정!$B$3,"",ROUND(AVERAGEIFS($J$2:$J$1001,$B$2:$B$1001,B359,$A$2:$A$1001,"&lt;"&amp;A359,$A$2:$A$1001,"&gt;="&amp;(A359-설정!$B$2)),2)))</f>
        <v/>
      </c>
      <c r="L359" s="18" t="str">
        <f aca="false">IF(K359="","",ROUND(SQRT(MAX(0,(SUMIFS($R$2:$R$1001,$B$2:$B$1001,B359,$A$2:$A$1001,"&lt;"&amp;A359,$A$2:$A$1001,"&gt;="&amp;(A359-설정!$B$2))-M359*AVERAGEIFS($J$2:$J$1001,$B$2:$B$1001,B359,$A$2:$A$1001,"&lt;"&amp;A359,$A$2:$A$1001,"&gt;="&amp;(A359-설정!$B$2))^2)/(M359-1))),2))</f>
        <v/>
      </c>
      <c r="M359" s="18" t="str">
        <f aca="false">IF(J359="","",COUNTIFS($B$2:$B$1001,B359,$A$2:$A$1001,"&lt;"&amp;A359,$A$2:$A$1001,"&gt;="&amp;(A359-설정!$B$2),$J$2:$J$1001,"&gt;=0"))</f>
        <v/>
      </c>
      <c r="N359" s="18" t="str">
        <f aca="false">IF(K359="","",IF(L359=0,"",ROUND((J359-K359)/L359,2)))</f>
        <v/>
      </c>
      <c r="O359" s="19" t="str">
        <f aca="false">IF(J359="","",IF(MIN(F359,G359)&lt;=설정!$B$5,"예",""))</f>
        <v/>
      </c>
      <c r="P359" s="19" t="str">
        <f aca="false">IF(J359="","",IF(M359&lt;설정!$B$3,"baseline 수집 중",IF(N359="","정상",IF(N359&lt;=설정!$B$4,"낮음","정상"))))</f>
        <v/>
      </c>
      <c r="Q359" s="20"/>
      <c r="R359" s="18" t="str">
        <f aca="false">IF(J359="","",J359^2)</f>
        <v/>
      </c>
    </row>
    <row r="360" customFormat="false" ht="15" hidden="false" customHeight="false" outlineLevel="0" collapsed="false">
      <c r="A360" s="16"/>
      <c r="B360" s="17"/>
      <c r="C360" s="17"/>
      <c r="D360" s="17"/>
      <c r="E360" s="17"/>
      <c r="F360" s="17"/>
      <c r="G360" s="17"/>
      <c r="H360" s="17"/>
      <c r="I360" s="17"/>
      <c r="J360" s="18" t="str">
        <f aca="false">IF(COUNT(E360:I360)&lt;5,"",SUM(E360:I360))</f>
        <v/>
      </c>
      <c r="K360" s="18" t="str">
        <f aca="false">IF(J360="","",IF(M360&lt;설정!$B$3,"",ROUND(AVERAGEIFS($J$2:$J$1001,$B$2:$B$1001,B360,$A$2:$A$1001,"&lt;"&amp;A360,$A$2:$A$1001,"&gt;="&amp;(A360-설정!$B$2)),2)))</f>
        <v/>
      </c>
      <c r="L360" s="18" t="str">
        <f aca="false">IF(K360="","",ROUND(SQRT(MAX(0,(SUMIFS($R$2:$R$1001,$B$2:$B$1001,B360,$A$2:$A$1001,"&lt;"&amp;A360,$A$2:$A$1001,"&gt;="&amp;(A360-설정!$B$2))-M360*AVERAGEIFS($J$2:$J$1001,$B$2:$B$1001,B360,$A$2:$A$1001,"&lt;"&amp;A360,$A$2:$A$1001,"&gt;="&amp;(A360-설정!$B$2))^2)/(M360-1))),2))</f>
        <v/>
      </c>
      <c r="M360" s="18" t="str">
        <f aca="false">IF(J360="","",COUNTIFS($B$2:$B$1001,B360,$A$2:$A$1001,"&lt;"&amp;A360,$A$2:$A$1001,"&gt;="&amp;(A360-설정!$B$2),$J$2:$J$1001,"&gt;=0"))</f>
        <v/>
      </c>
      <c r="N360" s="18" t="str">
        <f aca="false">IF(K360="","",IF(L360=0,"",ROUND((J360-K360)/L360,2)))</f>
        <v/>
      </c>
      <c r="O360" s="19" t="str">
        <f aca="false">IF(J360="","",IF(MIN(F360,G360)&lt;=설정!$B$5,"예",""))</f>
        <v/>
      </c>
      <c r="P360" s="19" t="str">
        <f aca="false">IF(J360="","",IF(M360&lt;설정!$B$3,"baseline 수집 중",IF(N360="","정상",IF(N360&lt;=설정!$B$4,"낮음","정상"))))</f>
        <v/>
      </c>
      <c r="Q360" s="20"/>
      <c r="R360" s="18" t="str">
        <f aca="false">IF(J360="","",J360^2)</f>
        <v/>
      </c>
    </row>
    <row r="361" customFormat="false" ht="15" hidden="false" customHeight="false" outlineLevel="0" collapsed="false">
      <c r="A361" s="16"/>
      <c r="B361" s="17"/>
      <c r="C361" s="17"/>
      <c r="D361" s="17"/>
      <c r="E361" s="17"/>
      <c r="F361" s="17"/>
      <c r="G361" s="17"/>
      <c r="H361" s="17"/>
      <c r="I361" s="17"/>
      <c r="J361" s="18" t="str">
        <f aca="false">IF(COUNT(E361:I361)&lt;5,"",SUM(E361:I361))</f>
        <v/>
      </c>
      <c r="K361" s="18" t="str">
        <f aca="false">IF(J361="","",IF(M361&lt;설정!$B$3,"",ROUND(AVERAGEIFS($J$2:$J$1001,$B$2:$B$1001,B361,$A$2:$A$1001,"&lt;"&amp;A361,$A$2:$A$1001,"&gt;="&amp;(A361-설정!$B$2)),2)))</f>
        <v/>
      </c>
      <c r="L361" s="18" t="str">
        <f aca="false">IF(K361="","",ROUND(SQRT(MAX(0,(SUMIFS($R$2:$R$1001,$B$2:$B$1001,B361,$A$2:$A$1001,"&lt;"&amp;A361,$A$2:$A$1001,"&gt;="&amp;(A361-설정!$B$2))-M361*AVERAGEIFS($J$2:$J$1001,$B$2:$B$1001,B361,$A$2:$A$1001,"&lt;"&amp;A361,$A$2:$A$1001,"&gt;="&amp;(A361-설정!$B$2))^2)/(M361-1))),2))</f>
        <v/>
      </c>
      <c r="M361" s="18" t="str">
        <f aca="false">IF(J361="","",COUNTIFS($B$2:$B$1001,B361,$A$2:$A$1001,"&lt;"&amp;A361,$A$2:$A$1001,"&gt;="&amp;(A361-설정!$B$2),$J$2:$J$1001,"&gt;=0"))</f>
        <v/>
      </c>
      <c r="N361" s="18" t="str">
        <f aca="false">IF(K361="","",IF(L361=0,"",ROUND((J361-K361)/L361,2)))</f>
        <v/>
      </c>
      <c r="O361" s="19" t="str">
        <f aca="false">IF(J361="","",IF(MIN(F361,G361)&lt;=설정!$B$5,"예",""))</f>
        <v/>
      </c>
      <c r="P361" s="19" t="str">
        <f aca="false">IF(J361="","",IF(M361&lt;설정!$B$3,"baseline 수집 중",IF(N361="","정상",IF(N361&lt;=설정!$B$4,"낮음","정상"))))</f>
        <v/>
      </c>
      <c r="Q361" s="20"/>
      <c r="R361" s="18" t="str">
        <f aca="false">IF(J361="","",J361^2)</f>
        <v/>
      </c>
    </row>
    <row r="362" customFormat="false" ht="15" hidden="false" customHeight="false" outlineLevel="0" collapsed="false">
      <c r="A362" s="16"/>
      <c r="B362" s="17"/>
      <c r="C362" s="17"/>
      <c r="D362" s="17"/>
      <c r="E362" s="17"/>
      <c r="F362" s="17"/>
      <c r="G362" s="17"/>
      <c r="H362" s="17"/>
      <c r="I362" s="17"/>
      <c r="J362" s="18" t="str">
        <f aca="false">IF(COUNT(E362:I362)&lt;5,"",SUM(E362:I362))</f>
        <v/>
      </c>
      <c r="K362" s="18" t="str">
        <f aca="false">IF(J362="","",IF(M362&lt;설정!$B$3,"",ROUND(AVERAGEIFS($J$2:$J$1001,$B$2:$B$1001,B362,$A$2:$A$1001,"&lt;"&amp;A362,$A$2:$A$1001,"&gt;="&amp;(A362-설정!$B$2)),2)))</f>
        <v/>
      </c>
      <c r="L362" s="18" t="str">
        <f aca="false">IF(K362="","",ROUND(SQRT(MAX(0,(SUMIFS($R$2:$R$1001,$B$2:$B$1001,B362,$A$2:$A$1001,"&lt;"&amp;A362,$A$2:$A$1001,"&gt;="&amp;(A362-설정!$B$2))-M362*AVERAGEIFS($J$2:$J$1001,$B$2:$B$1001,B362,$A$2:$A$1001,"&lt;"&amp;A362,$A$2:$A$1001,"&gt;="&amp;(A362-설정!$B$2))^2)/(M362-1))),2))</f>
        <v/>
      </c>
      <c r="M362" s="18" t="str">
        <f aca="false">IF(J362="","",COUNTIFS($B$2:$B$1001,B362,$A$2:$A$1001,"&lt;"&amp;A362,$A$2:$A$1001,"&gt;="&amp;(A362-설정!$B$2),$J$2:$J$1001,"&gt;=0"))</f>
        <v/>
      </c>
      <c r="N362" s="18" t="str">
        <f aca="false">IF(K362="","",IF(L362=0,"",ROUND((J362-K362)/L362,2)))</f>
        <v/>
      </c>
      <c r="O362" s="19" t="str">
        <f aca="false">IF(J362="","",IF(MIN(F362,G362)&lt;=설정!$B$5,"예",""))</f>
        <v/>
      </c>
      <c r="P362" s="19" t="str">
        <f aca="false">IF(J362="","",IF(M362&lt;설정!$B$3,"baseline 수집 중",IF(N362="","정상",IF(N362&lt;=설정!$B$4,"낮음","정상"))))</f>
        <v/>
      </c>
      <c r="Q362" s="20"/>
      <c r="R362" s="18" t="str">
        <f aca="false">IF(J362="","",J362^2)</f>
        <v/>
      </c>
    </row>
    <row r="363" customFormat="false" ht="15" hidden="false" customHeight="false" outlineLevel="0" collapsed="false">
      <c r="A363" s="16"/>
      <c r="B363" s="17"/>
      <c r="C363" s="17"/>
      <c r="D363" s="17"/>
      <c r="E363" s="17"/>
      <c r="F363" s="17"/>
      <c r="G363" s="17"/>
      <c r="H363" s="17"/>
      <c r="I363" s="17"/>
      <c r="J363" s="18" t="str">
        <f aca="false">IF(COUNT(E363:I363)&lt;5,"",SUM(E363:I363))</f>
        <v/>
      </c>
      <c r="K363" s="18" t="str">
        <f aca="false">IF(J363="","",IF(M363&lt;설정!$B$3,"",ROUND(AVERAGEIFS($J$2:$J$1001,$B$2:$B$1001,B363,$A$2:$A$1001,"&lt;"&amp;A363,$A$2:$A$1001,"&gt;="&amp;(A363-설정!$B$2)),2)))</f>
        <v/>
      </c>
      <c r="L363" s="18" t="str">
        <f aca="false">IF(K363="","",ROUND(SQRT(MAX(0,(SUMIFS($R$2:$R$1001,$B$2:$B$1001,B363,$A$2:$A$1001,"&lt;"&amp;A363,$A$2:$A$1001,"&gt;="&amp;(A363-설정!$B$2))-M363*AVERAGEIFS($J$2:$J$1001,$B$2:$B$1001,B363,$A$2:$A$1001,"&lt;"&amp;A363,$A$2:$A$1001,"&gt;="&amp;(A363-설정!$B$2))^2)/(M363-1))),2))</f>
        <v/>
      </c>
      <c r="M363" s="18" t="str">
        <f aca="false">IF(J363="","",COUNTIFS($B$2:$B$1001,B363,$A$2:$A$1001,"&lt;"&amp;A363,$A$2:$A$1001,"&gt;="&amp;(A363-설정!$B$2),$J$2:$J$1001,"&gt;=0"))</f>
        <v/>
      </c>
      <c r="N363" s="18" t="str">
        <f aca="false">IF(K363="","",IF(L363=0,"",ROUND((J363-K363)/L363,2)))</f>
        <v/>
      </c>
      <c r="O363" s="19" t="str">
        <f aca="false">IF(J363="","",IF(MIN(F363,G363)&lt;=설정!$B$5,"예",""))</f>
        <v/>
      </c>
      <c r="P363" s="19" t="str">
        <f aca="false">IF(J363="","",IF(M363&lt;설정!$B$3,"baseline 수집 중",IF(N363="","정상",IF(N363&lt;=설정!$B$4,"낮음","정상"))))</f>
        <v/>
      </c>
      <c r="Q363" s="20"/>
      <c r="R363" s="18" t="str">
        <f aca="false">IF(J363="","",J363^2)</f>
        <v/>
      </c>
    </row>
    <row r="364" customFormat="false" ht="15" hidden="false" customHeight="false" outlineLevel="0" collapsed="false">
      <c r="A364" s="16"/>
      <c r="B364" s="17"/>
      <c r="C364" s="17"/>
      <c r="D364" s="17"/>
      <c r="E364" s="17"/>
      <c r="F364" s="17"/>
      <c r="G364" s="17"/>
      <c r="H364" s="17"/>
      <c r="I364" s="17"/>
      <c r="J364" s="18" t="str">
        <f aca="false">IF(COUNT(E364:I364)&lt;5,"",SUM(E364:I364))</f>
        <v/>
      </c>
      <c r="K364" s="18" t="str">
        <f aca="false">IF(J364="","",IF(M364&lt;설정!$B$3,"",ROUND(AVERAGEIFS($J$2:$J$1001,$B$2:$B$1001,B364,$A$2:$A$1001,"&lt;"&amp;A364,$A$2:$A$1001,"&gt;="&amp;(A364-설정!$B$2)),2)))</f>
        <v/>
      </c>
      <c r="L364" s="18" t="str">
        <f aca="false">IF(K364="","",ROUND(SQRT(MAX(0,(SUMIFS($R$2:$R$1001,$B$2:$B$1001,B364,$A$2:$A$1001,"&lt;"&amp;A364,$A$2:$A$1001,"&gt;="&amp;(A364-설정!$B$2))-M364*AVERAGEIFS($J$2:$J$1001,$B$2:$B$1001,B364,$A$2:$A$1001,"&lt;"&amp;A364,$A$2:$A$1001,"&gt;="&amp;(A364-설정!$B$2))^2)/(M364-1))),2))</f>
        <v/>
      </c>
      <c r="M364" s="18" t="str">
        <f aca="false">IF(J364="","",COUNTIFS($B$2:$B$1001,B364,$A$2:$A$1001,"&lt;"&amp;A364,$A$2:$A$1001,"&gt;="&amp;(A364-설정!$B$2),$J$2:$J$1001,"&gt;=0"))</f>
        <v/>
      </c>
      <c r="N364" s="18" t="str">
        <f aca="false">IF(K364="","",IF(L364=0,"",ROUND((J364-K364)/L364,2)))</f>
        <v/>
      </c>
      <c r="O364" s="19" t="str">
        <f aca="false">IF(J364="","",IF(MIN(F364,G364)&lt;=설정!$B$5,"예",""))</f>
        <v/>
      </c>
      <c r="P364" s="19" t="str">
        <f aca="false">IF(J364="","",IF(M364&lt;설정!$B$3,"baseline 수집 중",IF(N364="","정상",IF(N364&lt;=설정!$B$4,"낮음","정상"))))</f>
        <v/>
      </c>
      <c r="Q364" s="20"/>
      <c r="R364" s="18" t="str">
        <f aca="false">IF(J364="","",J364^2)</f>
        <v/>
      </c>
    </row>
    <row r="365" customFormat="false" ht="15" hidden="false" customHeight="false" outlineLevel="0" collapsed="false">
      <c r="A365" s="16"/>
      <c r="B365" s="17"/>
      <c r="C365" s="17"/>
      <c r="D365" s="17"/>
      <c r="E365" s="17"/>
      <c r="F365" s="17"/>
      <c r="G365" s="17"/>
      <c r="H365" s="17"/>
      <c r="I365" s="17"/>
      <c r="J365" s="18" t="str">
        <f aca="false">IF(COUNT(E365:I365)&lt;5,"",SUM(E365:I365))</f>
        <v/>
      </c>
      <c r="K365" s="18" t="str">
        <f aca="false">IF(J365="","",IF(M365&lt;설정!$B$3,"",ROUND(AVERAGEIFS($J$2:$J$1001,$B$2:$B$1001,B365,$A$2:$A$1001,"&lt;"&amp;A365,$A$2:$A$1001,"&gt;="&amp;(A365-설정!$B$2)),2)))</f>
        <v/>
      </c>
      <c r="L365" s="18" t="str">
        <f aca="false">IF(K365="","",ROUND(SQRT(MAX(0,(SUMIFS($R$2:$R$1001,$B$2:$B$1001,B365,$A$2:$A$1001,"&lt;"&amp;A365,$A$2:$A$1001,"&gt;="&amp;(A365-설정!$B$2))-M365*AVERAGEIFS($J$2:$J$1001,$B$2:$B$1001,B365,$A$2:$A$1001,"&lt;"&amp;A365,$A$2:$A$1001,"&gt;="&amp;(A365-설정!$B$2))^2)/(M365-1))),2))</f>
        <v/>
      </c>
      <c r="M365" s="18" t="str">
        <f aca="false">IF(J365="","",COUNTIFS($B$2:$B$1001,B365,$A$2:$A$1001,"&lt;"&amp;A365,$A$2:$A$1001,"&gt;="&amp;(A365-설정!$B$2),$J$2:$J$1001,"&gt;=0"))</f>
        <v/>
      </c>
      <c r="N365" s="18" t="str">
        <f aca="false">IF(K365="","",IF(L365=0,"",ROUND((J365-K365)/L365,2)))</f>
        <v/>
      </c>
      <c r="O365" s="19" t="str">
        <f aca="false">IF(J365="","",IF(MIN(F365,G365)&lt;=설정!$B$5,"예",""))</f>
        <v/>
      </c>
      <c r="P365" s="19" t="str">
        <f aca="false">IF(J365="","",IF(M365&lt;설정!$B$3,"baseline 수집 중",IF(N365="","정상",IF(N365&lt;=설정!$B$4,"낮음","정상"))))</f>
        <v/>
      </c>
      <c r="Q365" s="20"/>
      <c r="R365" s="18" t="str">
        <f aca="false">IF(J365="","",J365^2)</f>
        <v/>
      </c>
    </row>
    <row r="366" customFormat="false" ht="15" hidden="false" customHeight="false" outlineLevel="0" collapsed="false">
      <c r="A366" s="16"/>
      <c r="B366" s="17"/>
      <c r="C366" s="17"/>
      <c r="D366" s="17"/>
      <c r="E366" s="17"/>
      <c r="F366" s="17"/>
      <c r="G366" s="17"/>
      <c r="H366" s="17"/>
      <c r="I366" s="17"/>
      <c r="J366" s="18" t="str">
        <f aca="false">IF(COUNT(E366:I366)&lt;5,"",SUM(E366:I366))</f>
        <v/>
      </c>
      <c r="K366" s="18" t="str">
        <f aca="false">IF(J366="","",IF(M366&lt;설정!$B$3,"",ROUND(AVERAGEIFS($J$2:$J$1001,$B$2:$B$1001,B366,$A$2:$A$1001,"&lt;"&amp;A366,$A$2:$A$1001,"&gt;="&amp;(A366-설정!$B$2)),2)))</f>
        <v/>
      </c>
      <c r="L366" s="18" t="str">
        <f aca="false">IF(K366="","",ROUND(SQRT(MAX(0,(SUMIFS($R$2:$R$1001,$B$2:$B$1001,B366,$A$2:$A$1001,"&lt;"&amp;A366,$A$2:$A$1001,"&gt;="&amp;(A366-설정!$B$2))-M366*AVERAGEIFS($J$2:$J$1001,$B$2:$B$1001,B366,$A$2:$A$1001,"&lt;"&amp;A366,$A$2:$A$1001,"&gt;="&amp;(A366-설정!$B$2))^2)/(M366-1))),2))</f>
        <v/>
      </c>
      <c r="M366" s="18" t="str">
        <f aca="false">IF(J366="","",COUNTIFS($B$2:$B$1001,B366,$A$2:$A$1001,"&lt;"&amp;A366,$A$2:$A$1001,"&gt;="&amp;(A366-설정!$B$2),$J$2:$J$1001,"&gt;=0"))</f>
        <v/>
      </c>
      <c r="N366" s="18" t="str">
        <f aca="false">IF(K366="","",IF(L366=0,"",ROUND((J366-K366)/L366,2)))</f>
        <v/>
      </c>
      <c r="O366" s="19" t="str">
        <f aca="false">IF(J366="","",IF(MIN(F366,G366)&lt;=설정!$B$5,"예",""))</f>
        <v/>
      </c>
      <c r="P366" s="19" t="str">
        <f aca="false">IF(J366="","",IF(M366&lt;설정!$B$3,"baseline 수집 중",IF(N366="","정상",IF(N366&lt;=설정!$B$4,"낮음","정상"))))</f>
        <v/>
      </c>
      <c r="Q366" s="20"/>
      <c r="R366" s="18" t="str">
        <f aca="false">IF(J366="","",J366^2)</f>
        <v/>
      </c>
    </row>
    <row r="367" customFormat="false" ht="15" hidden="false" customHeight="false" outlineLevel="0" collapsed="false">
      <c r="A367" s="16"/>
      <c r="B367" s="17"/>
      <c r="C367" s="17"/>
      <c r="D367" s="17"/>
      <c r="E367" s="17"/>
      <c r="F367" s="17"/>
      <c r="G367" s="17"/>
      <c r="H367" s="17"/>
      <c r="I367" s="17"/>
      <c r="J367" s="18" t="str">
        <f aca="false">IF(COUNT(E367:I367)&lt;5,"",SUM(E367:I367))</f>
        <v/>
      </c>
      <c r="K367" s="18" t="str">
        <f aca="false">IF(J367="","",IF(M367&lt;설정!$B$3,"",ROUND(AVERAGEIFS($J$2:$J$1001,$B$2:$B$1001,B367,$A$2:$A$1001,"&lt;"&amp;A367,$A$2:$A$1001,"&gt;="&amp;(A367-설정!$B$2)),2)))</f>
        <v/>
      </c>
      <c r="L367" s="18" t="str">
        <f aca="false">IF(K367="","",ROUND(SQRT(MAX(0,(SUMIFS($R$2:$R$1001,$B$2:$B$1001,B367,$A$2:$A$1001,"&lt;"&amp;A367,$A$2:$A$1001,"&gt;="&amp;(A367-설정!$B$2))-M367*AVERAGEIFS($J$2:$J$1001,$B$2:$B$1001,B367,$A$2:$A$1001,"&lt;"&amp;A367,$A$2:$A$1001,"&gt;="&amp;(A367-설정!$B$2))^2)/(M367-1))),2))</f>
        <v/>
      </c>
      <c r="M367" s="18" t="str">
        <f aca="false">IF(J367="","",COUNTIFS($B$2:$B$1001,B367,$A$2:$A$1001,"&lt;"&amp;A367,$A$2:$A$1001,"&gt;="&amp;(A367-설정!$B$2),$J$2:$J$1001,"&gt;=0"))</f>
        <v/>
      </c>
      <c r="N367" s="18" t="str">
        <f aca="false">IF(K367="","",IF(L367=0,"",ROUND((J367-K367)/L367,2)))</f>
        <v/>
      </c>
      <c r="O367" s="19" t="str">
        <f aca="false">IF(J367="","",IF(MIN(F367,G367)&lt;=설정!$B$5,"예",""))</f>
        <v/>
      </c>
      <c r="P367" s="19" t="str">
        <f aca="false">IF(J367="","",IF(M367&lt;설정!$B$3,"baseline 수집 중",IF(N367="","정상",IF(N367&lt;=설정!$B$4,"낮음","정상"))))</f>
        <v/>
      </c>
      <c r="Q367" s="20"/>
      <c r="R367" s="18" t="str">
        <f aca="false">IF(J367="","",J367^2)</f>
        <v/>
      </c>
    </row>
    <row r="368" customFormat="false" ht="15" hidden="false" customHeight="false" outlineLevel="0" collapsed="false">
      <c r="A368" s="16"/>
      <c r="B368" s="17"/>
      <c r="C368" s="17"/>
      <c r="D368" s="17"/>
      <c r="E368" s="17"/>
      <c r="F368" s="17"/>
      <c r="G368" s="17"/>
      <c r="H368" s="17"/>
      <c r="I368" s="17"/>
      <c r="J368" s="18" t="str">
        <f aca="false">IF(COUNT(E368:I368)&lt;5,"",SUM(E368:I368))</f>
        <v/>
      </c>
      <c r="K368" s="18" t="str">
        <f aca="false">IF(J368="","",IF(M368&lt;설정!$B$3,"",ROUND(AVERAGEIFS($J$2:$J$1001,$B$2:$B$1001,B368,$A$2:$A$1001,"&lt;"&amp;A368,$A$2:$A$1001,"&gt;="&amp;(A368-설정!$B$2)),2)))</f>
        <v/>
      </c>
      <c r="L368" s="18" t="str">
        <f aca="false">IF(K368="","",ROUND(SQRT(MAX(0,(SUMIFS($R$2:$R$1001,$B$2:$B$1001,B368,$A$2:$A$1001,"&lt;"&amp;A368,$A$2:$A$1001,"&gt;="&amp;(A368-설정!$B$2))-M368*AVERAGEIFS($J$2:$J$1001,$B$2:$B$1001,B368,$A$2:$A$1001,"&lt;"&amp;A368,$A$2:$A$1001,"&gt;="&amp;(A368-설정!$B$2))^2)/(M368-1))),2))</f>
        <v/>
      </c>
      <c r="M368" s="18" t="str">
        <f aca="false">IF(J368="","",COUNTIFS($B$2:$B$1001,B368,$A$2:$A$1001,"&lt;"&amp;A368,$A$2:$A$1001,"&gt;="&amp;(A368-설정!$B$2),$J$2:$J$1001,"&gt;=0"))</f>
        <v/>
      </c>
      <c r="N368" s="18" t="str">
        <f aca="false">IF(K368="","",IF(L368=0,"",ROUND((J368-K368)/L368,2)))</f>
        <v/>
      </c>
      <c r="O368" s="19" t="str">
        <f aca="false">IF(J368="","",IF(MIN(F368,G368)&lt;=설정!$B$5,"예",""))</f>
        <v/>
      </c>
      <c r="P368" s="19" t="str">
        <f aca="false">IF(J368="","",IF(M368&lt;설정!$B$3,"baseline 수집 중",IF(N368="","정상",IF(N368&lt;=설정!$B$4,"낮음","정상"))))</f>
        <v/>
      </c>
      <c r="Q368" s="20"/>
      <c r="R368" s="18" t="str">
        <f aca="false">IF(J368="","",J368^2)</f>
        <v/>
      </c>
    </row>
    <row r="369" customFormat="false" ht="15" hidden="false" customHeight="false" outlineLevel="0" collapsed="false">
      <c r="A369" s="16"/>
      <c r="B369" s="17"/>
      <c r="C369" s="17"/>
      <c r="D369" s="17"/>
      <c r="E369" s="17"/>
      <c r="F369" s="17"/>
      <c r="G369" s="17"/>
      <c r="H369" s="17"/>
      <c r="I369" s="17"/>
      <c r="J369" s="18" t="str">
        <f aca="false">IF(COUNT(E369:I369)&lt;5,"",SUM(E369:I369))</f>
        <v/>
      </c>
      <c r="K369" s="18" t="str">
        <f aca="false">IF(J369="","",IF(M369&lt;설정!$B$3,"",ROUND(AVERAGEIFS($J$2:$J$1001,$B$2:$B$1001,B369,$A$2:$A$1001,"&lt;"&amp;A369,$A$2:$A$1001,"&gt;="&amp;(A369-설정!$B$2)),2)))</f>
        <v/>
      </c>
      <c r="L369" s="18" t="str">
        <f aca="false">IF(K369="","",ROUND(SQRT(MAX(0,(SUMIFS($R$2:$R$1001,$B$2:$B$1001,B369,$A$2:$A$1001,"&lt;"&amp;A369,$A$2:$A$1001,"&gt;="&amp;(A369-설정!$B$2))-M369*AVERAGEIFS($J$2:$J$1001,$B$2:$B$1001,B369,$A$2:$A$1001,"&lt;"&amp;A369,$A$2:$A$1001,"&gt;="&amp;(A369-설정!$B$2))^2)/(M369-1))),2))</f>
        <v/>
      </c>
      <c r="M369" s="18" t="str">
        <f aca="false">IF(J369="","",COUNTIFS($B$2:$B$1001,B369,$A$2:$A$1001,"&lt;"&amp;A369,$A$2:$A$1001,"&gt;="&amp;(A369-설정!$B$2),$J$2:$J$1001,"&gt;=0"))</f>
        <v/>
      </c>
      <c r="N369" s="18" t="str">
        <f aca="false">IF(K369="","",IF(L369=0,"",ROUND((J369-K369)/L369,2)))</f>
        <v/>
      </c>
      <c r="O369" s="19" t="str">
        <f aca="false">IF(J369="","",IF(MIN(F369,G369)&lt;=설정!$B$5,"예",""))</f>
        <v/>
      </c>
      <c r="P369" s="19" t="str">
        <f aca="false">IF(J369="","",IF(M369&lt;설정!$B$3,"baseline 수집 중",IF(N369="","정상",IF(N369&lt;=설정!$B$4,"낮음","정상"))))</f>
        <v/>
      </c>
      <c r="Q369" s="20"/>
      <c r="R369" s="18" t="str">
        <f aca="false">IF(J369="","",J369^2)</f>
        <v/>
      </c>
    </row>
    <row r="370" customFormat="false" ht="15" hidden="false" customHeight="false" outlineLevel="0" collapsed="false">
      <c r="A370" s="16"/>
      <c r="B370" s="17"/>
      <c r="C370" s="17"/>
      <c r="D370" s="17"/>
      <c r="E370" s="17"/>
      <c r="F370" s="17"/>
      <c r="G370" s="17"/>
      <c r="H370" s="17"/>
      <c r="I370" s="17"/>
      <c r="J370" s="18" t="str">
        <f aca="false">IF(COUNT(E370:I370)&lt;5,"",SUM(E370:I370))</f>
        <v/>
      </c>
      <c r="K370" s="18" t="str">
        <f aca="false">IF(J370="","",IF(M370&lt;설정!$B$3,"",ROUND(AVERAGEIFS($J$2:$J$1001,$B$2:$B$1001,B370,$A$2:$A$1001,"&lt;"&amp;A370,$A$2:$A$1001,"&gt;="&amp;(A370-설정!$B$2)),2)))</f>
        <v/>
      </c>
      <c r="L370" s="18" t="str">
        <f aca="false">IF(K370="","",ROUND(SQRT(MAX(0,(SUMIFS($R$2:$R$1001,$B$2:$B$1001,B370,$A$2:$A$1001,"&lt;"&amp;A370,$A$2:$A$1001,"&gt;="&amp;(A370-설정!$B$2))-M370*AVERAGEIFS($J$2:$J$1001,$B$2:$B$1001,B370,$A$2:$A$1001,"&lt;"&amp;A370,$A$2:$A$1001,"&gt;="&amp;(A370-설정!$B$2))^2)/(M370-1))),2))</f>
        <v/>
      </c>
      <c r="M370" s="18" t="str">
        <f aca="false">IF(J370="","",COUNTIFS($B$2:$B$1001,B370,$A$2:$A$1001,"&lt;"&amp;A370,$A$2:$A$1001,"&gt;="&amp;(A370-설정!$B$2),$J$2:$J$1001,"&gt;=0"))</f>
        <v/>
      </c>
      <c r="N370" s="18" t="str">
        <f aca="false">IF(K370="","",IF(L370=0,"",ROUND((J370-K370)/L370,2)))</f>
        <v/>
      </c>
      <c r="O370" s="19" t="str">
        <f aca="false">IF(J370="","",IF(MIN(F370,G370)&lt;=설정!$B$5,"예",""))</f>
        <v/>
      </c>
      <c r="P370" s="19" t="str">
        <f aca="false">IF(J370="","",IF(M370&lt;설정!$B$3,"baseline 수집 중",IF(N370="","정상",IF(N370&lt;=설정!$B$4,"낮음","정상"))))</f>
        <v/>
      </c>
      <c r="Q370" s="20"/>
      <c r="R370" s="18" t="str">
        <f aca="false">IF(J370="","",J370^2)</f>
        <v/>
      </c>
    </row>
    <row r="371" customFormat="false" ht="15" hidden="false" customHeight="false" outlineLevel="0" collapsed="false">
      <c r="A371" s="16"/>
      <c r="B371" s="17"/>
      <c r="C371" s="17"/>
      <c r="D371" s="17"/>
      <c r="E371" s="17"/>
      <c r="F371" s="17"/>
      <c r="G371" s="17"/>
      <c r="H371" s="17"/>
      <c r="I371" s="17"/>
      <c r="J371" s="18" t="str">
        <f aca="false">IF(COUNT(E371:I371)&lt;5,"",SUM(E371:I371))</f>
        <v/>
      </c>
      <c r="K371" s="18" t="str">
        <f aca="false">IF(J371="","",IF(M371&lt;설정!$B$3,"",ROUND(AVERAGEIFS($J$2:$J$1001,$B$2:$B$1001,B371,$A$2:$A$1001,"&lt;"&amp;A371,$A$2:$A$1001,"&gt;="&amp;(A371-설정!$B$2)),2)))</f>
        <v/>
      </c>
      <c r="L371" s="18" t="str">
        <f aca="false">IF(K371="","",ROUND(SQRT(MAX(0,(SUMIFS($R$2:$R$1001,$B$2:$B$1001,B371,$A$2:$A$1001,"&lt;"&amp;A371,$A$2:$A$1001,"&gt;="&amp;(A371-설정!$B$2))-M371*AVERAGEIFS($J$2:$J$1001,$B$2:$B$1001,B371,$A$2:$A$1001,"&lt;"&amp;A371,$A$2:$A$1001,"&gt;="&amp;(A371-설정!$B$2))^2)/(M371-1))),2))</f>
        <v/>
      </c>
      <c r="M371" s="18" t="str">
        <f aca="false">IF(J371="","",COUNTIFS($B$2:$B$1001,B371,$A$2:$A$1001,"&lt;"&amp;A371,$A$2:$A$1001,"&gt;="&amp;(A371-설정!$B$2),$J$2:$J$1001,"&gt;=0"))</f>
        <v/>
      </c>
      <c r="N371" s="18" t="str">
        <f aca="false">IF(K371="","",IF(L371=0,"",ROUND((J371-K371)/L371,2)))</f>
        <v/>
      </c>
      <c r="O371" s="19" t="str">
        <f aca="false">IF(J371="","",IF(MIN(F371,G371)&lt;=설정!$B$5,"예",""))</f>
        <v/>
      </c>
      <c r="P371" s="19" t="str">
        <f aca="false">IF(J371="","",IF(M371&lt;설정!$B$3,"baseline 수집 중",IF(N371="","정상",IF(N371&lt;=설정!$B$4,"낮음","정상"))))</f>
        <v/>
      </c>
      <c r="Q371" s="20"/>
      <c r="R371" s="18" t="str">
        <f aca="false">IF(J371="","",J371^2)</f>
        <v/>
      </c>
    </row>
    <row r="372" customFormat="false" ht="15" hidden="false" customHeight="false" outlineLevel="0" collapsed="false">
      <c r="A372" s="16"/>
      <c r="B372" s="17"/>
      <c r="C372" s="17"/>
      <c r="D372" s="17"/>
      <c r="E372" s="17"/>
      <c r="F372" s="17"/>
      <c r="G372" s="17"/>
      <c r="H372" s="17"/>
      <c r="I372" s="17"/>
      <c r="J372" s="18" t="str">
        <f aca="false">IF(COUNT(E372:I372)&lt;5,"",SUM(E372:I372))</f>
        <v/>
      </c>
      <c r="K372" s="18" t="str">
        <f aca="false">IF(J372="","",IF(M372&lt;설정!$B$3,"",ROUND(AVERAGEIFS($J$2:$J$1001,$B$2:$B$1001,B372,$A$2:$A$1001,"&lt;"&amp;A372,$A$2:$A$1001,"&gt;="&amp;(A372-설정!$B$2)),2)))</f>
        <v/>
      </c>
      <c r="L372" s="18" t="str">
        <f aca="false">IF(K372="","",ROUND(SQRT(MAX(0,(SUMIFS($R$2:$R$1001,$B$2:$B$1001,B372,$A$2:$A$1001,"&lt;"&amp;A372,$A$2:$A$1001,"&gt;="&amp;(A372-설정!$B$2))-M372*AVERAGEIFS($J$2:$J$1001,$B$2:$B$1001,B372,$A$2:$A$1001,"&lt;"&amp;A372,$A$2:$A$1001,"&gt;="&amp;(A372-설정!$B$2))^2)/(M372-1))),2))</f>
        <v/>
      </c>
      <c r="M372" s="18" t="str">
        <f aca="false">IF(J372="","",COUNTIFS($B$2:$B$1001,B372,$A$2:$A$1001,"&lt;"&amp;A372,$A$2:$A$1001,"&gt;="&amp;(A372-설정!$B$2),$J$2:$J$1001,"&gt;=0"))</f>
        <v/>
      </c>
      <c r="N372" s="18" t="str">
        <f aca="false">IF(K372="","",IF(L372=0,"",ROUND((J372-K372)/L372,2)))</f>
        <v/>
      </c>
      <c r="O372" s="19" t="str">
        <f aca="false">IF(J372="","",IF(MIN(F372,G372)&lt;=설정!$B$5,"예",""))</f>
        <v/>
      </c>
      <c r="P372" s="19" t="str">
        <f aca="false">IF(J372="","",IF(M372&lt;설정!$B$3,"baseline 수집 중",IF(N372="","정상",IF(N372&lt;=설정!$B$4,"낮음","정상"))))</f>
        <v/>
      </c>
      <c r="Q372" s="20"/>
      <c r="R372" s="18" t="str">
        <f aca="false">IF(J372="","",J372^2)</f>
        <v/>
      </c>
    </row>
    <row r="373" customFormat="false" ht="15" hidden="false" customHeight="false" outlineLevel="0" collapsed="false">
      <c r="A373" s="16"/>
      <c r="B373" s="17"/>
      <c r="C373" s="17"/>
      <c r="D373" s="17"/>
      <c r="E373" s="17"/>
      <c r="F373" s="17"/>
      <c r="G373" s="17"/>
      <c r="H373" s="17"/>
      <c r="I373" s="17"/>
      <c r="J373" s="18" t="str">
        <f aca="false">IF(COUNT(E373:I373)&lt;5,"",SUM(E373:I373))</f>
        <v/>
      </c>
      <c r="K373" s="18" t="str">
        <f aca="false">IF(J373="","",IF(M373&lt;설정!$B$3,"",ROUND(AVERAGEIFS($J$2:$J$1001,$B$2:$B$1001,B373,$A$2:$A$1001,"&lt;"&amp;A373,$A$2:$A$1001,"&gt;="&amp;(A373-설정!$B$2)),2)))</f>
        <v/>
      </c>
      <c r="L373" s="18" t="str">
        <f aca="false">IF(K373="","",ROUND(SQRT(MAX(0,(SUMIFS($R$2:$R$1001,$B$2:$B$1001,B373,$A$2:$A$1001,"&lt;"&amp;A373,$A$2:$A$1001,"&gt;="&amp;(A373-설정!$B$2))-M373*AVERAGEIFS($J$2:$J$1001,$B$2:$B$1001,B373,$A$2:$A$1001,"&lt;"&amp;A373,$A$2:$A$1001,"&gt;="&amp;(A373-설정!$B$2))^2)/(M373-1))),2))</f>
        <v/>
      </c>
      <c r="M373" s="18" t="str">
        <f aca="false">IF(J373="","",COUNTIFS($B$2:$B$1001,B373,$A$2:$A$1001,"&lt;"&amp;A373,$A$2:$A$1001,"&gt;="&amp;(A373-설정!$B$2),$J$2:$J$1001,"&gt;=0"))</f>
        <v/>
      </c>
      <c r="N373" s="18" t="str">
        <f aca="false">IF(K373="","",IF(L373=0,"",ROUND((J373-K373)/L373,2)))</f>
        <v/>
      </c>
      <c r="O373" s="19" t="str">
        <f aca="false">IF(J373="","",IF(MIN(F373,G373)&lt;=설정!$B$5,"예",""))</f>
        <v/>
      </c>
      <c r="P373" s="19" t="str">
        <f aca="false">IF(J373="","",IF(M373&lt;설정!$B$3,"baseline 수집 중",IF(N373="","정상",IF(N373&lt;=설정!$B$4,"낮음","정상"))))</f>
        <v/>
      </c>
      <c r="Q373" s="20"/>
      <c r="R373" s="18" t="str">
        <f aca="false">IF(J373="","",J373^2)</f>
        <v/>
      </c>
    </row>
    <row r="374" customFormat="false" ht="15" hidden="false" customHeight="false" outlineLevel="0" collapsed="false">
      <c r="A374" s="16"/>
      <c r="B374" s="17"/>
      <c r="C374" s="17"/>
      <c r="D374" s="17"/>
      <c r="E374" s="17"/>
      <c r="F374" s="17"/>
      <c r="G374" s="17"/>
      <c r="H374" s="17"/>
      <c r="I374" s="17"/>
      <c r="J374" s="18" t="str">
        <f aca="false">IF(COUNT(E374:I374)&lt;5,"",SUM(E374:I374))</f>
        <v/>
      </c>
      <c r="K374" s="18" t="str">
        <f aca="false">IF(J374="","",IF(M374&lt;설정!$B$3,"",ROUND(AVERAGEIFS($J$2:$J$1001,$B$2:$B$1001,B374,$A$2:$A$1001,"&lt;"&amp;A374,$A$2:$A$1001,"&gt;="&amp;(A374-설정!$B$2)),2)))</f>
        <v/>
      </c>
      <c r="L374" s="18" t="str">
        <f aca="false">IF(K374="","",ROUND(SQRT(MAX(0,(SUMIFS($R$2:$R$1001,$B$2:$B$1001,B374,$A$2:$A$1001,"&lt;"&amp;A374,$A$2:$A$1001,"&gt;="&amp;(A374-설정!$B$2))-M374*AVERAGEIFS($J$2:$J$1001,$B$2:$B$1001,B374,$A$2:$A$1001,"&lt;"&amp;A374,$A$2:$A$1001,"&gt;="&amp;(A374-설정!$B$2))^2)/(M374-1))),2))</f>
        <v/>
      </c>
      <c r="M374" s="18" t="str">
        <f aca="false">IF(J374="","",COUNTIFS($B$2:$B$1001,B374,$A$2:$A$1001,"&lt;"&amp;A374,$A$2:$A$1001,"&gt;="&amp;(A374-설정!$B$2),$J$2:$J$1001,"&gt;=0"))</f>
        <v/>
      </c>
      <c r="N374" s="18" t="str">
        <f aca="false">IF(K374="","",IF(L374=0,"",ROUND((J374-K374)/L374,2)))</f>
        <v/>
      </c>
      <c r="O374" s="19" t="str">
        <f aca="false">IF(J374="","",IF(MIN(F374,G374)&lt;=설정!$B$5,"예",""))</f>
        <v/>
      </c>
      <c r="P374" s="19" t="str">
        <f aca="false">IF(J374="","",IF(M374&lt;설정!$B$3,"baseline 수집 중",IF(N374="","정상",IF(N374&lt;=설정!$B$4,"낮음","정상"))))</f>
        <v/>
      </c>
      <c r="Q374" s="20"/>
      <c r="R374" s="18" t="str">
        <f aca="false">IF(J374="","",J374^2)</f>
        <v/>
      </c>
    </row>
    <row r="375" customFormat="false" ht="15" hidden="false" customHeight="false" outlineLevel="0" collapsed="false">
      <c r="A375" s="16"/>
      <c r="B375" s="17"/>
      <c r="C375" s="17"/>
      <c r="D375" s="17"/>
      <c r="E375" s="17"/>
      <c r="F375" s="17"/>
      <c r="G375" s="17"/>
      <c r="H375" s="17"/>
      <c r="I375" s="17"/>
      <c r="J375" s="18" t="str">
        <f aca="false">IF(COUNT(E375:I375)&lt;5,"",SUM(E375:I375))</f>
        <v/>
      </c>
      <c r="K375" s="18" t="str">
        <f aca="false">IF(J375="","",IF(M375&lt;설정!$B$3,"",ROUND(AVERAGEIFS($J$2:$J$1001,$B$2:$B$1001,B375,$A$2:$A$1001,"&lt;"&amp;A375,$A$2:$A$1001,"&gt;="&amp;(A375-설정!$B$2)),2)))</f>
        <v/>
      </c>
      <c r="L375" s="18" t="str">
        <f aca="false">IF(K375="","",ROUND(SQRT(MAX(0,(SUMIFS($R$2:$R$1001,$B$2:$B$1001,B375,$A$2:$A$1001,"&lt;"&amp;A375,$A$2:$A$1001,"&gt;="&amp;(A375-설정!$B$2))-M375*AVERAGEIFS($J$2:$J$1001,$B$2:$B$1001,B375,$A$2:$A$1001,"&lt;"&amp;A375,$A$2:$A$1001,"&gt;="&amp;(A375-설정!$B$2))^2)/(M375-1))),2))</f>
        <v/>
      </c>
      <c r="M375" s="18" t="str">
        <f aca="false">IF(J375="","",COUNTIFS($B$2:$B$1001,B375,$A$2:$A$1001,"&lt;"&amp;A375,$A$2:$A$1001,"&gt;="&amp;(A375-설정!$B$2),$J$2:$J$1001,"&gt;=0"))</f>
        <v/>
      </c>
      <c r="N375" s="18" t="str">
        <f aca="false">IF(K375="","",IF(L375=0,"",ROUND((J375-K375)/L375,2)))</f>
        <v/>
      </c>
      <c r="O375" s="19" t="str">
        <f aca="false">IF(J375="","",IF(MIN(F375,G375)&lt;=설정!$B$5,"예",""))</f>
        <v/>
      </c>
      <c r="P375" s="19" t="str">
        <f aca="false">IF(J375="","",IF(M375&lt;설정!$B$3,"baseline 수집 중",IF(N375="","정상",IF(N375&lt;=설정!$B$4,"낮음","정상"))))</f>
        <v/>
      </c>
      <c r="Q375" s="20"/>
      <c r="R375" s="18" t="str">
        <f aca="false">IF(J375="","",J375^2)</f>
        <v/>
      </c>
    </row>
    <row r="376" customFormat="false" ht="15" hidden="false" customHeight="false" outlineLevel="0" collapsed="false">
      <c r="A376" s="16"/>
      <c r="B376" s="17"/>
      <c r="C376" s="17"/>
      <c r="D376" s="17"/>
      <c r="E376" s="17"/>
      <c r="F376" s="17"/>
      <c r="G376" s="17"/>
      <c r="H376" s="17"/>
      <c r="I376" s="17"/>
      <c r="J376" s="18" t="str">
        <f aca="false">IF(COUNT(E376:I376)&lt;5,"",SUM(E376:I376))</f>
        <v/>
      </c>
      <c r="K376" s="18" t="str">
        <f aca="false">IF(J376="","",IF(M376&lt;설정!$B$3,"",ROUND(AVERAGEIFS($J$2:$J$1001,$B$2:$B$1001,B376,$A$2:$A$1001,"&lt;"&amp;A376,$A$2:$A$1001,"&gt;="&amp;(A376-설정!$B$2)),2)))</f>
        <v/>
      </c>
      <c r="L376" s="18" t="str">
        <f aca="false">IF(K376="","",ROUND(SQRT(MAX(0,(SUMIFS($R$2:$R$1001,$B$2:$B$1001,B376,$A$2:$A$1001,"&lt;"&amp;A376,$A$2:$A$1001,"&gt;="&amp;(A376-설정!$B$2))-M376*AVERAGEIFS($J$2:$J$1001,$B$2:$B$1001,B376,$A$2:$A$1001,"&lt;"&amp;A376,$A$2:$A$1001,"&gt;="&amp;(A376-설정!$B$2))^2)/(M376-1))),2))</f>
        <v/>
      </c>
      <c r="M376" s="18" t="str">
        <f aca="false">IF(J376="","",COUNTIFS($B$2:$B$1001,B376,$A$2:$A$1001,"&lt;"&amp;A376,$A$2:$A$1001,"&gt;="&amp;(A376-설정!$B$2),$J$2:$J$1001,"&gt;=0"))</f>
        <v/>
      </c>
      <c r="N376" s="18" t="str">
        <f aca="false">IF(K376="","",IF(L376=0,"",ROUND((J376-K376)/L376,2)))</f>
        <v/>
      </c>
      <c r="O376" s="19" t="str">
        <f aca="false">IF(J376="","",IF(MIN(F376,G376)&lt;=설정!$B$5,"예",""))</f>
        <v/>
      </c>
      <c r="P376" s="19" t="str">
        <f aca="false">IF(J376="","",IF(M376&lt;설정!$B$3,"baseline 수집 중",IF(N376="","정상",IF(N376&lt;=설정!$B$4,"낮음","정상"))))</f>
        <v/>
      </c>
      <c r="Q376" s="20"/>
      <c r="R376" s="18" t="str">
        <f aca="false">IF(J376="","",J376^2)</f>
        <v/>
      </c>
    </row>
    <row r="377" customFormat="false" ht="15" hidden="false" customHeight="false" outlineLevel="0" collapsed="false">
      <c r="A377" s="16"/>
      <c r="B377" s="17"/>
      <c r="C377" s="17"/>
      <c r="D377" s="17"/>
      <c r="E377" s="17"/>
      <c r="F377" s="17"/>
      <c r="G377" s="17"/>
      <c r="H377" s="17"/>
      <c r="I377" s="17"/>
      <c r="J377" s="18" t="str">
        <f aca="false">IF(COUNT(E377:I377)&lt;5,"",SUM(E377:I377))</f>
        <v/>
      </c>
      <c r="K377" s="18" t="str">
        <f aca="false">IF(J377="","",IF(M377&lt;설정!$B$3,"",ROUND(AVERAGEIFS($J$2:$J$1001,$B$2:$B$1001,B377,$A$2:$A$1001,"&lt;"&amp;A377,$A$2:$A$1001,"&gt;="&amp;(A377-설정!$B$2)),2)))</f>
        <v/>
      </c>
      <c r="L377" s="18" t="str">
        <f aca="false">IF(K377="","",ROUND(SQRT(MAX(0,(SUMIFS($R$2:$R$1001,$B$2:$B$1001,B377,$A$2:$A$1001,"&lt;"&amp;A377,$A$2:$A$1001,"&gt;="&amp;(A377-설정!$B$2))-M377*AVERAGEIFS($J$2:$J$1001,$B$2:$B$1001,B377,$A$2:$A$1001,"&lt;"&amp;A377,$A$2:$A$1001,"&gt;="&amp;(A377-설정!$B$2))^2)/(M377-1))),2))</f>
        <v/>
      </c>
      <c r="M377" s="18" t="str">
        <f aca="false">IF(J377="","",COUNTIFS($B$2:$B$1001,B377,$A$2:$A$1001,"&lt;"&amp;A377,$A$2:$A$1001,"&gt;="&amp;(A377-설정!$B$2),$J$2:$J$1001,"&gt;=0"))</f>
        <v/>
      </c>
      <c r="N377" s="18" t="str">
        <f aca="false">IF(K377="","",IF(L377=0,"",ROUND((J377-K377)/L377,2)))</f>
        <v/>
      </c>
      <c r="O377" s="19" t="str">
        <f aca="false">IF(J377="","",IF(MIN(F377,G377)&lt;=설정!$B$5,"예",""))</f>
        <v/>
      </c>
      <c r="P377" s="19" t="str">
        <f aca="false">IF(J377="","",IF(M377&lt;설정!$B$3,"baseline 수집 중",IF(N377="","정상",IF(N377&lt;=설정!$B$4,"낮음","정상"))))</f>
        <v/>
      </c>
      <c r="Q377" s="20"/>
      <c r="R377" s="18" t="str">
        <f aca="false">IF(J377="","",J377^2)</f>
        <v/>
      </c>
    </row>
    <row r="378" customFormat="false" ht="15" hidden="false" customHeight="false" outlineLevel="0" collapsed="false">
      <c r="A378" s="16"/>
      <c r="B378" s="17"/>
      <c r="C378" s="17"/>
      <c r="D378" s="17"/>
      <c r="E378" s="17"/>
      <c r="F378" s="17"/>
      <c r="G378" s="17"/>
      <c r="H378" s="17"/>
      <c r="I378" s="17"/>
      <c r="J378" s="18" t="str">
        <f aca="false">IF(COUNT(E378:I378)&lt;5,"",SUM(E378:I378))</f>
        <v/>
      </c>
      <c r="K378" s="18" t="str">
        <f aca="false">IF(J378="","",IF(M378&lt;설정!$B$3,"",ROUND(AVERAGEIFS($J$2:$J$1001,$B$2:$B$1001,B378,$A$2:$A$1001,"&lt;"&amp;A378,$A$2:$A$1001,"&gt;="&amp;(A378-설정!$B$2)),2)))</f>
        <v/>
      </c>
      <c r="L378" s="18" t="str">
        <f aca="false">IF(K378="","",ROUND(SQRT(MAX(0,(SUMIFS($R$2:$R$1001,$B$2:$B$1001,B378,$A$2:$A$1001,"&lt;"&amp;A378,$A$2:$A$1001,"&gt;="&amp;(A378-설정!$B$2))-M378*AVERAGEIFS($J$2:$J$1001,$B$2:$B$1001,B378,$A$2:$A$1001,"&lt;"&amp;A378,$A$2:$A$1001,"&gt;="&amp;(A378-설정!$B$2))^2)/(M378-1))),2))</f>
        <v/>
      </c>
      <c r="M378" s="18" t="str">
        <f aca="false">IF(J378="","",COUNTIFS($B$2:$B$1001,B378,$A$2:$A$1001,"&lt;"&amp;A378,$A$2:$A$1001,"&gt;="&amp;(A378-설정!$B$2),$J$2:$J$1001,"&gt;=0"))</f>
        <v/>
      </c>
      <c r="N378" s="18" t="str">
        <f aca="false">IF(K378="","",IF(L378=0,"",ROUND((J378-K378)/L378,2)))</f>
        <v/>
      </c>
      <c r="O378" s="19" t="str">
        <f aca="false">IF(J378="","",IF(MIN(F378,G378)&lt;=설정!$B$5,"예",""))</f>
        <v/>
      </c>
      <c r="P378" s="19" t="str">
        <f aca="false">IF(J378="","",IF(M378&lt;설정!$B$3,"baseline 수집 중",IF(N378="","정상",IF(N378&lt;=설정!$B$4,"낮음","정상"))))</f>
        <v/>
      </c>
      <c r="Q378" s="20"/>
      <c r="R378" s="18" t="str">
        <f aca="false">IF(J378="","",J378^2)</f>
        <v/>
      </c>
    </row>
    <row r="379" customFormat="false" ht="15" hidden="false" customHeight="false" outlineLevel="0" collapsed="false">
      <c r="A379" s="16"/>
      <c r="B379" s="17"/>
      <c r="C379" s="17"/>
      <c r="D379" s="17"/>
      <c r="E379" s="17"/>
      <c r="F379" s="17"/>
      <c r="G379" s="17"/>
      <c r="H379" s="17"/>
      <c r="I379" s="17"/>
      <c r="J379" s="18" t="str">
        <f aca="false">IF(COUNT(E379:I379)&lt;5,"",SUM(E379:I379))</f>
        <v/>
      </c>
      <c r="K379" s="18" t="str">
        <f aca="false">IF(J379="","",IF(M379&lt;설정!$B$3,"",ROUND(AVERAGEIFS($J$2:$J$1001,$B$2:$B$1001,B379,$A$2:$A$1001,"&lt;"&amp;A379,$A$2:$A$1001,"&gt;="&amp;(A379-설정!$B$2)),2)))</f>
        <v/>
      </c>
      <c r="L379" s="18" t="str">
        <f aca="false">IF(K379="","",ROUND(SQRT(MAX(0,(SUMIFS($R$2:$R$1001,$B$2:$B$1001,B379,$A$2:$A$1001,"&lt;"&amp;A379,$A$2:$A$1001,"&gt;="&amp;(A379-설정!$B$2))-M379*AVERAGEIFS($J$2:$J$1001,$B$2:$B$1001,B379,$A$2:$A$1001,"&lt;"&amp;A379,$A$2:$A$1001,"&gt;="&amp;(A379-설정!$B$2))^2)/(M379-1))),2))</f>
        <v/>
      </c>
      <c r="M379" s="18" t="str">
        <f aca="false">IF(J379="","",COUNTIFS($B$2:$B$1001,B379,$A$2:$A$1001,"&lt;"&amp;A379,$A$2:$A$1001,"&gt;="&amp;(A379-설정!$B$2),$J$2:$J$1001,"&gt;=0"))</f>
        <v/>
      </c>
      <c r="N379" s="18" t="str">
        <f aca="false">IF(K379="","",IF(L379=0,"",ROUND((J379-K379)/L379,2)))</f>
        <v/>
      </c>
      <c r="O379" s="19" t="str">
        <f aca="false">IF(J379="","",IF(MIN(F379,G379)&lt;=설정!$B$5,"예",""))</f>
        <v/>
      </c>
      <c r="P379" s="19" t="str">
        <f aca="false">IF(J379="","",IF(M379&lt;설정!$B$3,"baseline 수집 중",IF(N379="","정상",IF(N379&lt;=설정!$B$4,"낮음","정상"))))</f>
        <v/>
      </c>
      <c r="Q379" s="20"/>
      <c r="R379" s="18" t="str">
        <f aca="false">IF(J379="","",J379^2)</f>
        <v/>
      </c>
    </row>
    <row r="380" customFormat="false" ht="15" hidden="false" customHeight="false" outlineLevel="0" collapsed="false">
      <c r="A380" s="16"/>
      <c r="B380" s="17"/>
      <c r="C380" s="17"/>
      <c r="D380" s="17"/>
      <c r="E380" s="17"/>
      <c r="F380" s="17"/>
      <c r="G380" s="17"/>
      <c r="H380" s="17"/>
      <c r="I380" s="17"/>
      <c r="J380" s="18" t="str">
        <f aca="false">IF(COUNT(E380:I380)&lt;5,"",SUM(E380:I380))</f>
        <v/>
      </c>
      <c r="K380" s="18" t="str">
        <f aca="false">IF(J380="","",IF(M380&lt;설정!$B$3,"",ROUND(AVERAGEIFS($J$2:$J$1001,$B$2:$B$1001,B380,$A$2:$A$1001,"&lt;"&amp;A380,$A$2:$A$1001,"&gt;="&amp;(A380-설정!$B$2)),2)))</f>
        <v/>
      </c>
      <c r="L380" s="18" t="str">
        <f aca="false">IF(K380="","",ROUND(SQRT(MAX(0,(SUMIFS($R$2:$R$1001,$B$2:$B$1001,B380,$A$2:$A$1001,"&lt;"&amp;A380,$A$2:$A$1001,"&gt;="&amp;(A380-설정!$B$2))-M380*AVERAGEIFS($J$2:$J$1001,$B$2:$B$1001,B380,$A$2:$A$1001,"&lt;"&amp;A380,$A$2:$A$1001,"&gt;="&amp;(A380-설정!$B$2))^2)/(M380-1))),2))</f>
        <v/>
      </c>
      <c r="M380" s="18" t="str">
        <f aca="false">IF(J380="","",COUNTIFS($B$2:$B$1001,B380,$A$2:$A$1001,"&lt;"&amp;A380,$A$2:$A$1001,"&gt;="&amp;(A380-설정!$B$2),$J$2:$J$1001,"&gt;=0"))</f>
        <v/>
      </c>
      <c r="N380" s="18" t="str">
        <f aca="false">IF(K380="","",IF(L380=0,"",ROUND((J380-K380)/L380,2)))</f>
        <v/>
      </c>
      <c r="O380" s="19" t="str">
        <f aca="false">IF(J380="","",IF(MIN(F380,G380)&lt;=설정!$B$5,"예",""))</f>
        <v/>
      </c>
      <c r="P380" s="19" t="str">
        <f aca="false">IF(J380="","",IF(M380&lt;설정!$B$3,"baseline 수집 중",IF(N380="","정상",IF(N380&lt;=설정!$B$4,"낮음","정상"))))</f>
        <v/>
      </c>
      <c r="Q380" s="20"/>
      <c r="R380" s="18" t="str">
        <f aca="false">IF(J380="","",J380^2)</f>
        <v/>
      </c>
    </row>
    <row r="381" customFormat="false" ht="15" hidden="false" customHeight="false" outlineLevel="0" collapsed="false">
      <c r="A381" s="16"/>
      <c r="B381" s="17"/>
      <c r="C381" s="17"/>
      <c r="D381" s="17"/>
      <c r="E381" s="17"/>
      <c r="F381" s="17"/>
      <c r="G381" s="17"/>
      <c r="H381" s="17"/>
      <c r="I381" s="17"/>
      <c r="J381" s="18" t="str">
        <f aca="false">IF(COUNT(E381:I381)&lt;5,"",SUM(E381:I381))</f>
        <v/>
      </c>
      <c r="K381" s="18" t="str">
        <f aca="false">IF(J381="","",IF(M381&lt;설정!$B$3,"",ROUND(AVERAGEIFS($J$2:$J$1001,$B$2:$B$1001,B381,$A$2:$A$1001,"&lt;"&amp;A381,$A$2:$A$1001,"&gt;="&amp;(A381-설정!$B$2)),2)))</f>
        <v/>
      </c>
      <c r="L381" s="18" t="str">
        <f aca="false">IF(K381="","",ROUND(SQRT(MAX(0,(SUMIFS($R$2:$R$1001,$B$2:$B$1001,B381,$A$2:$A$1001,"&lt;"&amp;A381,$A$2:$A$1001,"&gt;="&amp;(A381-설정!$B$2))-M381*AVERAGEIFS($J$2:$J$1001,$B$2:$B$1001,B381,$A$2:$A$1001,"&lt;"&amp;A381,$A$2:$A$1001,"&gt;="&amp;(A381-설정!$B$2))^2)/(M381-1))),2))</f>
        <v/>
      </c>
      <c r="M381" s="18" t="str">
        <f aca="false">IF(J381="","",COUNTIFS($B$2:$B$1001,B381,$A$2:$A$1001,"&lt;"&amp;A381,$A$2:$A$1001,"&gt;="&amp;(A381-설정!$B$2),$J$2:$J$1001,"&gt;=0"))</f>
        <v/>
      </c>
      <c r="N381" s="18" t="str">
        <f aca="false">IF(K381="","",IF(L381=0,"",ROUND((J381-K381)/L381,2)))</f>
        <v/>
      </c>
      <c r="O381" s="19" t="str">
        <f aca="false">IF(J381="","",IF(MIN(F381,G381)&lt;=설정!$B$5,"예",""))</f>
        <v/>
      </c>
      <c r="P381" s="19" t="str">
        <f aca="false">IF(J381="","",IF(M381&lt;설정!$B$3,"baseline 수집 중",IF(N381="","정상",IF(N381&lt;=설정!$B$4,"낮음","정상"))))</f>
        <v/>
      </c>
      <c r="Q381" s="20"/>
      <c r="R381" s="18" t="str">
        <f aca="false">IF(J381="","",J381^2)</f>
        <v/>
      </c>
    </row>
    <row r="382" customFormat="false" ht="15" hidden="false" customHeight="false" outlineLevel="0" collapsed="false">
      <c r="A382" s="16"/>
      <c r="B382" s="17"/>
      <c r="C382" s="17"/>
      <c r="D382" s="17"/>
      <c r="E382" s="17"/>
      <c r="F382" s="17"/>
      <c r="G382" s="17"/>
      <c r="H382" s="17"/>
      <c r="I382" s="17"/>
      <c r="J382" s="18" t="str">
        <f aca="false">IF(COUNT(E382:I382)&lt;5,"",SUM(E382:I382))</f>
        <v/>
      </c>
      <c r="K382" s="18" t="str">
        <f aca="false">IF(J382="","",IF(M382&lt;설정!$B$3,"",ROUND(AVERAGEIFS($J$2:$J$1001,$B$2:$B$1001,B382,$A$2:$A$1001,"&lt;"&amp;A382,$A$2:$A$1001,"&gt;="&amp;(A382-설정!$B$2)),2)))</f>
        <v/>
      </c>
      <c r="L382" s="18" t="str">
        <f aca="false">IF(K382="","",ROUND(SQRT(MAX(0,(SUMIFS($R$2:$R$1001,$B$2:$B$1001,B382,$A$2:$A$1001,"&lt;"&amp;A382,$A$2:$A$1001,"&gt;="&amp;(A382-설정!$B$2))-M382*AVERAGEIFS($J$2:$J$1001,$B$2:$B$1001,B382,$A$2:$A$1001,"&lt;"&amp;A382,$A$2:$A$1001,"&gt;="&amp;(A382-설정!$B$2))^2)/(M382-1))),2))</f>
        <v/>
      </c>
      <c r="M382" s="18" t="str">
        <f aca="false">IF(J382="","",COUNTIFS($B$2:$B$1001,B382,$A$2:$A$1001,"&lt;"&amp;A382,$A$2:$A$1001,"&gt;="&amp;(A382-설정!$B$2),$J$2:$J$1001,"&gt;=0"))</f>
        <v/>
      </c>
      <c r="N382" s="18" t="str">
        <f aca="false">IF(K382="","",IF(L382=0,"",ROUND((J382-K382)/L382,2)))</f>
        <v/>
      </c>
      <c r="O382" s="19" t="str">
        <f aca="false">IF(J382="","",IF(MIN(F382,G382)&lt;=설정!$B$5,"예",""))</f>
        <v/>
      </c>
      <c r="P382" s="19" t="str">
        <f aca="false">IF(J382="","",IF(M382&lt;설정!$B$3,"baseline 수집 중",IF(N382="","정상",IF(N382&lt;=설정!$B$4,"낮음","정상"))))</f>
        <v/>
      </c>
      <c r="Q382" s="20"/>
      <c r="R382" s="18" t="str">
        <f aca="false">IF(J382="","",J382^2)</f>
        <v/>
      </c>
    </row>
    <row r="383" customFormat="false" ht="15" hidden="false" customHeight="false" outlineLevel="0" collapsed="false">
      <c r="A383" s="16"/>
      <c r="B383" s="17"/>
      <c r="C383" s="17"/>
      <c r="D383" s="17"/>
      <c r="E383" s="17"/>
      <c r="F383" s="17"/>
      <c r="G383" s="17"/>
      <c r="H383" s="17"/>
      <c r="I383" s="17"/>
      <c r="J383" s="18" t="str">
        <f aca="false">IF(COUNT(E383:I383)&lt;5,"",SUM(E383:I383))</f>
        <v/>
      </c>
      <c r="K383" s="18" t="str">
        <f aca="false">IF(J383="","",IF(M383&lt;설정!$B$3,"",ROUND(AVERAGEIFS($J$2:$J$1001,$B$2:$B$1001,B383,$A$2:$A$1001,"&lt;"&amp;A383,$A$2:$A$1001,"&gt;="&amp;(A383-설정!$B$2)),2)))</f>
        <v/>
      </c>
      <c r="L383" s="18" t="str">
        <f aca="false">IF(K383="","",ROUND(SQRT(MAX(0,(SUMIFS($R$2:$R$1001,$B$2:$B$1001,B383,$A$2:$A$1001,"&lt;"&amp;A383,$A$2:$A$1001,"&gt;="&amp;(A383-설정!$B$2))-M383*AVERAGEIFS($J$2:$J$1001,$B$2:$B$1001,B383,$A$2:$A$1001,"&lt;"&amp;A383,$A$2:$A$1001,"&gt;="&amp;(A383-설정!$B$2))^2)/(M383-1))),2))</f>
        <v/>
      </c>
      <c r="M383" s="18" t="str">
        <f aca="false">IF(J383="","",COUNTIFS($B$2:$B$1001,B383,$A$2:$A$1001,"&lt;"&amp;A383,$A$2:$A$1001,"&gt;="&amp;(A383-설정!$B$2),$J$2:$J$1001,"&gt;=0"))</f>
        <v/>
      </c>
      <c r="N383" s="18" t="str">
        <f aca="false">IF(K383="","",IF(L383=0,"",ROUND((J383-K383)/L383,2)))</f>
        <v/>
      </c>
      <c r="O383" s="19" t="str">
        <f aca="false">IF(J383="","",IF(MIN(F383,G383)&lt;=설정!$B$5,"예",""))</f>
        <v/>
      </c>
      <c r="P383" s="19" t="str">
        <f aca="false">IF(J383="","",IF(M383&lt;설정!$B$3,"baseline 수집 중",IF(N383="","정상",IF(N383&lt;=설정!$B$4,"낮음","정상"))))</f>
        <v/>
      </c>
      <c r="Q383" s="20"/>
      <c r="R383" s="18" t="str">
        <f aca="false">IF(J383="","",J383^2)</f>
        <v/>
      </c>
    </row>
    <row r="384" customFormat="false" ht="15" hidden="false" customHeight="false" outlineLevel="0" collapsed="false">
      <c r="A384" s="16"/>
      <c r="B384" s="17"/>
      <c r="C384" s="17"/>
      <c r="D384" s="17"/>
      <c r="E384" s="17"/>
      <c r="F384" s="17"/>
      <c r="G384" s="17"/>
      <c r="H384" s="17"/>
      <c r="I384" s="17"/>
      <c r="J384" s="18" t="str">
        <f aca="false">IF(COUNT(E384:I384)&lt;5,"",SUM(E384:I384))</f>
        <v/>
      </c>
      <c r="K384" s="18" t="str">
        <f aca="false">IF(J384="","",IF(M384&lt;설정!$B$3,"",ROUND(AVERAGEIFS($J$2:$J$1001,$B$2:$B$1001,B384,$A$2:$A$1001,"&lt;"&amp;A384,$A$2:$A$1001,"&gt;="&amp;(A384-설정!$B$2)),2)))</f>
        <v/>
      </c>
      <c r="L384" s="18" t="str">
        <f aca="false">IF(K384="","",ROUND(SQRT(MAX(0,(SUMIFS($R$2:$R$1001,$B$2:$B$1001,B384,$A$2:$A$1001,"&lt;"&amp;A384,$A$2:$A$1001,"&gt;="&amp;(A384-설정!$B$2))-M384*AVERAGEIFS($J$2:$J$1001,$B$2:$B$1001,B384,$A$2:$A$1001,"&lt;"&amp;A384,$A$2:$A$1001,"&gt;="&amp;(A384-설정!$B$2))^2)/(M384-1))),2))</f>
        <v/>
      </c>
      <c r="M384" s="18" t="str">
        <f aca="false">IF(J384="","",COUNTIFS($B$2:$B$1001,B384,$A$2:$A$1001,"&lt;"&amp;A384,$A$2:$A$1001,"&gt;="&amp;(A384-설정!$B$2),$J$2:$J$1001,"&gt;=0"))</f>
        <v/>
      </c>
      <c r="N384" s="18" t="str">
        <f aca="false">IF(K384="","",IF(L384=0,"",ROUND((J384-K384)/L384,2)))</f>
        <v/>
      </c>
      <c r="O384" s="19" t="str">
        <f aca="false">IF(J384="","",IF(MIN(F384,G384)&lt;=설정!$B$5,"예",""))</f>
        <v/>
      </c>
      <c r="P384" s="19" t="str">
        <f aca="false">IF(J384="","",IF(M384&lt;설정!$B$3,"baseline 수집 중",IF(N384="","정상",IF(N384&lt;=설정!$B$4,"낮음","정상"))))</f>
        <v/>
      </c>
      <c r="Q384" s="20"/>
      <c r="R384" s="18" t="str">
        <f aca="false">IF(J384="","",J384^2)</f>
        <v/>
      </c>
    </row>
    <row r="385" customFormat="false" ht="15" hidden="false" customHeight="false" outlineLevel="0" collapsed="false">
      <c r="A385" s="16"/>
      <c r="B385" s="17"/>
      <c r="C385" s="17"/>
      <c r="D385" s="17"/>
      <c r="E385" s="17"/>
      <c r="F385" s="17"/>
      <c r="G385" s="17"/>
      <c r="H385" s="17"/>
      <c r="I385" s="17"/>
      <c r="J385" s="18" t="str">
        <f aca="false">IF(COUNT(E385:I385)&lt;5,"",SUM(E385:I385))</f>
        <v/>
      </c>
      <c r="K385" s="18" t="str">
        <f aca="false">IF(J385="","",IF(M385&lt;설정!$B$3,"",ROUND(AVERAGEIFS($J$2:$J$1001,$B$2:$B$1001,B385,$A$2:$A$1001,"&lt;"&amp;A385,$A$2:$A$1001,"&gt;="&amp;(A385-설정!$B$2)),2)))</f>
        <v/>
      </c>
      <c r="L385" s="18" t="str">
        <f aca="false">IF(K385="","",ROUND(SQRT(MAX(0,(SUMIFS($R$2:$R$1001,$B$2:$B$1001,B385,$A$2:$A$1001,"&lt;"&amp;A385,$A$2:$A$1001,"&gt;="&amp;(A385-설정!$B$2))-M385*AVERAGEIFS($J$2:$J$1001,$B$2:$B$1001,B385,$A$2:$A$1001,"&lt;"&amp;A385,$A$2:$A$1001,"&gt;="&amp;(A385-설정!$B$2))^2)/(M385-1))),2))</f>
        <v/>
      </c>
      <c r="M385" s="18" t="str">
        <f aca="false">IF(J385="","",COUNTIFS($B$2:$B$1001,B385,$A$2:$A$1001,"&lt;"&amp;A385,$A$2:$A$1001,"&gt;="&amp;(A385-설정!$B$2),$J$2:$J$1001,"&gt;=0"))</f>
        <v/>
      </c>
      <c r="N385" s="18" t="str">
        <f aca="false">IF(K385="","",IF(L385=0,"",ROUND((J385-K385)/L385,2)))</f>
        <v/>
      </c>
      <c r="O385" s="19" t="str">
        <f aca="false">IF(J385="","",IF(MIN(F385,G385)&lt;=설정!$B$5,"예",""))</f>
        <v/>
      </c>
      <c r="P385" s="19" t="str">
        <f aca="false">IF(J385="","",IF(M385&lt;설정!$B$3,"baseline 수집 중",IF(N385="","정상",IF(N385&lt;=설정!$B$4,"낮음","정상"))))</f>
        <v/>
      </c>
      <c r="Q385" s="20"/>
      <c r="R385" s="18" t="str">
        <f aca="false">IF(J385="","",J385^2)</f>
        <v/>
      </c>
    </row>
    <row r="386" customFormat="false" ht="15" hidden="false" customHeight="false" outlineLevel="0" collapsed="false">
      <c r="A386" s="16"/>
      <c r="B386" s="17"/>
      <c r="C386" s="17"/>
      <c r="D386" s="17"/>
      <c r="E386" s="17"/>
      <c r="F386" s="17"/>
      <c r="G386" s="17"/>
      <c r="H386" s="17"/>
      <c r="I386" s="17"/>
      <c r="J386" s="18" t="str">
        <f aca="false">IF(COUNT(E386:I386)&lt;5,"",SUM(E386:I386))</f>
        <v/>
      </c>
      <c r="K386" s="18" t="str">
        <f aca="false">IF(J386="","",IF(M386&lt;설정!$B$3,"",ROUND(AVERAGEIFS($J$2:$J$1001,$B$2:$B$1001,B386,$A$2:$A$1001,"&lt;"&amp;A386,$A$2:$A$1001,"&gt;="&amp;(A386-설정!$B$2)),2)))</f>
        <v/>
      </c>
      <c r="L386" s="18" t="str">
        <f aca="false">IF(K386="","",ROUND(SQRT(MAX(0,(SUMIFS($R$2:$R$1001,$B$2:$B$1001,B386,$A$2:$A$1001,"&lt;"&amp;A386,$A$2:$A$1001,"&gt;="&amp;(A386-설정!$B$2))-M386*AVERAGEIFS($J$2:$J$1001,$B$2:$B$1001,B386,$A$2:$A$1001,"&lt;"&amp;A386,$A$2:$A$1001,"&gt;="&amp;(A386-설정!$B$2))^2)/(M386-1))),2))</f>
        <v/>
      </c>
      <c r="M386" s="18" t="str">
        <f aca="false">IF(J386="","",COUNTIFS($B$2:$B$1001,B386,$A$2:$A$1001,"&lt;"&amp;A386,$A$2:$A$1001,"&gt;="&amp;(A386-설정!$B$2),$J$2:$J$1001,"&gt;=0"))</f>
        <v/>
      </c>
      <c r="N386" s="18" t="str">
        <f aca="false">IF(K386="","",IF(L386=0,"",ROUND((J386-K386)/L386,2)))</f>
        <v/>
      </c>
      <c r="O386" s="19" t="str">
        <f aca="false">IF(J386="","",IF(MIN(F386,G386)&lt;=설정!$B$5,"예",""))</f>
        <v/>
      </c>
      <c r="P386" s="19" t="str">
        <f aca="false">IF(J386="","",IF(M386&lt;설정!$B$3,"baseline 수집 중",IF(N386="","정상",IF(N386&lt;=설정!$B$4,"낮음","정상"))))</f>
        <v/>
      </c>
      <c r="Q386" s="20"/>
      <c r="R386" s="18" t="str">
        <f aca="false">IF(J386="","",J386^2)</f>
        <v/>
      </c>
    </row>
    <row r="387" customFormat="false" ht="15" hidden="false" customHeight="false" outlineLevel="0" collapsed="false">
      <c r="A387" s="16"/>
      <c r="B387" s="17"/>
      <c r="C387" s="17"/>
      <c r="D387" s="17"/>
      <c r="E387" s="17"/>
      <c r="F387" s="17"/>
      <c r="G387" s="17"/>
      <c r="H387" s="17"/>
      <c r="I387" s="17"/>
      <c r="J387" s="18" t="str">
        <f aca="false">IF(COUNT(E387:I387)&lt;5,"",SUM(E387:I387))</f>
        <v/>
      </c>
      <c r="K387" s="18" t="str">
        <f aca="false">IF(J387="","",IF(M387&lt;설정!$B$3,"",ROUND(AVERAGEIFS($J$2:$J$1001,$B$2:$B$1001,B387,$A$2:$A$1001,"&lt;"&amp;A387,$A$2:$A$1001,"&gt;="&amp;(A387-설정!$B$2)),2)))</f>
        <v/>
      </c>
      <c r="L387" s="18" t="str">
        <f aca="false">IF(K387="","",ROUND(SQRT(MAX(0,(SUMIFS($R$2:$R$1001,$B$2:$B$1001,B387,$A$2:$A$1001,"&lt;"&amp;A387,$A$2:$A$1001,"&gt;="&amp;(A387-설정!$B$2))-M387*AVERAGEIFS($J$2:$J$1001,$B$2:$B$1001,B387,$A$2:$A$1001,"&lt;"&amp;A387,$A$2:$A$1001,"&gt;="&amp;(A387-설정!$B$2))^2)/(M387-1))),2))</f>
        <v/>
      </c>
      <c r="M387" s="18" t="str">
        <f aca="false">IF(J387="","",COUNTIFS($B$2:$B$1001,B387,$A$2:$A$1001,"&lt;"&amp;A387,$A$2:$A$1001,"&gt;="&amp;(A387-설정!$B$2),$J$2:$J$1001,"&gt;=0"))</f>
        <v/>
      </c>
      <c r="N387" s="18" t="str">
        <f aca="false">IF(K387="","",IF(L387=0,"",ROUND((J387-K387)/L387,2)))</f>
        <v/>
      </c>
      <c r="O387" s="19" t="str">
        <f aca="false">IF(J387="","",IF(MIN(F387,G387)&lt;=설정!$B$5,"예",""))</f>
        <v/>
      </c>
      <c r="P387" s="19" t="str">
        <f aca="false">IF(J387="","",IF(M387&lt;설정!$B$3,"baseline 수집 중",IF(N387="","정상",IF(N387&lt;=설정!$B$4,"낮음","정상"))))</f>
        <v/>
      </c>
      <c r="Q387" s="20"/>
      <c r="R387" s="18" t="str">
        <f aca="false">IF(J387="","",J387^2)</f>
        <v/>
      </c>
    </row>
    <row r="388" customFormat="false" ht="15" hidden="false" customHeight="false" outlineLevel="0" collapsed="false">
      <c r="A388" s="16"/>
      <c r="B388" s="17"/>
      <c r="C388" s="17"/>
      <c r="D388" s="17"/>
      <c r="E388" s="17"/>
      <c r="F388" s="17"/>
      <c r="G388" s="17"/>
      <c r="H388" s="17"/>
      <c r="I388" s="17"/>
      <c r="J388" s="18" t="str">
        <f aca="false">IF(COUNT(E388:I388)&lt;5,"",SUM(E388:I388))</f>
        <v/>
      </c>
      <c r="K388" s="18" t="str">
        <f aca="false">IF(J388="","",IF(M388&lt;설정!$B$3,"",ROUND(AVERAGEIFS($J$2:$J$1001,$B$2:$B$1001,B388,$A$2:$A$1001,"&lt;"&amp;A388,$A$2:$A$1001,"&gt;="&amp;(A388-설정!$B$2)),2)))</f>
        <v/>
      </c>
      <c r="L388" s="18" t="str">
        <f aca="false">IF(K388="","",ROUND(SQRT(MAX(0,(SUMIFS($R$2:$R$1001,$B$2:$B$1001,B388,$A$2:$A$1001,"&lt;"&amp;A388,$A$2:$A$1001,"&gt;="&amp;(A388-설정!$B$2))-M388*AVERAGEIFS($J$2:$J$1001,$B$2:$B$1001,B388,$A$2:$A$1001,"&lt;"&amp;A388,$A$2:$A$1001,"&gt;="&amp;(A388-설정!$B$2))^2)/(M388-1))),2))</f>
        <v/>
      </c>
      <c r="M388" s="18" t="str">
        <f aca="false">IF(J388="","",COUNTIFS($B$2:$B$1001,B388,$A$2:$A$1001,"&lt;"&amp;A388,$A$2:$A$1001,"&gt;="&amp;(A388-설정!$B$2),$J$2:$J$1001,"&gt;=0"))</f>
        <v/>
      </c>
      <c r="N388" s="18" t="str">
        <f aca="false">IF(K388="","",IF(L388=0,"",ROUND((J388-K388)/L388,2)))</f>
        <v/>
      </c>
      <c r="O388" s="19" t="str">
        <f aca="false">IF(J388="","",IF(MIN(F388,G388)&lt;=설정!$B$5,"예",""))</f>
        <v/>
      </c>
      <c r="P388" s="19" t="str">
        <f aca="false">IF(J388="","",IF(M388&lt;설정!$B$3,"baseline 수집 중",IF(N388="","정상",IF(N388&lt;=설정!$B$4,"낮음","정상"))))</f>
        <v/>
      </c>
      <c r="Q388" s="20"/>
      <c r="R388" s="18" t="str">
        <f aca="false">IF(J388="","",J388^2)</f>
        <v/>
      </c>
    </row>
    <row r="389" customFormat="false" ht="15" hidden="false" customHeight="false" outlineLevel="0" collapsed="false">
      <c r="A389" s="16"/>
      <c r="B389" s="17"/>
      <c r="C389" s="17"/>
      <c r="D389" s="17"/>
      <c r="E389" s="17"/>
      <c r="F389" s="17"/>
      <c r="G389" s="17"/>
      <c r="H389" s="17"/>
      <c r="I389" s="17"/>
      <c r="J389" s="18" t="str">
        <f aca="false">IF(COUNT(E389:I389)&lt;5,"",SUM(E389:I389))</f>
        <v/>
      </c>
      <c r="K389" s="18" t="str">
        <f aca="false">IF(J389="","",IF(M389&lt;설정!$B$3,"",ROUND(AVERAGEIFS($J$2:$J$1001,$B$2:$B$1001,B389,$A$2:$A$1001,"&lt;"&amp;A389,$A$2:$A$1001,"&gt;="&amp;(A389-설정!$B$2)),2)))</f>
        <v/>
      </c>
      <c r="L389" s="18" t="str">
        <f aca="false">IF(K389="","",ROUND(SQRT(MAX(0,(SUMIFS($R$2:$R$1001,$B$2:$B$1001,B389,$A$2:$A$1001,"&lt;"&amp;A389,$A$2:$A$1001,"&gt;="&amp;(A389-설정!$B$2))-M389*AVERAGEIFS($J$2:$J$1001,$B$2:$B$1001,B389,$A$2:$A$1001,"&lt;"&amp;A389,$A$2:$A$1001,"&gt;="&amp;(A389-설정!$B$2))^2)/(M389-1))),2))</f>
        <v/>
      </c>
      <c r="M389" s="18" t="str">
        <f aca="false">IF(J389="","",COUNTIFS($B$2:$B$1001,B389,$A$2:$A$1001,"&lt;"&amp;A389,$A$2:$A$1001,"&gt;="&amp;(A389-설정!$B$2),$J$2:$J$1001,"&gt;=0"))</f>
        <v/>
      </c>
      <c r="N389" s="18" t="str">
        <f aca="false">IF(K389="","",IF(L389=0,"",ROUND((J389-K389)/L389,2)))</f>
        <v/>
      </c>
      <c r="O389" s="19" t="str">
        <f aca="false">IF(J389="","",IF(MIN(F389,G389)&lt;=설정!$B$5,"예",""))</f>
        <v/>
      </c>
      <c r="P389" s="19" t="str">
        <f aca="false">IF(J389="","",IF(M389&lt;설정!$B$3,"baseline 수집 중",IF(N389="","정상",IF(N389&lt;=설정!$B$4,"낮음","정상"))))</f>
        <v/>
      </c>
      <c r="Q389" s="20"/>
      <c r="R389" s="18" t="str">
        <f aca="false">IF(J389="","",J389^2)</f>
        <v/>
      </c>
    </row>
    <row r="390" customFormat="false" ht="15" hidden="false" customHeight="false" outlineLevel="0" collapsed="false">
      <c r="A390" s="16"/>
      <c r="B390" s="17"/>
      <c r="C390" s="17"/>
      <c r="D390" s="17"/>
      <c r="E390" s="17"/>
      <c r="F390" s="17"/>
      <c r="G390" s="17"/>
      <c r="H390" s="17"/>
      <c r="I390" s="17"/>
      <c r="J390" s="18" t="str">
        <f aca="false">IF(COUNT(E390:I390)&lt;5,"",SUM(E390:I390))</f>
        <v/>
      </c>
      <c r="K390" s="18" t="str">
        <f aca="false">IF(J390="","",IF(M390&lt;설정!$B$3,"",ROUND(AVERAGEIFS($J$2:$J$1001,$B$2:$B$1001,B390,$A$2:$A$1001,"&lt;"&amp;A390,$A$2:$A$1001,"&gt;="&amp;(A390-설정!$B$2)),2)))</f>
        <v/>
      </c>
      <c r="L390" s="18" t="str">
        <f aca="false">IF(K390="","",ROUND(SQRT(MAX(0,(SUMIFS($R$2:$R$1001,$B$2:$B$1001,B390,$A$2:$A$1001,"&lt;"&amp;A390,$A$2:$A$1001,"&gt;="&amp;(A390-설정!$B$2))-M390*AVERAGEIFS($J$2:$J$1001,$B$2:$B$1001,B390,$A$2:$A$1001,"&lt;"&amp;A390,$A$2:$A$1001,"&gt;="&amp;(A390-설정!$B$2))^2)/(M390-1))),2))</f>
        <v/>
      </c>
      <c r="M390" s="18" t="str">
        <f aca="false">IF(J390="","",COUNTIFS($B$2:$B$1001,B390,$A$2:$A$1001,"&lt;"&amp;A390,$A$2:$A$1001,"&gt;="&amp;(A390-설정!$B$2),$J$2:$J$1001,"&gt;=0"))</f>
        <v/>
      </c>
      <c r="N390" s="18" t="str">
        <f aca="false">IF(K390="","",IF(L390=0,"",ROUND((J390-K390)/L390,2)))</f>
        <v/>
      </c>
      <c r="O390" s="19" t="str">
        <f aca="false">IF(J390="","",IF(MIN(F390,G390)&lt;=설정!$B$5,"예",""))</f>
        <v/>
      </c>
      <c r="P390" s="19" t="str">
        <f aca="false">IF(J390="","",IF(M390&lt;설정!$B$3,"baseline 수집 중",IF(N390="","정상",IF(N390&lt;=설정!$B$4,"낮음","정상"))))</f>
        <v/>
      </c>
      <c r="Q390" s="20"/>
      <c r="R390" s="18" t="str">
        <f aca="false">IF(J390="","",J390^2)</f>
        <v/>
      </c>
    </row>
    <row r="391" customFormat="false" ht="15" hidden="false" customHeight="false" outlineLevel="0" collapsed="false">
      <c r="A391" s="16"/>
      <c r="B391" s="17"/>
      <c r="C391" s="17"/>
      <c r="D391" s="17"/>
      <c r="E391" s="17"/>
      <c r="F391" s="17"/>
      <c r="G391" s="17"/>
      <c r="H391" s="17"/>
      <c r="I391" s="17"/>
      <c r="J391" s="18" t="str">
        <f aca="false">IF(COUNT(E391:I391)&lt;5,"",SUM(E391:I391))</f>
        <v/>
      </c>
      <c r="K391" s="18" t="str">
        <f aca="false">IF(J391="","",IF(M391&lt;설정!$B$3,"",ROUND(AVERAGEIFS($J$2:$J$1001,$B$2:$B$1001,B391,$A$2:$A$1001,"&lt;"&amp;A391,$A$2:$A$1001,"&gt;="&amp;(A391-설정!$B$2)),2)))</f>
        <v/>
      </c>
      <c r="L391" s="18" t="str">
        <f aca="false">IF(K391="","",ROUND(SQRT(MAX(0,(SUMIFS($R$2:$R$1001,$B$2:$B$1001,B391,$A$2:$A$1001,"&lt;"&amp;A391,$A$2:$A$1001,"&gt;="&amp;(A391-설정!$B$2))-M391*AVERAGEIFS($J$2:$J$1001,$B$2:$B$1001,B391,$A$2:$A$1001,"&lt;"&amp;A391,$A$2:$A$1001,"&gt;="&amp;(A391-설정!$B$2))^2)/(M391-1))),2))</f>
        <v/>
      </c>
      <c r="M391" s="18" t="str">
        <f aca="false">IF(J391="","",COUNTIFS($B$2:$B$1001,B391,$A$2:$A$1001,"&lt;"&amp;A391,$A$2:$A$1001,"&gt;="&amp;(A391-설정!$B$2),$J$2:$J$1001,"&gt;=0"))</f>
        <v/>
      </c>
      <c r="N391" s="18" t="str">
        <f aca="false">IF(K391="","",IF(L391=0,"",ROUND((J391-K391)/L391,2)))</f>
        <v/>
      </c>
      <c r="O391" s="19" t="str">
        <f aca="false">IF(J391="","",IF(MIN(F391,G391)&lt;=설정!$B$5,"예",""))</f>
        <v/>
      </c>
      <c r="P391" s="19" t="str">
        <f aca="false">IF(J391="","",IF(M391&lt;설정!$B$3,"baseline 수집 중",IF(N391="","정상",IF(N391&lt;=설정!$B$4,"낮음","정상"))))</f>
        <v/>
      </c>
      <c r="Q391" s="20"/>
      <c r="R391" s="18" t="str">
        <f aca="false">IF(J391="","",J391^2)</f>
        <v/>
      </c>
    </row>
    <row r="392" customFormat="false" ht="15" hidden="false" customHeight="false" outlineLevel="0" collapsed="false">
      <c r="A392" s="16"/>
      <c r="B392" s="17"/>
      <c r="C392" s="17"/>
      <c r="D392" s="17"/>
      <c r="E392" s="17"/>
      <c r="F392" s="17"/>
      <c r="G392" s="17"/>
      <c r="H392" s="17"/>
      <c r="I392" s="17"/>
      <c r="J392" s="18" t="str">
        <f aca="false">IF(COUNT(E392:I392)&lt;5,"",SUM(E392:I392))</f>
        <v/>
      </c>
      <c r="K392" s="18" t="str">
        <f aca="false">IF(J392="","",IF(M392&lt;설정!$B$3,"",ROUND(AVERAGEIFS($J$2:$J$1001,$B$2:$B$1001,B392,$A$2:$A$1001,"&lt;"&amp;A392,$A$2:$A$1001,"&gt;="&amp;(A392-설정!$B$2)),2)))</f>
        <v/>
      </c>
      <c r="L392" s="18" t="str">
        <f aca="false">IF(K392="","",ROUND(SQRT(MAX(0,(SUMIFS($R$2:$R$1001,$B$2:$B$1001,B392,$A$2:$A$1001,"&lt;"&amp;A392,$A$2:$A$1001,"&gt;="&amp;(A392-설정!$B$2))-M392*AVERAGEIFS($J$2:$J$1001,$B$2:$B$1001,B392,$A$2:$A$1001,"&lt;"&amp;A392,$A$2:$A$1001,"&gt;="&amp;(A392-설정!$B$2))^2)/(M392-1))),2))</f>
        <v/>
      </c>
      <c r="M392" s="18" t="str">
        <f aca="false">IF(J392="","",COUNTIFS($B$2:$B$1001,B392,$A$2:$A$1001,"&lt;"&amp;A392,$A$2:$A$1001,"&gt;="&amp;(A392-설정!$B$2),$J$2:$J$1001,"&gt;=0"))</f>
        <v/>
      </c>
      <c r="N392" s="18" t="str">
        <f aca="false">IF(K392="","",IF(L392=0,"",ROUND((J392-K392)/L392,2)))</f>
        <v/>
      </c>
      <c r="O392" s="19" t="str">
        <f aca="false">IF(J392="","",IF(MIN(F392,G392)&lt;=설정!$B$5,"예",""))</f>
        <v/>
      </c>
      <c r="P392" s="19" t="str">
        <f aca="false">IF(J392="","",IF(M392&lt;설정!$B$3,"baseline 수집 중",IF(N392="","정상",IF(N392&lt;=설정!$B$4,"낮음","정상"))))</f>
        <v/>
      </c>
      <c r="Q392" s="20"/>
      <c r="R392" s="18" t="str">
        <f aca="false">IF(J392="","",J392^2)</f>
        <v/>
      </c>
    </row>
    <row r="393" customFormat="false" ht="15" hidden="false" customHeight="false" outlineLevel="0" collapsed="false">
      <c r="A393" s="16"/>
      <c r="B393" s="17"/>
      <c r="C393" s="17"/>
      <c r="D393" s="17"/>
      <c r="E393" s="17"/>
      <c r="F393" s="17"/>
      <c r="G393" s="17"/>
      <c r="H393" s="17"/>
      <c r="I393" s="17"/>
      <c r="J393" s="18" t="str">
        <f aca="false">IF(COUNT(E393:I393)&lt;5,"",SUM(E393:I393))</f>
        <v/>
      </c>
      <c r="K393" s="18" t="str">
        <f aca="false">IF(J393="","",IF(M393&lt;설정!$B$3,"",ROUND(AVERAGEIFS($J$2:$J$1001,$B$2:$B$1001,B393,$A$2:$A$1001,"&lt;"&amp;A393,$A$2:$A$1001,"&gt;="&amp;(A393-설정!$B$2)),2)))</f>
        <v/>
      </c>
      <c r="L393" s="18" t="str">
        <f aca="false">IF(K393="","",ROUND(SQRT(MAX(0,(SUMIFS($R$2:$R$1001,$B$2:$B$1001,B393,$A$2:$A$1001,"&lt;"&amp;A393,$A$2:$A$1001,"&gt;="&amp;(A393-설정!$B$2))-M393*AVERAGEIFS($J$2:$J$1001,$B$2:$B$1001,B393,$A$2:$A$1001,"&lt;"&amp;A393,$A$2:$A$1001,"&gt;="&amp;(A393-설정!$B$2))^2)/(M393-1))),2))</f>
        <v/>
      </c>
      <c r="M393" s="18" t="str">
        <f aca="false">IF(J393="","",COUNTIFS($B$2:$B$1001,B393,$A$2:$A$1001,"&lt;"&amp;A393,$A$2:$A$1001,"&gt;="&amp;(A393-설정!$B$2),$J$2:$J$1001,"&gt;=0"))</f>
        <v/>
      </c>
      <c r="N393" s="18" t="str">
        <f aca="false">IF(K393="","",IF(L393=0,"",ROUND((J393-K393)/L393,2)))</f>
        <v/>
      </c>
      <c r="O393" s="19" t="str">
        <f aca="false">IF(J393="","",IF(MIN(F393,G393)&lt;=설정!$B$5,"예",""))</f>
        <v/>
      </c>
      <c r="P393" s="19" t="str">
        <f aca="false">IF(J393="","",IF(M393&lt;설정!$B$3,"baseline 수집 중",IF(N393="","정상",IF(N393&lt;=설정!$B$4,"낮음","정상"))))</f>
        <v/>
      </c>
      <c r="Q393" s="20"/>
      <c r="R393" s="18" t="str">
        <f aca="false">IF(J393="","",J393^2)</f>
        <v/>
      </c>
    </row>
    <row r="394" customFormat="false" ht="15" hidden="false" customHeight="false" outlineLevel="0" collapsed="false">
      <c r="A394" s="16"/>
      <c r="B394" s="17"/>
      <c r="C394" s="17"/>
      <c r="D394" s="17"/>
      <c r="E394" s="17"/>
      <c r="F394" s="17"/>
      <c r="G394" s="17"/>
      <c r="H394" s="17"/>
      <c r="I394" s="17"/>
      <c r="J394" s="18" t="str">
        <f aca="false">IF(COUNT(E394:I394)&lt;5,"",SUM(E394:I394))</f>
        <v/>
      </c>
      <c r="K394" s="18" t="str">
        <f aca="false">IF(J394="","",IF(M394&lt;설정!$B$3,"",ROUND(AVERAGEIFS($J$2:$J$1001,$B$2:$B$1001,B394,$A$2:$A$1001,"&lt;"&amp;A394,$A$2:$A$1001,"&gt;="&amp;(A394-설정!$B$2)),2)))</f>
        <v/>
      </c>
      <c r="L394" s="18" t="str">
        <f aca="false">IF(K394="","",ROUND(SQRT(MAX(0,(SUMIFS($R$2:$R$1001,$B$2:$B$1001,B394,$A$2:$A$1001,"&lt;"&amp;A394,$A$2:$A$1001,"&gt;="&amp;(A394-설정!$B$2))-M394*AVERAGEIFS($J$2:$J$1001,$B$2:$B$1001,B394,$A$2:$A$1001,"&lt;"&amp;A394,$A$2:$A$1001,"&gt;="&amp;(A394-설정!$B$2))^2)/(M394-1))),2))</f>
        <v/>
      </c>
      <c r="M394" s="18" t="str">
        <f aca="false">IF(J394="","",COUNTIFS($B$2:$B$1001,B394,$A$2:$A$1001,"&lt;"&amp;A394,$A$2:$A$1001,"&gt;="&amp;(A394-설정!$B$2),$J$2:$J$1001,"&gt;=0"))</f>
        <v/>
      </c>
      <c r="N394" s="18" t="str">
        <f aca="false">IF(K394="","",IF(L394=0,"",ROUND((J394-K394)/L394,2)))</f>
        <v/>
      </c>
      <c r="O394" s="19" t="str">
        <f aca="false">IF(J394="","",IF(MIN(F394,G394)&lt;=설정!$B$5,"예",""))</f>
        <v/>
      </c>
      <c r="P394" s="19" t="str">
        <f aca="false">IF(J394="","",IF(M394&lt;설정!$B$3,"baseline 수집 중",IF(N394="","정상",IF(N394&lt;=설정!$B$4,"낮음","정상"))))</f>
        <v/>
      </c>
      <c r="Q394" s="20"/>
      <c r="R394" s="18" t="str">
        <f aca="false">IF(J394="","",J394^2)</f>
        <v/>
      </c>
    </row>
    <row r="395" customFormat="false" ht="15" hidden="false" customHeight="false" outlineLevel="0" collapsed="false">
      <c r="A395" s="16"/>
      <c r="B395" s="17"/>
      <c r="C395" s="17"/>
      <c r="D395" s="17"/>
      <c r="E395" s="17"/>
      <c r="F395" s="17"/>
      <c r="G395" s="17"/>
      <c r="H395" s="17"/>
      <c r="I395" s="17"/>
      <c r="J395" s="18" t="str">
        <f aca="false">IF(COUNT(E395:I395)&lt;5,"",SUM(E395:I395))</f>
        <v/>
      </c>
      <c r="K395" s="18" t="str">
        <f aca="false">IF(J395="","",IF(M395&lt;설정!$B$3,"",ROUND(AVERAGEIFS($J$2:$J$1001,$B$2:$B$1001,B395,$A$2:$A$1001,"&lt;"&amp;A395,$A$2:$A$1001,"&gt;="&amp;(A395-설정!$B$2)),2)))</f>
        <v/>
      </c>
      <c r="L395" s="18" t="str">
        <f aca="false">IF(K395="","",ROUND(SQRT(MAX(0,(SUMIFS($R$2:$R$1001,$B$2:$B$1001,B395,$A$2:$A$1001,"&lt;"&amp;A395,$A$2:$A$1001,"&gt;="&amp;(A395-설정!$B$2))-M395*AVERAGEIFS($J$2:$J$1001,$B$2:$B$1001,B395,$A$2:$A$1001,"&lt;"&amp;A395,$A$2:$A$1001,"&gt;="&amp;(A395-설정!$B$2))^2)/(M395-1))),2))</f>
        <v/>
      </c>
      <c r="M395" s="18" t="str">
        <f aca="false">IF(J395="","",COUNTIFS($B$2:$B$1001,B395,$A$2:$A$1001,"&lt;"&amp;A395,$A$2:$A$1001,"&gt;="&amp;(A395-설정!$B$2),$J$2:$J$1001,"&gt;=0"))</f>
        <v/>
      </c>
      <c r="N395" s="18" t="str">
        <f aca="false">IF(K395="","",IF(L395=0,"",ROUND((J395-K395)/L395,2)))</f>
        <v/>
      </c>
      <c r="O395" s="19" t="str">
        <f aca="false">IF(J395="","",IF(MIN(F395,G395)&lt;=설정!$B$5,"예",""))</f>
        <v/>
      </c>
      <c r="P395" s="19" t="str">
        <f aca="false">IF(J395="","",IF(M395&lt;설정!$B$3,"baseline 수집 중",IF(N395="","정상",IF(N395&lt;=설정!$B$4,"낮음","정상"))))</f>
        <v/>
      </c>
      <c r="Q395" s="20"/>
      <c r="R395" s="18" t="str">
        <f aca="false">IF(J395="","",J395^2)</f>
        <v/>
      </c>
    </row>
    <row r="396" customFormat="false" ht="15" hidden="false" customHeight="false" outlineLevel="0" collapsed="false">
      <c r="A396" s="16"/>
      <c r="B396" s="17"/>
      <c r="C396" s="17"/>
      <c r="D396" s="17"/>
      <c r="E396" s="17"/>
      <c r="F396" s="17"/>
      <c r="G396" s="17"/>
      <c r="H396" s="17"/>
      <c r="I396" s="17"/>
      <c r="J396" s="18" t="str">
        <f aca="false">IF(COUNT(E396:I396)&lt;5,"",SUM(E396:I396))</f>
        <v/>
      </c>
      <c r="K396" s="18" t="str">
        <f aca="false">IF(J396="","",IF(M396&lt;설정!$B$3,"",ROUND(AVERAGEIFS($J$2:$J$1001,$B$2:$B$1001,B396,$A$2:$A$1001,"&lt;"&amp;A396,$A$2:$A$1001,"&gt;="&amp;(A396-설정!$B$2)),2)))</f>
        <v/>
      </c>
      <c r="L396" s="18" t="str">
        <f aca="false">IF(K396="","",ROUND(SQRT(MAX(0,(SUMIFS($R$2:$R$1001,$B$2:$B$1001,B396,$A$2:$A$1001,"&lt;"&amp;A396,$A$2:$A$1001,"&gt;="&amp;(A396-설정!$B$2))-M396*AVERAGEIFS($J$2:$J$1001,$B$2:$B$1001,B396,$A$2:$A$1001,"&lt;"&amp;A396,$A$2:$A$1001,"&gt;="&amp;(A396-설정!$B$2))^2)/(M396-1))),2))</f>
        <v/>
      </c>
      <c r="M396" s="18" t="str">
        <f aca="false">IF(J396="","",COUNTIFS($B$2:$B$1001,B396,$A$2:$A$1001,"&lt;"&amp;A396,$A$2:$A$1001,"&gt;="&amp;(A396-설정!$B$2),$J$2:$J$1001,"&gt;=0"))</f>
        <v/>
      </c>
      <c r="N396" s="18" t="str">
        <f aca="false">IF(K396="","",IF(L396=0,"",ROUND((J396-K396)/L396,2)))</f>
        <v/>
      </c>
      <c r="O396" s="19" t="str">
        <f aca="false">IF(J396="","",IF(MIN(F396,G396)&lt;=설정!$B$5,"예",""))</f>
        <v/>
      </c>
      <c r="P396" s="19" t="str">
        <f aca="false">IF(J396="","",IF(M396&lt;설정!$B$3,"baseline 수집 중",IF(N396="","정상",IF(N396&lt;=설정!$B$4,"낮음","정상"))))</f>
        <v/>
      </c>
      <c r="Q396" s="20"/>
      <c r="R396" s="18" t="str">
        <f aca="false">IF(J396="","",J396^2)</f>
        <v/>
      </c>
    </row>
    <row r="397" customFormat="false" ht="15" hidden="false" customHeight="false" outlineLevel="0" collapsed="false">
      <c r="A397" s="16"/>
      <c r="B397" s="17"/>
      <c r="C397" s="17"/>
      <c r="D397" s="17"/>
      <c r="E397" s="17"/>
      <c r="F397" s="17"/>
      <c r="G397" s="17"/>
      <c r="H397" s="17"/>
      <c r="I397" s="17"/>
      <c r="J397" s="18" t="str">
        <f aca="false">IF(COUNT(E397:I397)&lt;5,"",SUM(E397:I397))</f>
        <v/>
      </c>
      <c r="K397" s="18" t="str">
        <f aca="false">IF(J397="","",IF(M397&lt;설정!$B$3,"",ROUND(AVERAGEIFS($J$2:$J$1001,$B$2:$B$1001,B397,$A$2:$A$1001,"&lt;"&amp;A397,$A$2:$A$1001,"&gt;="&amp;(A397-설정!$B$2)),2)))</f>
        <v/>
      </c>
      <c r="L397" s="18" t="str">
        <f aca="false">IF(K397="","",ROUND(SQRT(MAX(0,(SUMIFS($R$2:$R$1001,$B$2:$B$1001,B397,$A$2:$A$1001,"&lt;"&amp;A397,$A$2:$A$1001,"&gt;="&amp;(A397-설정!$B$2))-M397*AVERAGEIFS($J$2:$J$1001,$B$2:$B$1001,B397,$A$2:$A$1001,"&lt;"&amp;A397,$A$2:$A$1001,"&gt;="&amp;(A397-설정!$B$2))^2)/(M397-1))),2))</f>
        <v/>
      </c>
      <c r="M397" s="18" t="str">
        <f aca="false">IF(J397="","",COUNTIFS($B$2:$B$1001,B397,$A$2:$A$1001,"&lt;"&amp;A397,$A$2:$A$1001,"&gt;="&amp;(A397-설정!$B$2),$J$2:$J$1001,"&gt;=0"))</f>
        <v/>
      </c>
      <c r="N397" s="18" t="str">
        <f aca="false">IF(K397="","",IF(L397=0,"",ROUND((J397-K397)/L397,2)))</f>
        <v/>
      </c>
      <c r="O397" s="19" t="str">
        <f aca="false">IF(J397="","",IF(MIN(F397,G397)&lt;=설정!$B$5,"예",""))</f>
        <v/>
      </c>
      <c r="P397" s="19" t="str">
        <f aca="false">IF(J397="","",IF(M397&lt;설정!$B$3,"baseline 수집 중",IF(N397="","정상",IF(N397&lt;=설정!$B$4,"낮음","정상"))))</f>
        <v/>
      </c>
      <c r="Q397" s="20"/>
      <c r="R397" s="18" t="str">
        <f aca="false">IF(J397="","",J397^2)</f>
        <v/>
      </c>
    </row>
    <row r="398" customFormat="false" ht="15" hidden="false" customHeight="false" outlineLevel="0" collapsed="false">
      <c r="A398" s="16"/>
      <c r="B398" s="17"/>
      <c r="C398" s="17"/>
      <c r="D398" s="17"/>
      <c r="E398" s="17"/>
      <c r="F398" s="17"/>
      <c r="G398" s="17"/>
      <c r="H398" s="17"/>
      <c r="I398" s="17"/>
      <c r="J398" s="18" t="str">
        <f aca="false">IF(COUNT(E398:I398)&lt;5,"",SUM(E398:I398))</f>
        <v/>
      </c>
      <c r="K398" s="18" t="str">
        <f aca="false">IF(J398="","",IF(M398&lt;설정!$B$3,"",ROUND(AVERAGEIFS($J$2:$J$1001,$B$2:$B$1001,B398,$A$2:$A$1001,"&lt;"&amp;A398,$A$2:$A$1001,"&gt;="&amp;(A398-설정!$B$2)),2)))</f>
        <v/>
      </c>
      <c r="L398" s="18" t="str">
        <f aca="false">IF(K398="","",ROUND(SQRT(MAX(0,(SUMIFS($R$2:$R$1001,$B$2:$B$1001,B398,$A$2:$A$1001,"&lt;"&amp;A398,$A$2:$A$1001,"&gt;="&amp;(A398-설정!$B$2))-M398*AVERAGEIFS($J$2:$J$1001,$B$2:$B$1001,B398,$A$2:$A$1001,"&lt;"&amp;A398,$A$2:$A$1001,"&gt;="&amp;(A398-설정!$B$2))^2)/(M398-1))),2))</f>
        <v/>
      </c>
      <c r="M398" s="18" t="str">
        <f aca="false">IF(J398="","",COUNTIFS($B$2:$B$1001,B398,$A$2:$A$1001,"&lt;"&amp;A398,$A$2:$A$1001,"&gt;="&amp;(A398-설정!$B$2),$J$2:$J$1001,"&gt;=0"))</f>
        <v/>
      </c>
      <c r="N398" s="18" t="str">
        <f aca="false">IF(K398="","",IF(L398=0,"",ROUND((J398-K398)/L398,2)))</f>
        <v/>
      </c>
      <c r="O398" s="19" t="str">
        <f aca="false">IF(J398="","",IF(MIN(F398,G398)&lt;=설정!$B$5,"예",""))</f>
        <v/>
      </c>
      <c r="P398" s="19" t="str">
        <f aca="false">IF(J398="","",IF(M398&lt;설정!$B$3,"baseline 수집 중",IF(N398="","정상",IF(N398&lt;=설정!$B$4,"낮음","정상"))))</f>
        <v/>
      </c>
      <c r="Q398" s="20"/>
      <c r="R398" s="18" t="str">
        <f aca="false">IF(J398="","",J398^2)</f>
        <v/>
      </c>
    </row>
    <row r="399" customFormat="false" ht="15" hidden="false" customHeight="false" outlineLevel="0" collapsed="false">
      <c r="A399" s="16"/>
      <c r="B399" s="17"/>
      <c r="C399" s="17"/>
      <c r="D399" s="17"/>
      <c r="E399" s="17"/>
      <c r="F399" s="17"/>
      <c r="G399" s="17"/>
      <c r="H399" s="17"/>
      <c r="I399" s="17"/>
      <c r="J399" s="18" t="str">
        <f aca="false">IF(COUNT(E399:I399)&lt;5,"",SUM(E399:I399))</f>
        <v/>
      </c>
      <c r="K399" s="18" t="str">
        <f aca="false">IF(J399="","",IF(M399&lt;설정!$B$3,"",ROUND(AVERAGEIFS($J$2:$J$1001,$B$2:$B$1001,B399,$A$2:$A$1001,"&lt;"&amp;A399,$A$2:$A$1001,"&gt;="&amp;(A399-설정!$B$2)),2)))</f>
        <v/>
      </c>
      <c r="L399" s="18" t="str">
        <f aca="false">IF(K399="","",ROUND(SQRT(MAX(0,(SUMIFS($R$2:$R$1001,$B$2:$B$1001,B399,$A$2:$A$1001,"&lt;"&amp;A399,$A$2:$A$1001,"&gt;="&amp;(A399-설정!$B$2))-M399*AVERAGEIFS($J$2:$J$1001,$B$2:$B$1001,B399,$A$2:$A$1001,"&lt;"&amp;A399,$A$2:$A$1001,"&gt;="&amp;(A399-설정!$B$2))^2)/(M399-1))),2))</f>
        <v/>
      </c>
      <c r="M399" s="18" t="str">
        <f aca="false">IF(J399="","",COUNTIFS($B$2:$B$1001,B399,$A$2:$A$1001,"&lt;"&amp;A399,$A$2:$A$1001,"&gt;="&amp;(A399-설정!$B$2),$J$2:$J$1001,"&gt;=0"))</f>
        <v/>
      </c>
      <c r="N399" s="18" t="str">
        <f aca="false">IF(K399="","",IF(L399=0,"",ROUND((J399-K399)/L399,2)))</f>
        <v/>
      </c>
      <c r="O399" s="19" t="str">
        <f aca="false">IF(J399="","",IF(MIN(F399,G399)&lt;=설정!$B$5,"예",""))</f>
        <v/>
      </c>
      <c r="P399" s="19" t="str">
        <f aca="false">IF(J399="","",IF(M399&lt;설정!$B$3,"baseline 수집 중",IF(N399="","정상",IF(N399&lt;=설정!$B$4,"낮음","정상"))))</f>
        <v/>
      </c>
      <c r="Q399" s="20"/>
      <c r="R399" s="18" t="str">
        <f aca="false">IF(J399="","",J399^2)</f>
        <v/>
      </c>
    </row>
    <row r="400" customFormat="false" ht="15" hidden="false" customHeight="false" outlineLevel="0" collapsed="false">
      <c r="A400" s="16"/>
      <c r="B400" s="17"/>
      <c r="C400" s="17"/>
      <c r="D400" s="17"/>
      <c r="E400" s="17"/>
      <c r="F400" s="17"/>
      <c r="G400" s="17"/>
      <c r="H400" s="17"/>
      <c r="I400" s="17"/>
      <c r="J400" s="18" t="str">
        <f aca="false">IF(COUNT(E400:I400)&lt;5,"",SUM(E400:I400))</f>
        <v/>
      </c>
      <c r="K400" s="18" t="str">
        <f aca="false">IF(J400="","",IF(M400&lt;설정!$B$3,"",ROUND(AVERAGEIFS($J$2:$J$1001,$B$2:$B$1001,B400,$A$2:$A$1001,"&lt;"&amp;A400,$A$2:$A$1001,"&gt;="&amp;(A400-설정!$B$2)),2)))</f>
        <v/>
      </c>
      <c r="L400" s="18" t="str">
        <f aca="false">IF(K400="","",ROUND(SQRT(MAX(0,(SUMIFS($R$2:$R$1001,$B$2:$B$1001,B400,$A$2:$A$1001,"&lt;"&amp;A400,$A$2:$A$1001,"&gt;="&amp;(A400-설정!$B$2))-M400*AVERAGEIFS($J$2:$J$1001,$B$2:$B$1001,B400,$A$2:$A$1001,"&lt;"&amp;A400,$A$2:$A$1001,"&gt;="&amp;(A400-설정!$B$2))^2)/(M400-1))),2))</f>
        <v/>
      </c>
      <c r="M400" s="18" t="str">
        <f aca="false">IF(J400="","",COUNTIFS($B$2:$B$1001,B400,$A$2:$A$1001,"&lt;"&amp;A400,$A$2:$A$1001,"&gt;="&amp;(A400-설정!$B$2),$J$2:$J$1001,"&gt;=0"))</f>
        <v/>
      </c>
      <c r="N400" s="18" t="str">
        <f aca="false">IF(K400="","",IF(L400=0,"",ROUND((J400-K400)/L400,2)))</f>
        <v/>
      </c>
      <c r="O400" s="19" t="str">
        <f aca="false">IF(J400="","",IF(MIN(F400,G400)&lt;=설정!$B$5,"예",""))</f>
        <v/>
      </c>
      <c r="P400" s="19" t="str">
        <f aca="false">IF(J400="","",IF(M400&lt;설정!$B$3,"baseline 수집 중",IF(N400="","정상",IF(N400&lt;=설정!$B$4,"낮음","정상"))))</f>
        <v/>
      </c>
      <c r="Q400" s="20"/>
      <c r="R400" s="18" t="str">
        <f aca="false">IF(J400="","",J400^2)</f>
        <v/>
      </c>
    </row>
    <row r="401" customFormat="false" ht="15" hidden="false" customHeight="false" outlineLevel="0" collapsed="false">
      <c r="A401" s="16"/>
      <c r="B401" s="17"/>
      <c r="C401" s="17"/>
      <c r="D401" s="17"/>
      <c r="E401" s="17"/>
      <c r="F401" s="17"/>
      <c r="G401" s="17"/>
      <c r="H401" s="17"/>
      <c r="I401" s="17"/>
      <c r="J401" s="18" t="str">
        <f aca="false">IF(COUNT(E401:I401)&lt;5,"",SUM(E401:I401))</f>
        <v/>
      </c>
      <c r="K401" s="18" t="str">
        <f aca="false">IF(J401="","",IF(M401&lt;설정!$B$3,"",ROUND(AVERAGEIFS($J$2:$J$1001,$B$2:$B$1001,B401,$A$2:$A$1001,"&lt;"&amp;A401,$A$2:$A$1001,"&gt;="&amp;(A401-설정!$B$2)),2)))</f>
        <v/>
      </c>
      <c r="L401" s="18" t="str">
        <f aca="false">IF(K401="","",ROUND(SQRT(MAX(0,(SUMIFS($R$2:$R$1001,$B$2:$B$1001,B401,$A$2:$A$1001,"&lt;"&amp;A401,$A$2:$A$1001,"&gt;="&amp;(A401-설정!$B$2))-M401*AVERAGEIFS($J$2:$J$1001,$B$2:$B$1001,B401,$A$2:$A$1001,"&lt;"&amp;A401,$A$2:$A$1001,"&gt;="&amp;(A401-설정!$B$2))^2)/(M401-1))),2))</f>
        <v/>
      </c>
      <c r="M401" s="18" t="str">
        <f aca="false">IF(J401="","",COUNTIFS($B$2:$B$1001,B401,$A$2:$A$1001,"&lt;"&amp;A401,$A$2:$A$1001,"&gt;="&amp;(A401-설정!$B$2),$J$2:$J$1001,"&gt;=0"))</f>
        <v/>
      </c>
      <c r="N401" s="18" t="str">
        <f aca="false">IF(K401="","",IF(L401=0,"",ROUND((J401-K401)/L401,2)))</f>
        <v/>
      </c>
      <c r="O401" s="19" t="str">
        <f aca="false">IF(J401="","",IF(MIN(F401,G401)&lt;=설정!$B$5,"예",""))</f>
        <v/>
      </c>
      <c r="P401" s="19" t="str">
        <f aca="false">IF(J401="","",IF(M401&lt;설정!$B$3,"baseline 수집 중",IF(N401="","정상",IF(N401&lt;=설정!$B$4,"낮음","정상"))))</f>
        <v/>
      </c>
      <c r="Q401" s="20"/>
      <c r="R401" s="18" t="str">
        <f aca="false">IF(J401="","",J401^2)</f>
        <v/>
      </c>
    </row>
    <row r="402" customFormat="false" ht="15" hidden="false" customHeight="false" outlineLevel="0" collapsed="false">
      <c r="A402" s="16"/>
      <c r="B402" s="17"/>
      <c r="C402" s="17"/>
      <c r="D402" s="17"/>
      <c r="E402" s="17"/>
      <c r="F402" s="17"/>
      <c r="G402" s="17"/>
      <c r="H402" s="17"/>
      <c r="I402" s="17"/>
      <c r="J402" s="18" t="str">
        <f aca="false">IF(COUNT(E402:I402)&lt;5,"",SUM(E402:I402))</f>
        <v/>
      </c>
      <c r="K402" s="18" t="str">
        <f aca="false">IF(J402="","",IF(M402&lt;설정!$B$3,"",ROUND(AVERAGEIFS($J$2:$J$1001,$B$2:$B$1001,B402,$A$2:$A$1001,"&lt;"&amp;A402,$A$2:$A$1001,"&gt;="&amp;(A402-설정!$B$2)),2)))</f>
        <v/>
      </c>
      <c r="L402" s="18" t="str">
        <f aca="false">IF(K402="","",ROUND(SQRT(MAX(0,(SUMIFS($R$2:$R$1001,$B$2:$B$1001,B402,$A$2:$A$1001,"&lt;"&amp;A402,$A$2:$A$1001,"&gt;="&amp;(A402-설정!$B$2))-M402*AVERAGEIFS($J$2:$J$1001,$B$2:$B$1001,B402,$A$2:$A$1001,"&lt;"&amp;A402,$A$2:$A$1001,"&gt;="&amp;(A402-설정!$B$2))^2)/(M402-1))),2))</f>
        <v/>
      </c>
      <c r="M402" s="18" t="str">
        <f aca="false">IF(J402="","",COUNTIFS($B$2:$B$1001,B402,$A$2:$A$1001,"&lt;"&amp;A402,$A$2:$A$1001,"&gt;="&amp;(A402-설정!$B$2),$J$2:$J$1001,"&gt;=0"))</f>
        <v/>
      </c>
      <c r="N402" s="18" t="str">
        <f aca="false">IF(K402="","",IF(L402=0,"",ROUND((J402-K402)/L402,2)))</f>
        <v/>
      </c>
      <c r="O402" s="19" t="str">
        <f aca="false">IF(J402="","",IF(MIN(F402,G402)&lt;=설정!$B$5,"예",""))</f>
        <v/>
      </c>
      <c r="P402" s="19" t="str">
        <f aca="false">IF(J402="","",IF(M402&lt;설정!$B$3,"baseline 수집 중",IF(N402="","정상",IF(N402&lt;=설정!$B$4,"낮음","정상"))))</f>
        <v/>
      </c>
      <c r="Q402" s="20"/>
      <c r="R402" s="18" t="str">
        <f aca="false">IF(J402="","",J402^2)</f>
        <v/>
      </c>
    </row>
    <row r="403" customFormat="false" ht="15" hidden="false" customHeight="false" outlineLevel="0" collapsed="false">
      <c r="A403" s="16"/>
      <c r="B403" s="17"/>
      <c r="C403" s="17"/>
      <c r="D403" s="17"/>
      <c r="E403" s="17"/>
      <c r="F403" s="17"/>
      <c r="G403" s="17"/>
      <c r="H403" s="17"/>
      <c r="I403" s="17"/>
      <c r="J403" s="18" t="str">
        <f aca="false">IF(COUNT(E403:I403)&lt;5,"",SUM(E403:I403))</f>
        <v/>
      </c>
      <c r="K403" s="18" t="str">
        <f aca="false">IF(J403="","",IF(M403&lt;설정!$B$3,"",ROUND(AVERAGEIFS($J$2:$J$1001,$B$2:$B$1001,B403,$A$2:$A$1001,"&lt;"&amp;A403,$A$2:$A$1001,"&gt;="&amp;(A403-설정!$B$2)),2)))</f>
        <v/>
      </c>
      <c r="L403" s="18" t="str">
        <f aca="false">IF(K403="","",ROUND(SQRT(MAX(0,(SUMIFS($R$2:$R$1001,$B$2:$B$1001,B403,$A$2:$A$1001,"&lt;"&amp;A403,$A$2:$A$1001,"&gt;="&amp;(A403-설정!$B$2))-M403*AVERAGEIFS($J$2:$J$1001,$B$2:$B$1001,B403,$A$2:$A$1001,"&lt;"&amp;A403,$A$2:$A$1001,"&gt;="&amp;(A403-설정!$B$2))^2)/(M403-1))),2))</f>
        <v/>
      </c>
      <c r="M403" s="18" t="str">
        <f aca="false">IF(J403="","",COUNTIFS($B$2:$B$1001,B403,$A$2:$A$1001,"&lt;"&amp;A403,$A$2:$A$1001,"&gt;="&amp;(A403-설정!$B$2),$J$2:$J$1001,"&gt;=0"))</f>
        <v/>
      </c>
      <c r="N403" s="18" t="str">
        <f aca="false">IF(K403="","",IF(L403=0,"",ROUND((J403-K403)/L403,2)))</f>
        <v/>
      </c>
      <c r="O403" s="19" t="str">
        <f aca="false">IF(J403="","",IF(MIN(F403,G403)&lt;=설정!$B$5,"예",""))</f>
        <v/>
      </c>
      <c r="P403" s="19" t="str">
        <f aca="false">IF(J403="","",IF(M403&lt;설정!$B$3,"baseline 수집 중",IF(N403="","정상",IF(N403&lt;=설정!$B$4,"낮음","정상"))))</f>
        <v/>
      </c>
      <c r="Q403" s="20"/>
      <c r="R403" s="18" t="str">
        <f aca="false">IF(J403="","",J403^2)</f>
        <v/>
      </c>
    </row>
    <row r="404" customFormat="false" ht="15" hidden="false" customHeight="false" outlineLevel="0" collapsed="false">
      <c r="A404" s="16"/>
      <c r="B404" s="17"/>
      <c r="C404" s="17"/>
      <c r="D404" s="17"/>
      <c r="E404" s="17"/>
      <c r="F404" s="17"/>
      <c r="G404" s="17"/>
      <c r="H404" s="17"/>
      <c r="I404" s="17"/>
      <c r="J404" s="18" t="str">
        <f aca="false">IF(COUNT(E404:I404)&lt;5,"",SUM(E404:I404))</f>
        <v/>
      </c>
      <c r="K404" s="18" t="str">
        <f aca="false">IF(J404="","",IF(M404&lt;설정!$B$3,"",ROUND(AVERAGEIFS($J$2:$J$1001,$B$2:$B$1001,B404,$A$2:$A$1001,"&lt;"&amp;A404,$A$2:$A$1001,"&gt;="&amp;(A404-설정!$B$2)),2)))</f>
        <v/>
      </c>
      <c r="L404" s="18" t="str">
        <f aca="false">IF(K404="","",ROUND(SQRT(MAX(0,(SUMIFS($R$2:$R$1001,$B$2:$B$1001,B404,$A$2:$A$1001,"&lt;"&amp;A404,$A$2:$A$1001,"&gt;="&amp;(A404-설정!$B$2))-M404*AVERAGEIFS($J$2:$J$1001,$B$2:$B$1001,B404,$A$2:$A$1001,"&lt;"&amp;A404,$A$2:$A$1001,"&gt;="&amp;(A404-설정!$B$2))^2)/(M404-1))),2))</f>
        <v/>
      </c>
      <c r="M404" s="18" t="str">
        <f aca="false">IF(J404="","",COUNTIFS($B$2:$B$1001,B404,$A$2:$A$1001,"&lt;"&amp;A404,$A$2:$A$1001,"&gt;="&amp;(A404-설정!$B$2),$J$2:$J$1001,"&gt;=0"))</f>
        <v/>
      </c>
      <c r="N404" s="18" t="str">
        <f aca="false">IF(K404="","",IF(L404=0,"",ROUND((J404-K404)/L404,2)))</f>
        <v/>
      </c>
      <c r="O404" s="19" t="str">
        <f aca="false">IF(J404="","",IF(MIN(F404,G404)&lt;=설정!$B$5,"예",""))</f>
        <v/>
      </c>
      <c r="P404" s="19" t="str">
        <f aca="false">IF(J404="","",IF(M404&lt;설정!$B$3,"baseline 수집 중",IF(N404="","정상",IF(N404&lt;=설정!$B$4,"낮음","정상"))))</f>
        <v/>
      </c>
      <c r="Q404" s="20"/>
      <c r="R404" s="18" t="str">
        <f aca="false">IF(J404="","",J404^2)</f>
        <v/>
      </c>
    </row>
    <row r="405" customFormat="false" ht="15" hidden="false" customHeight="false" outlineLevel="0" collapsed="false">
      <c r="A405" s="16"/>
      <c r="B405" s="17"/>
      <c r="C405" s="17"/>
      <c r="D405" s="17"/>
      <c r="E405" s="17"/>
      <c r="F405" s="17"/>
      <c r="G405" s="17"/>
      <c r="H405" s="17"/>
      <c r="I405" s="17"/>
      <c r="J405" s="18" t="str">
        <f aca="false">IF(COUNT(E405:I405)&lt;5,"",SUM(E405:I405))</f>
        <v/>
      </c>
      <c r="K405" s="18" t="str">
        <f aca="false">IF(J405="","",IF(M405&lt;설정!$B$3,"",ROUND(AVERAGEIFS($J$2:$J$1001,$B$2:$B$1001,B405,$A$2:$A$1001,"&lt;"&amp;A405,$A$2:$A$1001,"&gt;="&amp;(A405-설정!$B$2)),2)))</f>
        <v/>
      </c>
      <c r="L405" s="18" t="str">
        <f aca="false">IF(K405="","",ROUND(SQRT(MAX(0,(SUMIFS($R$2:$R$1001,$B$2:$B$1001,B405,$A$2:$A$1001,"&lt;"&amp;A405,$A$2:$A$1001,"&gt;="&amp;(A405-설정!$B$2))-M405*AVERAGEIFS($J$2:$J$1001,$B$2:$B$1001,B405,$A$2:$A$1001,"&lt;"&amp;A405,$A$2:$A$1001,"&gt;="&amp;(A405-설정!$B$2))^2)/(M405-1))),2))</f>
        <v/>
      </c>
      <c r="M405" s="18" t="str">
        <f aca="false">IF(J405="","",COUNTIFS($B$2:$B$1001,B405,$A$2:$A$1001,"&lt;"&amp;A405,$A$2:$A$1001,"&gt;="&amp;(A405-설정!$B$2),$J$2:$J$1001,"&gt;=0"))</f>
        <v/>
      </c>
      <c r="N405" s="18" t="str">
        <f aca="false">IF(K405="","",IF(L405=0,"",ROUND((J405-K405)/L405,2)))</f>
        <v/>
      </c>
      <c r="O405" s="19" t="str">
        <f aca="false">IF(J405="","",IF(MIN(F405,G405)&lt;=설정!$B$5,"예",""))</f>
        <v/>
      </c>
      <c r="P405" s="19" t="str">
        <f aca="false">IF(J405="","",IF(M405&lt;설정!$B$3,"baseline 수집 중",IF(N405="","정상",IF(N405&lt;=설정!$B$4,"낮음","정상"))))</f>
        <v/>
      </c>
      <c r="Q405" s="20"/>
      <c r="R405" s="18" t="str">
        <f aca="false">IF(J405="","",J405^2)</f>
        <v/>
      </c>
    </row>
    <row r="406" customFormat="false" ht="15" hidden="false" customHeight="false" outlineLevel="0" collapsed="false">
      <c r="A406" s="16"/>
      <c r="B406" s="17"/>
      <c r="C406" s="17"/>
      <c r="D406" s="17"/>
      <c r="E406" s="17"/>
      <c r="F406" s="17"/>
      <c r="G406" s="17"/>
      <c r="H406" s="17"/>
      <c r="I406" s="17"/>
      <c r="J406" s="18" t="str">
        <f aca="false">IF(COUNT(E406:I406)&lt;5,"",SUM(E406:I406))</f>
        <v/>
      </c>
      <c r="K406" s="18" t="str">
        <f aca="false">IF(J406="","",IF(M406&lt;설정!$B$3,"",ROUND(AVERAGEIFS($J$2:$J$1001,$B$2:$B$1001,B406,$A$2:$A$1001,"&lt;"&amp;A406,$A$2:$A$1001,"&gt;="&amp;(A406-설정!$B$2)),2)))</f>
        <v/>
      </c>
      <c r="L406" s="18" t="str">
        <f aca="false">IF(K406="","",ROUND(SQRT(MAX(0,(SUMIFS($R$2:$R$1001,$B$2:$B$1001,B406,$A$2:$A$1001,"&lt;"&amp;A406,$A$2:$A$1001,"&gt;="&amp;(A406-설정!$B$2))-M406*AVERAGEIFS($J$2:$J$1001,$B$2:$B$1001,B406,$A$2:$A$1001,"&lt;"&amp;A406,$A$2:$A$1001,"&gt;="&amp;(A406-설정!$B$2))^2)/(M406-1))),2))</f>
        <v/>
      </c>
      <c r="M406" s="18" t="str">
        <f aca="false">IF(J406="","",COUNTIFS($B$2:$B$1001,B406,$A$2:$A$1001,"&lt;"&amp;A406,$A$2:$A$1001,"&gt;="&amp;(A406-설정!$B$2),$J$2:$J$1001,"&gt;=0"))</f>
        <v/>
      </c>
      <c r="N406" s="18" t="str">
        <f aca="false">IF(K406="","",IF(L406=0,"",ROUND((J406-K406)/L406,2)))</f>
        <v/>
      </c>
      <c r="O406" s="19" t="str">
        <f aca="false">IF(J406="","",IF(MIN(F406,G406)&lt;=설정!$B$5,"예",""))</f>
        <v/>
      </c>
      <c r="P406" s="19" t="str">
        <f aca="false">IF(J406="","",IF(M406&lt;설정!$B$3,"baseline 수집 중",IF(N406="","정상",IF(N406&lt;=설정!$B$4,"낮음","정상"))))</f>
        <v/>
      </c>
      <c r="Q406" s="20"/>
      <c r="R406" s="18" t="str">
        <f aca="false">IF(J406="","",J406^2)</f>
        <v/>
      </c>
    </row>
    <row r="407" customFormat="false" ht="15" hidden="false" customHeight="false" outlineLevel="0" collapsed="false">
      <c r="A407" s="16"/>
      <c r="B407" s="17"/>
      <c r="C407" s="17"/>
      <c r="D407" s="17"/>
      <c r="E407" s="17"/>
      <c r="F407" s="17"/>
      <c r="G407" s="17"/>
      <c r="H407" s="17"/>
      <c r="I407" s="17"/>
      <c r="J407" s="18" t="str">
        <f aca="false">IF(COUNT(E407:I407)&lt;5,"",SUM(E407:I407))</f>
        <v/>
      </c>
      <c r="K407" s="18" t="str">
        <f aca="false">IF(J407="","",IF(M407&lt;설정!$B$3,"",ROUND(AVERAGEIFS($J$2:$J$1001,$B$2:$B$1001,B407,$A$2:$A$1001,"&lt;"&amp;A407,$A$2:$A$1001,"&gt;="&amp;(A407-설정!$B$2)),2)))</f>
        <v/>
      </c>
      <c r="L407" s="18" t="str">
        <f aca="false">IF(K407="","",ROUND(SQRT(MAX(0,(SUMIFS($R$2:$R$1001,$B$2:$B$1001,B407,$A$2:$A$1001,"&lt;"&amp;A407,$A$2:$A$1001,"&gt;="&amp;(A407-설정!$B$2))-M407*AVERAGEIFS($J$2:$J$1001,$B$2:$B$1001,B407,$A$2:$A$1001,"&lt;"&amp;A407,$A$2:$A$1001,"&gt;="&amp;(A407-설정!$B$2))^2)/(M407-1))),2))</f>
        <v/>
      </c>
      <c r="M407" s="18" t="str">
        <f aca="false">IF(J407="","",COUNTIFS($B$2:$B$1001,B407,$A$2:$A$1001,"&lt;"&amp;A407,$A$2:$A$1001,"&gt;="&amp;(A407-설정!$B$2),$J$2:$J$1001,"&gt;=0"))</f>
        <v/>
      </c>
      <c r="N407" s="18" t="str">
        <f aca="false">IF(K407="","",IF(L407=0,"",ROUND((J407-K407)/L407,2)))</f>
        <v/>
      </c>
      <c r="O407" s="19" t="str">
        <f aca="false">IF(J407="","",IF(MIN(F407,G407)&lt;=설정!$B$5,"예",""))</f>
        <v/>
      </c>
      <c r="P407" s="19" t="str">
        <f aca="false">IF(J407="","",IF(M407&lt;설정!$B$3,"baseline 수집 중",IF(N407="","정상",IF(N407&lt;=설정!$B$4,"낮음","정상"))))</f>
        <v/>
      </c>
      <c r="Q407" s="20"/>
      <c r="R407" s="18" t="str">
        <f aca="false">IF(J407="","",J407^2)</f>
        <v/>
      </c>
    </row>
    <row r="408" customFormat="false" ht="15" hidden="false" customHeight="false" outlineLevel="0" collapsed="false">
      <c r="A408" s="16"/>
      <c r="B408" s="17"/>
      <c r="C408" s="17"/>
      <c r="D408" s="17"/>
      <c r="E408" s="17"/>
      <c r="F408" s="17"/>
      <c r="G408" s="17"/>
      <c r="H408" s="17"/>
      <c r="I408" s="17"/>
      <c r="J408" s="18" t="str">
        <f aca="false">IF(COUNT(E408:I408)&lt;5,"",SUM(E408:I408))</f>
        <v/>
      </c>
      <c r="K408" s="18" t="str">
        <f aca="false">IF(J408="","",IF(M408&lt;설정!$B$3,"",ROUND(AVERAGEIFS($J$2:$J$1001,$B$2:$B$1001,B408,$A$2:$A$1001,"&lt;"&amp;A408,$A$2:$A$1001,"&gt;="&amp;(A408-설정!$B$2)),2)))</f>
        <v/>
      </c>
      <c r="L408" s="18" t="str">
        <f aca="false">IF(K408="","",ROUND(SQRT(MAX(0,(SUMIFS($R$2:$R$1001,$B$2:$B$1001,B408,$A$2:$A$1001,"&lt;"&amp;A408,$A$2:$A$1001,"&gt;="&amp;(A408-설정!$B$2))-M408*AVERAGEIFS($J$2:$J$1001,$B$2:$B$1001,B408,$A$2:$A$1001,"&lt;"&amp;A408,$A$2:$A$1001,"&gt;="&amp;(A408-설정!$B$2))^2)/(M408-1))),2))</f>
        <v/>
      </c>
      <c r="M408" s="18" t="str">
        <f aca="false">IF(J408="","",COUNTIFS($B$2:$B$1001,B408,$A$2:$A$1001,"&lt;"&amp;A408,$A$2:$A$1001,"&gt;="&amp;(A408-설정!$B$2),$J$2:$J$1001,"&gt;=0"))</f>
        <v/>
      </c>
      <c r="N408" s="18" t="str">
        <f aca="false">IF(K408="","",IF(L408=0,"",ROUND((J408-K408)/L408,2)))</f>
        <v/>
      </c>
      <c r="O408" s="19" t="str">
        <f aca="false">IF(J408="","",IF(MIN(F408,G408)&lt;=설정!$B$5,"예",""))</f>
        <v/>
      </c>
      <c r="P408" s="19" t="str">
        <f aca="false">IF(J408="","",IF(M408&lt;설정!$B$3,"baseline 수집 중",IF(N408="","정상",IF(N408&lt;=설정!$B$4,"낮음","정상"))))</f>
        <v/>
      </c>
      <c r="Q408" s="20"/>
      <c r="R408" s="18" t="str">
        <f aca="false">IF(J408="","",J408^2)</f>
        <v/>
      </c>
    </row>
    <row r="409" customFormat="false" ht="15" hidden="false" customHeight="false" outlineLevel="0" collapsed="false">
      <c r="A409" s="16"/>
      <c r="B409" s="17"/>
      <c r="C409" s="17"/>
      <c r="D409" s="17"/>
      <c r="E409" s="17"/>
      <c r="F409" s="17"/>
      <c r="G409" s="17"/>
      <c r="H409" s="17"/>
      <c r="I409" s="17"/>
      <c r="J409" s="18" t="str">
        <f aca="false">IF(COUNT(E409:I409)&lt;5,"",SUM(E409:I409))</f>
        <v/>
      </c>
      <c r="K409" s="18" t="str">
        <f aca="false">IF(J409="","",IF(M409&lt;설정!$B$3,"",ROUND(AVERAGEIFS($J$2:$J$1001,$B$2:$B$1001,B409,$A$2:$A$1001,"&lt;"&amp;A409,$A$2:$A$1001,"&gt;="&amp;(A409-설정!$B$2)),2)))</f>
        <v/>
      </c>
      <c r="L409" s="18" t="str">
        <f aca="false">IF(K409="","",ROUND(SQRT(MAX(0,(SUMIFS($R$2:$R$1001,$B$2:$B$1001,B409,$A$2:$A$1001,"&lt;"&amp;A409,$A$2:$A$1001,"&gt;="&amp;(A409-설정!$B$2))-M409*AVERAGEIFS($J$2:$J$1001,$B$2:$B$1001,B409,$A$2:$A$1001,"&lt;"&amp;A409,$A$2:$A$1001,"&gt;="&amp;(A409-설정!$B$2))^2)/(M409-1))),2))</f>
        <v/>
      </c>
      <c r="M409" s="18" t="str">
        <f aca="false">IF(J409="","",COUNTIFS($B$2:$B$1001,B409,$A$2:$A$1001,"&lt;"&amp;A409,$A$2:$A$1001,"&gt;="&amp;(A409-설정!$B$2),$J$2:$J$1001,"&gt;=0"))</f>
        <v/>
      </c>
      <c r="N409" s="18" t="str">
        <f aca="false">IF(K409="","",IF(L409=0,"",ROUND((J409-K409)/L409,2)))</f>
        <v/>
      </c>
      <c r="O409" s="19" t="str">
        <f aca="false">IF(J409="","",IF(MIN(F409,G409)&lt;=설정!$B$5,"예",""))</f>
        <v/>
      </c>
      <c r="P409" s="19" t="str">
        <f aca="false">IF(J409="","",IF(M409&lt;설정!$B$3,"baseline 수집 중",IF(N409="","정상",IF(N409&lt;=설정!$B$4,"낮음","정상"))))</f>
        <v/>
      </c>
      <c r="Q409" s="20"/>
      <c r="R409" s="18" t="str">
        <f aca="false">IF(J409="","",J409^2)</f>
        <v/>
      </c>
    </row>
    <row r="410" customFormat="false" ht="15" hidden="false" customHeight="false" outlineLevel="0" collapsed="false">
      <c r="A410" s="16"/>
      <c r="B410" s="17"/>
      <c r="C410" s="17"/>
      <c r="D410" s="17"/>
      <c r="E410" s="17"/>
      <c r="F410" s="17"/>
      <c r="G410" s="17"/>
      <c r="H410" s="17"/>
      <c r="I410" s="17"/>
      <c r="J410" s="18" t="str">
        <f aca="false">IF(COUNT(E410:I410)&lt;5,"",SUM(E410:I410))</f>
        <v/>
      </c>
      <c r="K410" s="18" t="str">
        <f aca="false">IF(J410="","",IF(M410&lt;설정!$B$3,"",ROUND(AVERAGEIFS($J$2:$J$1001,$B$2:$B$1001,B410,$A$2:$A$1001,"&lt;"&amp;A410,$A$2:$A$1001,"&gt;="&amp;(A410-설정!$B$2)),2)))</f>
        <v/>
      </c>
      <c r="L410" s="18" t="str">
        <f aca="false">IF(K410="","",ROUND(SQRT(MAX(0,(SUMIFS($R$2:$R$1001,$B$2:$B$1001,B410,$A$2:$A$1001,"&lt;"&amp;A410,$A$2:$A$1001,"&gt;="&amp;(A410-설정!$B$2))-M410*AVERAGEIFS($J$2:$J$1001,$B$2:$B$1001,B410,$A$2:$A$1001,"&lt;"&amp;A410,$A$2:$A$1001,"&gt;="&amp;(A410-설정!$B$2))^2)/(M410-1))),2))</f>
        <v/>
      </c>
      <c r="M410" s="18" t="str">
        <f aca="false">IF(J410="","",COUNTIFS($B$2:$B$1001,B410,$A$2:$A$1001,"&lt;"&amp;A410,$A$2:$A$1001,"&gt;="&amp;(A410-설정!$B$2),$J$2:$J$1001,"&gt;=0"))</f>
        <v/>
      </c>
      <c r="N410" s="18" t="str">
        <f aca="false">IF(K410="","",IF(L410=0,"",ROUND((J410-K410)/L410,2)))</f>
        <v/>
      </c>
      <c r="O410" s="19" t="str">
        <f aca="false">IF(J410="","",IF(MIN(F410,G410)&lt;=설정!$B$5,"예",""))</f>
        <v/>
      </c>
      <c r="P410" s="19" t="str">
        <f aca="false">IF(J410="","",IF(M410&lt;설정!$B$3,"baseline 수집 중",IF(N410="","정상",IF(N410&lt;=설정!$B$4,"낮음","정상"))))</f>
        <v/>
      </c>
      <c r="Q410" s="20"/>
      <c r="R410" s="18" t="str">
        <f aca="false">IF(J410="","",J410^2)</f>
        <v/>
      </c>
    </row>
    <row r="411" customFormat="false" ht="15" hidden="false" customHeight="false" outlineLevel="0" collapsed="false">
      <c r="A411" s="16"/>
      <c r="B411" s="17"/>
      <c r="C411" s="17"/>
      <c r="D411" s="17"/>
      <c r="E411" s="17"/>
      <c r="F411" s="17"/>
      <c r="G411" s="17"/>
      <c r="H411" s="17"/>
      <c r="I411" s="17"/>
      <c r="J411" s="18" t="str">
        <f aca="false">IF(COUNT(E411:I411)&lt;5,"",SUM(E411:I411))</f>
        <v/>
      </c>
      <c r="K411" s="18" t="str">
        <f aca="false">IF(J411="","",IF(M411&lt;설정!$B$3,"",ROUND(AVERAGEIFS($J$2:$J$1001,$B$2:$B$1001,B411,$A$2:$A$1001,"&lt;"&amp;A411,$A$2:$A$1001,"&gt;="&amp;(A411-설정!$B$2)),2)))</f>
        <v/>
      </c>
      <c r="L411" s="18" t="str">
        <f aca="false">IF(K411="","",ROUND(SQRT(MAX(0,(SUMIFS($R$2:$R$1001,$B$2:$B$1001,B411,$A$2:$A$1001,"&lt;"&amp;A411,$A$2:$A$1001,"&gt;="&amp;(A411-설정!$B$2))-M411*AVERAGEIFS($J$2:$J$1001,$B$2:$B$1001,B411,$A$2:$A$1001,"&lt;"&amp;A411,$A$2:$A$1001,"&gt;="&amp;(A411-설정!$B$2))^2)/(M411-1))),2))</f>
        <v/>
      </c>
      <c r="M411" s="18" t="str">
        <f aca="false">IF(J411="","",COUNTIFS($B$2:$B$1001,B411,$A$2:$A$1001,"&lt;"&amp;A411,$A$2:$A$1001,"&gt;="&amp;(A411-설정!$B$2),$J$2:$J$1001,"&gt;=0"))</f>
        <v/>
      </c>
      <c r="N411" s="18" t="str">
        <f aca="false">IF(K411="","",IF(L411=0,"",ROUND((J411-K411)/L411,2)))</f>
        <v/>
      </c>
      <c r="O411" s="19" t="str">
        <f aca="false">IF(J411="","",IF(MIN(F411,G411)&lt;=설정!$B$5,"예",""))</f>
        <v/>
      </c>
      <c r="P411" s="19" t="str">
        <f aca="false">IF(J411="","",IF(M411&lt;설정!$B$3,"baseline 수집 중",IF(N411="","정상",IF(N411&lt;=설정!$B$4,"낮음","정상"))))</f>
        <v/>
      </c>
      <c r="Q411" s="20"/>
      <c r="R411" s="18" t="str">
        <f aca="false">IF(J411="","",J411^2)</f>
        <v/>
      </c>
    </row>
    <row r="412" customFormat="false" ht="15" hidden="false" customHeight="false" outlineLevel="0" collapsed="false">
      <c r="A412" s="16"/>
      <c r="B412" s="17"/>
      <c r="C412" s="17"/>
      <c r="D412" s="17"/>
      <c r="E412" s="17"/>
      <c r="F412" s="17"/>
      <c r="G412" s="17"/>
      <c r="H412" s="17"/>
      <c r="I412" s="17"/>
      <c r="J412" s="18" t="str">
        <f aca="false">IF(COUNT(E412:I412)&lt;5,"",SUM(E412:I412))</f>
        <v/>
      </c>
      <c r="K412" s="18" t="str">
        <f aca="false">IF(J412="","",IF(M412&lt;설정!$B$3,"",ROUND(AVERAGEIFS($J$2:$J$1001,$B$2:$B$1001,B412,$A$2:$A$1001,"&lt;"&amp;A412,$A$2:$A$1001,"&gt;="&amp;(A412-설정!$B$2)),2)))</f>
        <v/>
      </c>
      <c r="L412" s="18" t="str">
        <f aca="false">IF(K412="","",ROUND(SQRT(MAX(0,(SUMIFS($R$2:$R$1001,$B$2:$B$1001,B412,$A$2:$A$1001,"&lt;"&amp;A412,$A$2:$A$1001,"&gt;="&amp;(A412-설정!$B$2))-M412*AVERAGEIFS($J$2:$J$1001,$B$2:$B$1001,B412,$A$2:$A$1001,"&lt;"&amp;A412,$A$2:$A$1001,"&gt;="&amp;(A412-설정!$B$2))^2)/(M412-1))),2))</f>
        <v/>
      </c>
      <c r="M412" s="18" t="str">
        <f aca="false">IF(J412="","",COUNTIFS($B$2:$B$1001,B412,$A$2:$A$1001,"&lt;"&amp;A412,$A$2:$A$1001,"&gt;="&amp;(A412-설정!$B$2),$J$2:$J$1001,"&gt;=0"))</f>
        <v/>
      </c>
      <c r="N412" s="18" t="str">
        <f aca="false">IF(K412="","",IF(L412=0,"",ROUND((J412-K412)/L412,2)))</f>
        <v/>
      </c>
      <c r="O412" s="19" t="str">
        <f aca="false">IF(J412="","",IF(MIN(F412,G412)&lt;=설정!$B$5,"예",""))</f>
        <v/>
      </c>
      <c r="P412" s="19" t="str">
        <f aca="false">IF(J412="","",IF(M412&lt;설정!$B$3,"baseline 수집 중",IF(N412="","정상",IF(N412&lt;=설정!$B$4,"낮음","정상"))))</f>
        <v/>
      </c>
      <c r="Q412" s="20"/>
      <c r="R412" s="18" t="str">
        <f aca="false">IF(J412="","",J412^2)</f>
        <v/>
      </c>
    </row>
    <row r="413" customFormat="false" ht="15" hidden="false" customHeight="false" outlineLevel="0" collapsed="false">
      <c r="A413" s="16"/>
      <c r="B413" s="17"/>
      <c r="C413" s="17"/>
      <c r="D413" s="17"/>
      <c r="E413" s="17"/>
      <c r="F413" s="17"/>
      <c r="G413" s="17"/>
      <c r="H413" s="17"/>
      <c r="I413" s="17"/>
      <c r="J413" s="18" t="str">
        <f aca="false">IF(COUNT(E413:I413)&lt;5,"",SUM(E413:I413))</f>
        <v/>
      </c>
      <c r="K413" s="18" t="str">
        <f aca="false">IF(J413="","",IF(M413&lt;설정!$B$3,"",ROUND(AVERAGEIFS($J$2:$J$1001,$B$2:$B$1001,B413,$A$2:$A$1001,"&lt;"&amp;A413,$A$2:$A$1001,"&gt;="&amp;(A413-설정!$B$2)),2)))</f>
        <v/>
      </c>
      <c r="L413" s="18" t="str">
        <f aca="false">IF(K413="","",ROUND(SQRT(MAX(0,(SUMIFS($R$2:$R$1001,$B$2:$B$1001,B413,$A$2:$A$1001,"&lt;"&amp;A413,$A$2:$A$1001,"&gt;="&amp;(A413-설정!$B$2))-M413*AVERAGEIFS($J$2:$J$1001,$B$2:$B$1001,B413,$A$2:$A$1001,"&lt;"&amp;A413,$A$2:$A$1001,"&gt;="&amp;(A413-설정!$B$2))^2)/(M413-1))),2))</f>
        <v/>
      </c>
      <c r="M413" s="18" t="str">
        <f aca="false">IF(J413="","",COUNTIFS($B$2:$B$1001,B413,$A$2:$A$1001,"&lt;"&amp;A413,$A$2:$A$1001,"&gt;="&amp;(A413-설정!$B$2),$J$2:$J$1001,"&gt;=0"))</f>
        <v/>
      </c>
      <c r="N413" s="18" t="str">
        <f aca="false">IF(K413="","",IF(L413=0,"",ROUND((J413-K413)/L413,2)))</f>
        <v/>
      </c>
      <c r="O413" s="19" t="str">
        <f aca="false">IF(J413="","",IF(MIN(F413,G413)&lt;=설정!$B$5,"예",""))</f>
        <v/>
      </c>
      <c r="P413" s="19" t="str">
        <f aca="false">IF(J413="","",IF(M413&lt;설정!$B$3,"baseline 수집 중",IF(N413="","정상",IF(N413&lt;=설정!$B$4,"낮음","정상"))))</f>
        <v/>
      </c>
      <c r="Q413" s="20"/>
      <c r="R413" s="18" t="str">
        <f aca="false">IF(J413="","",J413^2)</f>
        <v/>
      </c>
    </row>
    <row r="414" customFormat="false" ht="15" hidden="false" customHeight="false" outlineLevel="0" collapsed="false">
      <c r="A414" s="16"/>
      <c r="B414" s="17"/>
      <c r="C414" s="17"/>
      <c r="D414" s="17"/>
      <c r="E414" s="17"/>
      <c r="F414" s="17"/>
      <c r="G414" s="17"/>
      <c r="H414" s="17"/>
      <c r="I414" s="17"/>
      <c r="J414" s="18" t="str">
        <f aca="false">IF(COUNT(E414:I414)&lt;5,"",SUM(E414:I414))</f>
        <v/>
      </c>
      <c r="K414" s="18" t="str">
        <f aca="false">IF(J414="","",IF(M414&lt;설정!$B$3,"",ROUND(AVERAGEIFS($J$2:$J$1001,$B$2:$B$1001,B414,$A$2:$A$1001,"&lt;"&amp;A414,$A$2:$A$1001,"&gt;="&amp;(A414-설정!$B$2)),2)))</f>
        <v/>
      </c>
      <c r="L414" s="18" t="str">
        <f aca="false">IF(K414="","",ROUND(SQRT(MAX(0,(SUMIFS($R$2:$R$1001,$B$2:$B$1001,B414,$A$2:$A$1001,"&lt;"&amp;A414,$A$2:$A$1001,"&gt;="&amp;(A414-설정!$B$2))-M414*AVERAGEIFS($J$2:$J$1001,$B$2:$B$1001,B414,$A$2:$A$1001,"&lt;"&amp;A414,$A$2:$A$1001,"&gt;="&amp;(A414-설정!$B$2))^2)/(M414-1))),2))</f>
        <v/>
      </c>
      <c r="M414" s="18" t="str">
        <f aca="false">IF(J414="","",COUNTIFS($B$2:$B$1001,B414,$A$2:$A$1001,"&lt;"&amp;A414,$A$2:$A$1001,"&gt;="&amp;(A414-설정!$B$2),$J$2:$J$1001,"&gt;=0"))</f>
        <v/>
      </c>
      <c r="N414" s="18" t="str">
        <f aca="false">IF(K414="","",IF(L414=0,"",ROUND((J414-K414)/L414,2)))</f>
        <v/>
      </c>
      <c r="O414" s="19" t="str">
        <f aca="false">IF(J414="","",IF(MIN(F414,G414)&lt;=설정!$B$5,"예",""))</f>
        <v/>
      </c>
      <c r="P414" s="19" t="str">
        <f aca="false">IF(J414="","",IF(M414&lt;설정!$B$3,"baseline 수집 중",IF(N414="","정상",IF(N414&lt;=설정!$B$4,"낮음","정상"))))</f>
        <v/>
      </c>
      <c r="Q414" s="20"/>
      <c r="R414" s="18" t="str">
        <f aca="false">IF(J414="","",J414^2)</f>
        <v/>
      </c>
    </row>
    <row r="415" customFormat="false" ht="15" hidden="false" customHeight="false" outlineLevel="0" collapsed="false">
      <c r="A415" s="16"/>
      <c r="B415" s="17"/>
      <c r="C415" s="17"/>
      <c r="D415" s="17"/>
      <c r="E415" s="17"/>
      <c r="F415" s="17"/>
      <c r="G415" s="17"/>
      <c r="H415" s="17"/>
      <c r="I415" s="17"/>
      <c r="J415" s="18" t="str">
        <f aca="false">IF(COUNT(E415:I415)&lt;5,"",SUM(E415:I415))</f>
        <v/>
      </c>
      <c r="K415" s="18" t="str">
        <f aca="false">IF(J415="","",IF(M415&lt;설정!$B$3,"",ROUND(AVERAGEIFS($J$2:$J$1001,$B$2:$B$1001,B415,$A$2:$A$1001,"&lt;"&amp;A415,$A$2:$A$1001,"&gt;="&amp;(A415-설정!$B$2)),2)))</f>
        <v/>
      </c>
      <c r="L415" s="18" t="str">
        <f aca="false">IF(K415="","",ROUND(SQRT(MAX(0,(SUMIFS($R$2:$R$1001,$B$2:$B$1001,B415,$A$2:$A$1001,"&lt;"&amp;A415,$A$2:$A$1001,"&gt;="&amp;(A415-설정!$B$2))-M415*AVERAGEIFS($J$2:$J$1001,$B$2:$B$1001,B415,$A$2:$A$1001,"&lt;"&amp;A415,$A$2:$A$1001,"&gt;="&amp;(A415-설정!$B$2))^2)/(M415-1))),2))</f>
        <v/>
      </c>
      <c r="M415" s="18" t="str">
        <f aca="false">IF(J415="","",COUNTIFS($B$2:$B$1001,B415,$A$2:$A$1001,"&lt;"&amp;A415,$A$2:$A$1001,"&gt;="&amp;(A415-설정!$B$2),$J$2:$J$1001,"&gt;=0"))</f>
        <v/>
      </c>
      <c r="N415" s="18" t="str">
        <f aca="false">IF(K415="","",IF(L415=0,"",ROUND((J415-K415)/L415,2)))</f>
        <v/>
      </c>
      <c r="O415" s="19" t="str">
        <f aca="false">IF(J415="","",IF(MIN(F415,G415)&lt;=설정!$B$5,"예",""))</f>
        <v/>
      </c>
      <c r="P415" s="19" t="str">
        <f aca="false">IF(J415="","",IF(M415&lt;설정!$B$3,"baseline 수집 중",IF(N415="","정상",IF(N415&lt;=설정!$B$4,"낮음","정상"))))</f>
        <v/>
      </c>
      <c r="Q415" s="20"/>
      <c r="R415" s="18" t="str">
        <f aca="false">IF(J415="","",J415^2)</f>
        <v/>
      </c>
    </row>
    <row r="416" customFormat="false" ht="15" hidden="false" customHeight="false" outlineLevel="0" collapsed="false">
      <c r="A416" s="16"/>
      <c r="B416" s="17"/>
      <c r="C416" s="17"/>
      <c r="D416" s="17"/>
      <c r="E416" s="17"/>
      <c r="F416" s="17"/>
      <c r="G416" s="17"/>
      <c r="H416" s="17"/>
      <c r="I416" s="17"/>
      <c r="J416" s="18" t="str">
        <f aca="false">IF(COUNT(E416:I416)&lt;5,"",SUM(E416:I416))</f>
        <v/>
      </c>
      <c r="K416" s="18" t="str">
        <f aca="false">IF(J416="","",IF(M416&lt;설정!$B$3,"",ROUND(AVERAGEIFS($J$2:$J$1001,$B$2:$B$1001,B416,$A$2:$A$1001,"&lt;"&amp;A416,$A$2:$A$1001,"&gt;="&amp;(A416-설정!$B$2)),2)))</f>
        <v/>
      </c>
      <c r="L416" s="18" t="str">
        <f aca="false">IF(K416="","",ROUND(SQRT(MAX(0,(SUMIFS($R$2:$R$1001,$B$2:$B$1001,B416,$A$2:$A$1001,"&lt;"&amp;A416,$A$2:$A$1001,"&gt;="&amp;(A416-설정!$B$2))-M416*AVERAGEIFS($J$2:$J$1001,$B$2:$B$1001,B416,$A$2:$A$1001,"&lt;"&amp;A416,$A$2:$A$1001,"&gt;="&amp;(A416-설정!$B$2))^2)/(M416-1))),2))</f>
        <v/>
      </c>
      <c r="M416" s="18" t="str">
        <f aca="false">IF(J416="","",COUNTIFS($B$2:$B$1001,B416,$A$2:$A$1001,"&lt;"&amp;A416,$A$2:$A$1001,"&gt;="&amp;(A416-설정!$B$2),$J$2:$J$1001,"&gt;=0"))</f>
        <v/>
      </c>
      <c r="N416" s="18" t="str">
        <f aca="false">IF(K416="","",IF(L416=0,"",ROUND((J416-K416)/L416,2)))</f>
        <v/>
      </c>
      <c r="O416" s="19" t="str">
        <f aca="false">IF(J416="","",IF(MIN(F416,G416)&lt;=설정!$B$5,"예",""))</f>
        <v/>
      </c>
      <c r="P416" s="19" t="str">
        <f aca="false">IF(J416="","",IF(M416&lt;설정!$B$3,"baseline 수집 중",IF(N416="","정상",IF(N416&lt;=설정!$B$4,"낮음","정상"))))</f>
        <v/>
      </c>
      <c r="Q416" s="20"/>
      <c r="R416" s="18" t="str">
        <f aca="false">IF(J416="","",J416^2)</f>
        <v/>
      </c>
    </row>
    <row r="417" customFormat="false" ht="15" hidden="false" customHeight="false" outlineLevel="0" collapsed="false">
      <c r="A417" s="16"/>
      <c r="B417" s="17"/>
      <c r="C417" s="17"/>
      <c r="D417" s="17"/>
      <c r="E417" s="17"/>
      <c r="F417" s="17"/>
      <c r="G417" s="17"/>
      <c r="H417" s="17"/>
      <c r="I417" s="17"/>
      <c r="J417" s="18" t="str">
        <f aca="false">IF(COUNT(E417:I417)&lt;5,"",SUM(E417:I417))</f>
        <v/>
      </c>
      <c r="K417" s="18" t="str">
        <f aca="false">IF(J417="","",IF(M417&lt;설정!$B$3,"",ROUND(AVERAGEIFS($J$2:$J$1001,$B$2:$B$1001,B417,$A$2:$A$1001,"&lt;"&amp;A417,$A$2:$A$1001,"&gt;="&amp;(A417-설정!$B$2)),2)))</f>
        <v/>
      </c>
      <c r="L417" s="18" t="str">
        <f aca="false">IF(K417="","",ROUND(SQRT(MAX(0,(SUMIFS($R$2:$R$1001,$B$2:$B$1001,B417,$A$2:$A$1001,"&lt;"&amp;A417,$A$2:$A$1001,"&gt;="&amp;(A417-설정!$B$2))-M417*AVERAGEIFS($J$2:$J$1001,$B$2:$B$1001,B417,$A$2:$A$1001,"&lt;"&amp;A417,$A$2:$A$1001,"&gt;="&amp;(A417-설정!$B$2))^2)/(M417-1))),2))</f>
        <v/>
      </c>
      <c r="M417" s="18" t="str">
        <f aca="false">IF(J417="","",COUNTIFS($B$2:$B$1001,B417,$A$2:$A$1001,"&lt;"&amp;A417,$A$2:$A$1001,"&gt;="&amp;(A417-설정!$B$2),$J$2:$J$1001,"&gt;=0"))</f>
        <v/>
      </c>
      <c r="N417" s="18" t="str">
        <f aca="false">IF(K417="","",IF(L417=0,"",ROUND((J417-K417)/L417,2)))</f>
        <v/>
      </c>
      <c r="O417" s="19" t="str">
        <f aca="false">IF(J417="","",IF(MIN(F417,G417)&lt;=설정!$B$5,"예",""))</f>
        <v/>
      </c>
      <c r="P417" s="19" t="str">
        <f aca="false">IF(J417="","",IF(M417&lt;설정!$B$3,"baseline 수집 중",IF(N417="","정상",IF(N417&lt;=설정!$B$4,"낮음","정상"))))</f>
        <v/>
      </c>
      <c r="Q417" s="20"/>
      <c r="R417" s="18" t="str">
        <f aca="false">IF(J417="","",J417^2)</f>
        <v/>
      </c>
    </row>
    <row r="418" customFormat="false" ht="15" hidden="false" customHeight="false" outlineLevel="0" collapsed="false">
      <c r="A418" s="16"/>
      <c r="B418" s="17"/>
      <c r="C418" s="17"/>
      <c r="D418" s="17"/>
      <c r="E418" s="17"/>
      <c r="F418" s="17"/>
      <c r="G418" s="17"/>
      <c r="H418" s="17"/>
      <c r="I418" s="17"/>
      <c r="J418" s="18" t="str">
        <f aca="false">IF(COUNT(E418:I418)&lt;5,"",SUM(E418:I418))</f>
        <v/>
      </c>
      <c r="K418" s="18" t="str">
        <f aca="false">IF(J418="","",IF(M418&lt;설정!$B$3,"",ROUND(AVERAGEIFS($J$2:$J$1001,$B$2:$B$1001,B418,$A$2:$A$1001,"&lt;"&amp;A418,$A$2:$A$1001,"&gt;="&amp;(A418-설정!$B$2)),2)))</f>
        <v/>
      </c>
      <c r="L418" s="18" t="str">
        <f aca="false">IF(K418="","",ROUND(SQRT(MAX(0,(SUMIFS($R$2:$R$1001,$B$2:$B$1001,B418,$A$2:$A$1001,"&lt;"&amp;A418,$A$2:$A$1001,"&gt;="&amp;(A418-설정!$B$2))-M418*AVERAGEIFS($J$2:$J$1001,$B$2:$B$1001,B418,$A$2:$A$1001,"&lt;"&amp;A418,$A$2:$A$1001,"&gt;="&amp;(A418-설정!$B$2))^2)/(M418-1))),2))</f>
        <v/>
      </c>
      <c r="M418" s="18" t="str">
        <f aca="false">IF(J418="","",COUNTIFS($B$2:$B$1001,B418,$A$2:$A$1001,"&lt;"&amp;A418,$A$2:$A$1001,"&gt;="&amp;(A418-설정!$B$2),$J$2:$J$1001,"&gt;=0"))</f>
        <v/>
      </c>
      <c r="N418" s="18" t="str">
        <f aca="false">IF(K418="","",IF(L418=0,"",ROUND((J418-K418)/L418,2)))</f>
        <v/>
      </c>
      <c r="O418" s="19" t="str">
        <f aca="false">IF(J418="","",IF(MIN(F418,G418)&lt;=설정!$B$5,"예",""))</f>
        <v/>
      </c>
      <c r="P418" s="19" t="str">
        <f aca="false">IF(J418="","",IF(M418&lt;설정!$B$3,"baseline 수집 중",IF(N418="","정상",IF(N418&lt;=설정!$B$4,"낮음","정상"))))</f>
        <v/>
      </c>
      <c r="Q418" s="20"/>
      <c r="R418" s="18" t="str">
        <f aca="false">IF(J418="","",J418^2)</f>
        <v/>
      </c>
    </row>
    <row r="419" customFormat="false" ht="15" hidden="false" customHeight="false" outlineLevel="0" collapsed="false">
      <c r="A419" s="16"/>
      <c r="B419" s="17"/>
      <c r="C419" s="17"/>
      <c r="D419" s="17"/>
      <c r="E419" s="17"/>
      <c r="F419" s="17"/>
      <c r="G419" s="17"/>
      <c r="H419" s="17"/>
      <c r="I419" s="17"/>
      <c r="J419" s="18" t="str">
        <f aca="false">IF(COUNT(E419:I419)&lt;5,"",SUM(E419:I419))</f>
        <v/>
      </c>
      <c r="K419" s="18" t="str">
        <f aca="false">IF(J419="","",IF(M419&lt;설정!$B$3,"",ROUND(AVERAGEIFS($J$2:$J$1001,$B$2:$B$1001,B419,$A$2:$A$1001,"&lt;"&amp;A419,$A$2:$A$1001,"&gt;="&amp;(A419-설정!$B$2)),2)))</f>
        <v/>
      </c>
      <c r="L419" s="18" t="str">
        <f aca="false">IF(K419="","",ROUND(SQRT(MAX(0,(SUMIFS($R$2:$R$1001,$B$2:$B$1001,B419,$A$2:$A$1001,"&lt;"&amp;A419,$A$2:$A$1001,"&gt;="&amp;(A419-설정!$B$2))-M419*AVERAGEIFS($J$2:$J$1001,$B$2:$B$1001,B419,$A$2:$A$1001,"&lt;"&amp;A419,$A$2:$A$1001,"&gt;="&amp;(A419-설정!$B$2))^2)/(M419-1))),2))</f>
        <v/>
      </c>
      <c r="M419" s="18" t="str">
        <f aca="false">IF(J419="","",COUNTIFS($B$2:$B$1001,B419,$A$2:$A$1001,"&lt;"&amp;A419,$A$2:$A$1001,"&gt;="&amp;(A419-설정!$B$2),$J$2:$J$1001,"&gt;=0"))</f>
        <v/>
      </c>
      <c r="N419" s="18" t="str">
        <f aca="false">IF(K419="","",IF(L419=0,"",ROUND((J419-K419)/L419,2)))</f>
        <v/>
      </c>
      <c r="O419" s="19" t="str">
        <f aca="false">IF(J419="","",IF(MIN(F419,G419)&lt;=설정!$B$5,"예",""))</f>
        <v/>
      </c>
      <c r="P419" s="19" t="str">
        <f aca="false">IF(J419="","",IF(M419&lt;설정!$B$3,"baseline 수집 중",IF(N419="","정상",IF(N419&lt;=설정!$B$4,"낮음","정상"))))</f>
        <v/>
      </c>
      <c r="Q419" s="20"/>
      <c r="R419" s="18" t="str">
        <f aca="false">IF(J419="","",J419^2)</f>
        <v/>
      </c>
    </row>
    <row r="420" customFormat="false" ht="15" hidden="false" customHeight="false" outlineLevel="0" collapsed="false">
      <c r="A420" s="16"/>
      <c r="B420" s="17"/>
      <c r="C420" s="17"/>
      <c r="D420" s="17"/>
      <c r="E420" s="17"/>
      <c r="F420" s="17"/>
      <c r="G420" s="17"/>
      <c r="H420" s="17"/>
      <c r="I420" s="17"/>
      <c r="J420" s="18" t="str">
        <f aca="false">IF(COUNT(E420:I420)&lt;5,"",SUM(E420:I420))</f>
        <v/>
      </c>
      <c r="K420" s="18" t="str">
        <f aca="false">IF(J420="","",IF(M420&lt;설정!$B$3,"",ROUND(AVERAGEIFS($J$2:$J$1001,$B$2:$B$1001,B420,$A$2:$A$1001,"&lt;"&amp;A420,$A$2:$A$1001,"&gt;="&amp;(A420-설정!$B$2)),2)))</f>
        <v/>
      </c>
      <c r="L420" s="18" t="str">
        <f aca="false">IF(K420="","",ROUND(SQRT(MAX(0,(SUMIFS($R$2:$R$1001,$B$2:$B$1001,B420,$A$2:$A$1001,"&lt;"&amp;A420,$A$2:$A$1001,"&gt;="&amp;(A420-설정!$B$2))-M420*AVERAGEIFS($J$2:$J$1001,$B$2:$B$1001,B420,$A$2:$A$1001,"&lt;"&amp;A420,$A$2:$A$1001,"&gt;="&amp;(A420-설정!$B$2))^2)/(M420-1))),2))</f>
        <v/>
      </c>
      <c r="M420" s="18" t="str">
        <f aca="false">IF(J420="","",COUNTIFS($B$2:$B$1001,B420,$A$2:$A$1001,"&lt;"&amp;A420,$A$2:$A$1001,"&gt;="&amp;(A420-설정!$B$2),$J$2:$J$1001,"&gt;=0"))</f>
        <v/>
      </c>
      <c r="N420" s="18" t="str">
        <f aca="false">IF(K420="","",IF(L420=0,"",ROUND((J420-K420)/L420,2)))</f>
        <v/>
      </c>
      <c r="O420" s="19" t="str">
        <f aca="false">IF(J420="","",IF(MIN(F420,G420)&lt;=설정!$B$5,"예",""))</f>
        <v/>
      </c>
      <c r="P420" s="19" t="str">
        <f aca="false">IF(J420="","",IF(M420&lt;설정!$B$3,"baseline 수집 중",IF(N420="","정상",IF(N420&lt;=설정!$B$4,"낮음","정상"))))</f>
        <v/>
      </c>
      <c r="Q420" s="20"/>
      <c r="R420" s="18" t="str">
        <f aca="false">IF(J420="","",J420^2)</f>
        <v/>
      </c>
    </row>
    <row r="421" customFormat="false" ht="15" hidden="false" customHeight="false" outlineLevel="0" collapsed="false">
      <c r="A421" s="16"/>
      <c r="B421" s="17"/>
      <c r="C421" s="17"/>
      <c r="D421" s="17"/>
      <c r="E421" s="17"/>
      <c r="F421" s="17"/>
      <c r="G421" s="17"/>
      <c r="H421" s="17"/>
      <c r="I421" s="17"/>
      <c r="J421" s="18" t="str">
        <f aca="false">IF(COUNT(E421:I421)&lt;5,"",SUM(E421:I421))</f>
        <v/>
      </c>
      <c r="K421" s="18" t="str">
        <f aca="false">IF(J421="","",IF(M421&lt;설정!$B$3,"",ROUND(AVERAGEIFS($J$2:$J$1001,$B$2:$B$1001,B421,$A$2:$A$1001,"&lt;"&amp;A421,$A$2:$A$1001,"&gt;="&amp;(A421-설정!$B$2)),2)))</f>
        <v/>
      </c>
      <c r="L421" s="18" t="str">
        <f aca="false">IF(K421="","",ROUND(SQRT(MAX(0,(SUMIFS($R$2:$R$1001,$B$2:$B$1001,B421,$A$2:$A$1001,"&lt;"&amp;A421,$A$2:$A$1001,"&gt;="&amp;(A421-설정!$B$2))-M421*AVERAGEIFS($J$2:$J$1001,$B$2:$B$1001,B421,$A$2:$A$1001,"&lt;"&amp;A421,$A$2:$A$1001,"&gt;="&amp;(A421-설정!$B$2))^2)/(M421-1))),2))</f>
        <v/>
      </c>
      <c r="M421" s="18" t="str">
        <f aca="false">IF(J421="","",COUNTIFS($B$2:$B$1001,B421,$A$2:$A$1001,"&lt;"&amp;A421,$A$2:$A$1001,"&gt;="&amp;(A421-설정!$B$2),$J$2:$J$1001,"&gt;=0"))</f>
        <v/>
      </c>
      <c r="N421" s="18" t="str">
        <f aca="false">IF(K421="","",IF(L421=0,"",ROUND((J421-K421)/L421,2)))</f>
        <v/>
      </c>
      <c r="O421" s="19" t="str">
        <f aca="false">IF(J421="","",IF(MIN(F421,G421)&lt;=설정!$B$5,"예",""))</f>
        <v/>
      </c>
      <c r="P421" s="19" t="str">
        <f aca="false">IF(J421="","",IF(M421&lt;설정!$B$3,"baseline 수집 중",IF(N421="","정상",IF(N421&lt;=설정!$B$4,"낮음","정상"))))</f>
        <v/>
      </c>
      <c r="Q421" s="20"/>
      <c r="R421" s="18" t="str">
        <f aca="false">IF(J421="","",J421^2)</f>
        <v/>
      </c>
    </row>
    <row r="422" customFormat="false" ht="15" hidden="false" customHeight="false" outlineLevel="0" collapsed="false">
      <c r="A422" s="16"/>
      <c r="B422" s="17"/>
      <c r="C422" s="17"/>
      <c r="D422" s="17"/>
      <c r="E422" s="17"/>
      <c r="F422" s="17"/>
      <c r="G422" s="17"/>
      <c r="H422" s="17"/>
      <c r="I422" s="17"/>
      <c r="J422" s="18" t="str">
        <f aca="false">IF(COUNT(E422:I422)&lt;5,"",SUM(E422:I422))</f>
        <v/>
      </c>
      <c r="K422" s="18" t="str">
        <f aca="false">IF(J422="","",IF(M422&lt;설정!$B$3,"",ROUND(AVERAGEIFS($J$2:$J$1001,$B$2:$B$1001,B422,$A$2:$A$1001,"&lt;"&amp;A422,$A$2:$A$1001,"&gt;="&amp;(A422-설정!$B$2)),2)))</f>
        <v/>
      </c>
      <c r="L422" s="18" t="str">
        <f aca="false">IF(K422="","",ROUND(SQRT(MAX(0,(SUMIFS($R$2:$R$1001,$B$2:$B$1001,B422,$A$2:$A$1001,"&lt;"&amp;A422,$A$2:$A$1001,"&gt;="&amp;(A422-설정!$B$2))-M422*AVERAGEIFS($J$2:$J$1001,$B$2:$B$1001,B422,$A$2:$A$1001,"&lt;"&amp;A422,$A$2:$A$1001,"&gt;="&amp;(A422-설정!$B$2))^2)/(M422-1))),2))</f>
        <v/>
      </c>
      <c r="M422" s="18" t="str">
        <f aca="false">IF(J422="","",COUNTIFS($B$2:$B$1001,B422,$A$2:$A$1001,"&lt;"&amp;A422,$A$2:$A$1001,"&gt;="&amp;(A422-설정!$B$2),$J$2:$J$1001,"&gt;=0"))</f>
        <v/>
      </c>
      <c r="N422" s="18" t="str">
        <f aca="false">IF(K422="","",IF(L422=0,"",ROUND((J422-K422)/L422,2)))</f>
        <v/>
      </c>
      <c r="O422" s="19" t="str">
        <f aca="false">IF(J422="","",IF(MIN(F422,G422)&lt;=설정!$B$5,"예",""))</f>
        <v/>
      </c>
      <c r="P422" s="19" t="str">
        <f aca="false">IF(J422="","",IF(M422&lt;설정!$B$3,"baseline 수집 중",IF(N422="","정상",IF(N422&lt;=설정!$B$4,"낮음","정상"))))</f>
        <v/>
      </c>
      <c r="Q422" s="20"/>
      <c r="R422" s="18" t="str">
        <f aca="false">IF(J422="","",J422^2)</f>
        <v/>
      </c>
    </row>
    <row r="423" customFormat="false" ht="15" hidden="false" customHeight="false" outlineLevel="0" collapsed="false">
      <c r="A423" s="16"/>
      <c r="B423" s="17"/>
      <c r="C423" s="17"/>
      <c r="D423" s="17"/>
      <c r="E423" s="17"/>
      <c r="F423" s="17"/>
      <c r="G423" s="17"/>
      <c r="H423" s="17"/>
      <c r="I423" s="17"/>
      <c r="J423" s="18" t="str">
        <f aca="false">IF(COUNT(E423:I423)&lt;5,"",SUM(E423:I423))</f>
        <v/>
      </c>
      <c r="K423" s="18" t="str">
        <f aca="false">IF(J423="","",IF(M423&lt;설정!$B$3,"",ROUND(AVERAGEIFS($J$2:$J$1001,$B$2:$B$1001,B423,$A$2:$A$1001,"&lt;"&amp;A423,$A$2:$A$1001,"&gt;="&amp;(A423-설정!$B$2)),2)))</f>
        <v/>
      </c>
      <c r="L423" s="18" t="str">
        <f aca="false">IF(K423="","",ROUND(SQRT(MAX(0,(SUMIFS($R$2:$R$1001,$B$2:$B$1001,B423,$A$2:$A$1001,"&lt;"&amp;A423,$A$2:$A$1001,"&gt;="&amp;(A423-설정!$B$2))-M423*AVERAGEIFS($J$2:$J$1001,$B$2:$B$1001,B423,$A$2:$A$1001,"&lt;"&amp;A423,$A$2:$A$1001,"&gt;="&amp;(A423-설정!$B$2))^2)/(M423-1))),2))</f>
        <v/>
      </c>
      <c r="M423" s="18" t="str">
        <f aca="false">IF(J423="","",COUNTIFS($B$2:$B$1001,B423,$A$2:$A$1001,"&lt;"&amp;A423,$A$2:$A$1001,"&gt;="&amp;(A423-설정!$B$2),$J$2:$J$1001,"&gt;=0"))</f>
        <v/>
      </c>
      <c r="N423" s="18" t="str">
        <f aca="false">IF(K423="","",IF(L423=0,"",ROUND((J423-K423)/L423,2)))</f>
        <v/>
      </c>
      <c r="O423" s="19" t="str">
        <f aca="false">IF(J423="","",IF(MIN(F423,G423)&lt;=설정!$B$5,"예",""))</f>
        <v/>
      </c>
      <c r="P423" s="19" t="str">
        <f aca="false">IF(J423="","",IF(M423&lt;설정!$B$3,"baseline 수집 중",IF(N423="","정상",IF(N423&lt;=설정!$B$4,"낮음","정상"))))</f>
        <v/>
      </c>
      <c r="Q423" s="20"/>
      <c r="R423" s="18" t="str">
        <f aca="false">IF(J423="","",J423^2)</f>
        <v/>
      </c>
    </row>
    <row r="424" customFormat="false" ht="15" hidden="false" customHeight="false" outlineLevel="0" collapsed="false">
      <c r="A424" s="16"/>
      <c r="B424" s="17"/>
      <c r="C424" s="17"/>
      <c r="D424" s="17"/>
      <c r="E424" s="17"/>
      <c r="F424" s="17"/>
      <c r="G424" s="17"/>
      <c r="H424" s="17"/>
      <c r="I424" s="17"/>
      <c r="J424" s="18" t="str">
        <f aca="false">IF(COUNT(E424:I424)&lt;5,"",SUM(E424:I424))</f>
        <v/>
      </c>
      <c r="K424" s="18" t="str">
        <f aca="false">IF(J424="","",IF(M424&lt;설정!$B$3,"",ROUND(AVERAGEIFS($J$2:$J$1001,$B$2:$B$1001,B424,$A$2:$A$1001,"&lt;"&amp;A424,$A$2:$A$1001,"&gt;="&amp;(A424-설정!$B$2)),2)))</f>
        <v/>
      </c>
      <c r="L424" s="18" t="str">
        <f aca="false">IF(K424="","",ROUND(SQRT(MAX(0,(SUMIFS($R$2:$R$1001,$B$2:$B$1001,B424,$A$2:$A$1001,"&lt;"&amp;A424,$A$2:$A$1001,"&gt;="&amp;(A424-설정!$B$2))-M424*AVERAGEIFS($J$2:$J$1001,$B$2:$B$1001,B424,$A$2:$A$1001,"&lt;"&amp;A424,$A$2:$A$1001,"&gt;="&amp;(A424-설정!$B$2))^2)/(M424-1))),2))</f>
        <v/>
      </c>
      <c r="M424" s="18" t="str">
        <f aca="false">IF(J424="","",COUNTIFS($B$2:$B$1001,B424,$A$2:$A$1001,"&lt;"&amp;A424,$A$2:$A$1001,"&gt;="&amp;(A424-설정!$B$2),$J$2:$J$1001,"&gt;=0"))</f>
        <v/>
      </c>
      <c r="N424" s="18" t="str">
        <f aca="false">IF(K424="","",IF(L424=0,"",ROUND((J424-K424)/L424,2)))</f>
        <v/>
      </c>
      <c r="O424" s="19" t="str">
        <f aca="false">IF(J424="","",IF(MIN(F424,G424)&lt;=설정!$B$5,"예",""))</f>
        <v/>
      </c>
      <c r="P424" s="19" t="str">
        <f aca="false">IF(J424="","",IF(M424&lt;설정!$B$3,"baseline 수집 중",IF(N424="","정상",IF(N424&lt;=설정!$B$4,"낮음","정상"))))</f>
        <v/>
      </c>
      <c r="Q424" s="20"/>
      <c r="R424" s="18" t="str">
        <f aca="false">IF(J424="","",J424^2)</f>
        <v/>
      </c>
    </row>
    <row r="425" customFormat="false" ht="15" hidden="false" customHeight="false" outlineLevel="0" collapsed="false">
      <c r="A425" s="16"/>
      <c r="B425" s="17"/>
      <c r="C425" s="17"/>
      <c r="D425" s="17"/>
      <c r="E425" s="17"/>
      <c r="F425" s="17"/>
      <c r="G425" s="17"/>
      <c r="H425" s="17"/>
      <c r="I425" s="17"/>
      <c r="J425" s="18" t="str">
        <f aca="false">IF(COUNT(E425:I425)&lt;5,"",SUM(E425:I425))</f>
        <v/>
      </c>
      <c r="K425" s="18" t="str">
        <f aca="false">IF(J425="","",IF(M425&lt;설정!$B$3,"",ROUND(AVERAGEIFS($J$2:$J$1001,$B$2:$B$1001,B425,$A$2:$A$1001,"&lt;"&amp;A425,$A$2:$A$1001,"&gt;="&amp;(A425-설정!$B$2)),2)))</f>
        <v/>
      </c>
      <c r="L425" s="18" t="str">
        <f aca="false">IF(K425="","",ROUND(SQRT(MAX(0,(SUMIFS($R$2:$R$1001,$B$2:$B$1001,B425,$A$2:$A$1001,"&lt;"&amp;A425,$A$2:$A$1001,"&gt;="&amp;(A425-설정!$B$2))-M425*AVERAGEIFS($J$2:$J$1001,$B$2:$B$1001,B425,$A$2:$A$1001,"&lt;"&amp;A425,$A$2:$A$1001,"&gt;="&amp;(A425-설정!$B$2))^2)/(M425-1))),2))</f>
        <v/>
      </c>
      <c r="M425" s="18" t="str">
        <f aca="false">IF(J425="","",COUNTIFS($B$2:$B$1001,B425,$A$2:$A$1001,"&lt;"&amp;A425,$A$2:$A$1001,"&gt;="&amp;(A425-설정!$B$2),$J$2:$J$1001,"&gt;=0"))</f>
        <v/>
      </c>
      <c r="N425" s="18" t="str">
        <f aca="false">IF(K425="","",IF(L425=0,"",ROUND((J425-K425)/L425,2)))</f>
        <v/>
      </c>
      <c r="O425" s="19" t="str">
        <f aca="false">IF(J425="","",IF(MIN(F425,G425)&lt;=설정!$B$5,"예",""))</f>
        <v/>
      </c>
      <c r="P425" s="19" t="str">
        <f aca="false">IF(J425="","",IF(M425&lt;설정!$B$3,"baseline 수집 중",IF(N425="","정상",IF(N425&lt;=설정!$B$4,"낮음","정상"))))</f>
        <v/>
      </c>
      <c r="Q425" s="20"/>
      <c r="R425" s="18" t="str">
        <f aca="false">IF(J425="","",J425^2)</f>
        <v/>
      </c>
    </row>
    <row r="426" customFormat="false" ht="15" hidden="false" customHeight="false" outlineLevel="0" collapsed="false">
      <c r="A426" s="16"/>
      <c r="B426" s="17"/>
      <c r="C426" s="17"/>
      <c r="D426" s="17"/>
      <c r="E426" s="17"/>
      <c r="F426" s="17"/>
      <c r="G426" s="17"/>
      <c r="H426" s="17"/>
      <c r="I426" s="17"/>
      <c r="J426" s="18" t="str">
        <f aca="false">IF(COUNT(E426:I426)&lt;5,"",SUM(E426:I426))</f>
        <v/>
      </c>
      <c r="K426" s="18" t="str">
        <f aca="false">IF(J426="","",IF(M426&lt;설정!$B$3,"",ROUND(AVERAGEIFS($J$2:$J$1001,$B$2:$B$1001,B426,$A$2:$A$1001,"&lt;"&amp;A426,$A$2:$A$1001,"&gt;="&amp;(A426-설정!$B$2)),2)))</f>
        <v/>
      </c>
      <c r="L426" s="18" t="str">
        <f aca="false">IF(K426="","",ROUND(SQRT(MAX(0,(SUMIFS($R$2:$R$1001,$B$2:$B$1001,B426,$A$2:$A$1001,"&lt;"&amp;A426,$A$2:$A$1001,"&gt;="&amp;(A426-설정!$B$2))-M426*AVERAGEIFS($J$2:$J$1001,$B$2:$B$1001,B426,$A$2:$A$1001,"&lt;"&amp;A426,$A$2:$A$1001,"&gt;="&amp;(A426-설정!$B$2))^2)/(M426-1))),2))</f>
        <v/>
      </c>
      <c r="M426" s="18" t="str">
        <f aca="false">IF(J426="","",COUNTIFS($B$2:$B$1001,B426,$A$2:$A$1001,"&lt;"&amp;A426,$A$2:$A$1001,"&gt;="&amp;(A426-설정!$B$2),$J$2:$J$1001,"&gt;=0"))</f>
        <v/>
      </c>
      <c r="N426" s="18" t="str">
        <f aca="false">IF(K426="","",IF(L426=0,"",ROUND((J426-K426)/L426,2)))</f>
        <v/>
      </c>
      <c r="O426" s="19" t="str">
        <f aca="false">IF(J426="","",IF(MIN(F426,G426)&lt;=설정!$B$5,"예",""))</f>
        <v/>
      </c>
      <c r="P426" s="19" t="str">
        <f aca="false">IF(J426="","",IF(M426&lt;설정!$B$3,"baseline 수집 중",IF(N426="","정상",IF(N426&lt;=설정!$B$4,"낮음","정상"))))</f>
        <v/>
      </c>
      <c r="Q426" s="20"/>
      <c r="R426" s="18" t="str">
        <f aca="false">IF(J426="","",J426^2)</f>
        <v/>
      </c>
    </row>
    <row r="427" customFormat="false" ht="15" hidden="false" customHeight="false" outlineLevel="0" collapsed="false">
      <c r="A427" s="16"/>
      <c r="B427" s="17"/>
      <c r="C427" s="17"/>
      <c r="D427" s="17"/>
      <c r="E427" s="17"/>
      <c r="F427" s="17"/>
      <c r="G427" s="17"/>
      <c r="H427" s="17"/>
      <c r="I427" s="17"/>
      <c r="J427" s="18" t="str">
        <f aca="false">IF(COUNT(E427:I427)&lt;5,"",SUM(E427:I427))</f>
        <v/>
      </c>
      <c r="K427" s="18" t="str">
        <f aca="false">IF(J427="","",IF(M427&lt;설정!$B$3,"",ROUND(AVERAGEIFS($J$2:$J$1001,$B$2:$B$1001,B427,$A$2:$A$1001,"&lt;"&amp;A427,$A$2:$A$1001,"&gt;="&amp;(A427-설정!$B$2)),2)))</f>
        <v/>
      </c>
      <c r="L427" s="18" t="str">
        <f aca="false">IF(K427="","",ROUND(SQRT(MAX(0,(SUMIFS($R$2:$R$1001,$B$2:$B$1001,B427,$A$2:$A$1001,"&lt;"&amp;A427,$A$2:$A$1001,"&gt;="&amp;(A427-설정!$B$2))-M427*AVERAGEIFS($J$2:$J$1001,$B$2:$B$1001,B427,$A$2:$A$1001,"&lt;"&amp;A427,$A$2:$A$1001,"&gt;="&amp;(A427-설정!$B$2))^2)/(M427-1))),2))</f>
        <v/>
      </c>
      <c r="M427" s="18" t="str">
        <f aca="false">IF(J427="","",COUNTIFS($B$2:$B$1001,B427,$A$2:$A$1001,"&lt;"&amp;A427,$A$2:$A$1001,"&gt;="&amp;(A427-설정!$B$2),$J$2:$J$1001,"&gt;=0"))</f>
        <v/>
      </c>
      <c r="N427" s="18" t="str">
        <f aca="false">IF(K427="","",IF(L427=0,"",ROUND((J427-K427)/L427,2)))</f>
        <v/>
      </c>
      <c r="O427" s="19" t="str">
        <f aca="false">IF(J427="","",IF(MIN(F427,G427)&lt;=설정!$B$5,"예",""))</f>
        <v/>
      </c>
      <c r="P427" s="19" t="str">
        <f aca="false">IF(J427="","",IF(M427&lt;설정!$B$3,"baseline 수집 중",IF(N427="","정상",IF(N427&lt;=설정!$B$4,"낮음","정상"))))</f>
        <v/>
      </c>
      <c r="Q427" s="20"/>
      <c r="R427" s="18" t="str">
        <f aca="false">IF(J427="","",J427^2)</f>
        <v/>
      </c>
    </row>
    <row r="428" customFormat="false" ht="15" hidden="false" customHeight="false" outlineLevel="0" collapsed="false">
      <c r="A428" s="16"/>
      <c r="B428" s="17"/>
      <c r="C428" s="17"/>
      <c r="D428" s="17"/>
      <c r="E428" s="17"/>
      <c r="F428" s="17"/>
      <c r="G428" s="17"/>
      <c r="H428" s="17"/>
      <c r="I428" s="17"/>
      <c r="J428" s="18" t="str">
        <f aca="false">IF(COUNT(E428:I428)&lt;5,"",SUM(E428:I428))</f>
        <v/>
      </c>
      <c r="K428" s="18" t="str">
        <f aca="false">IF(J428="","",IF(M428&lt;설정!$B$3,"",ROUND(AVERAGEIFS($J$2:$J$1001,$B$2:$B$1001,B428,$A$2:$A$1001,"&lt;"&amp;A428,$A$2:$A$1001,"&gt;="&amp;(A428-설정!$B$2)),2)))</f>
        <v/>
      </c>
      <c r="L428" s="18" t="str">
        <f aca="false">IF(K428="","",ROUND(SQRT(MAX(0,(SUMIFS($R$2:$R$1001,$B$2:$B$1001,B428,$A$2:$A$1001,"&lt;"&amp;A428,$A$2:$A$1001,"&gt;="&amp;(A428-설정!$B$2))-M428*AVERAGEIFS($J$2:$J$1001,$B$2:$B$1001,B428,$A$2:$A$1001,"&lt;"&amp;A428,$A$2:$A$1001,"&gt;="&amp;(A428-설정!$B$2))^2)/(M428-1))),2))</f>
        <v/>
      </c>
      <c r="M428" s="18" t="str">
        <f aca="false">IF(J428="","",COUNTIFS($B$2:$B$1001,B428,$A$2:$A$1001,"&lt;"&amp;A428,$A$2:$A$1001,"&gt;="&amp;(A428-설정!$B$2),$J$2:$J$1001,"&gt;=0"))</f>
        <v/>
      </c>
      <c r="N428" s="18" t="str">
        <f aca="false">IF(K428="","",IF(L428=0,"",ROUND((J428-K428)/L428,2)))</f>
        <v/>
      </c>
      <c r="O428" s="19" t="str">
        <f aca="false">IF(J428="","",IF(MIN(F428,G428)&lt;=설정!$B$5,"예",""))</f>
        <v/>
      </c>
      <c r="P428" s="19" t="str">
        <f aca="false">IF(J428="","",IF(M428&lt;설정!$B$3,"baseline 수집 중",IF(N428="","정상",IF(N428&lt;=설정!$B$4,"낮음","정상"))))</f>
        <v/>
      </c>
      <c r="Q428" s="20"/>
      <c r="R428" s="18" t="str">
        <f aca="false">IF(J428="","",J428^2)</f>
        <v/>
      </c>
    </row>
    <row r="429" customFormat="false" ht="15" hidden="false" customHeight="false" outlineLevel="0" collapsed="false">
      <c r="A429" s="16"/>
      <c r="B429" s="17"/>
      <c r="C429" s="17"/>
      <c r="D429" s="17"/>
      <c r="E429" s="17"/>
      <c r="F429" s="17"/>
      <c r="G429" s="17"/>
      <c r="H429" s="17"/>
      <c r="I429" s="17"/>
      <c r="J429" s="18" t="str">
        <f aca="false">IF(COUNT(E429:I429)&lt;5,"",SUM(E429:I429))</f>
        <v/>
      </c>
      <c r="K429" s="18" t="str">
        <f aca="false">IF(J429="","",IF(M429&lt;설정!$B$3,"",ROUND(AVERAGEIFS($J$2:$J$1001,$B$2:$B$1001,B429,$A$2:$A$1001,"&lt;"&amp;A429,$A$2:$A$1001,"&gt;="&amp;(A429-설정!$B$2)),2)))</f>
        <v/>
      </c>
      <c r="L429" s="18" t="str">
        <f aca="false">IF(K429="","",ROUND(SQRT(MAX(0,(SUMIFS($R$2:$R$1001,$B$2:$B$1001,B429,$A$2:$A$1001,"&lt;"&amp;A429,$A$2:$A$1001,"&gt;="&amp;(A429-설정!$B$2))-M429*AVERAGEIFS($J$2:$J$1001,$B$2:$B$1001,B429,$A$2:$A$1001,"&lt;"&amp;A429,$A$2:$A$1001,"&gt;="&amp;(A429-설정!$B$2))^2)/(M429-1))),2))</f>
        <v/>
      </c>
      <c r="M429" s="18" t="str">
        <f aca="false">IF(J429="","",COUNTIFS($B$2:$B$1001,B429,$A$2:$A$1001,"&lt;"&amp;A429,$A$2:$A$1001,"&gt;="&amp;(A429-설정!$B$2),$J$2:$J$1001,"&gt;=0"))</f>
        <v/>
      </c>
      <c r="N429" s="18" t="str">
        <f aca="false">IF(K429="","",IF(L429=0,"",ROUND((J429-K429)/L429,2)))</f>
        <v/>
      </c>
      <c r="O429" s="19" t="str">
        <f aca="false">IF(J429="","",IF(MIN(F429,G429)&lt;=설정!$B$5,"예",""))</f>
        <v/>
      </c>
      <c r="P429" s="19" t="str">
        <f aca="false">IF(J429="","",IF(M429&lt;설정!$B$3,"baseline 수집 중",IF(N429="","정상",IF(N429&lt;=설정!$B$4,"낮음","정상"))))</f>
        <v/>
      </c>
      <c r="Q429" s="20"/>
      <c r="R429" s="18" t="str">
        <f aca="false">IF(J429="","",J429^2)</f>
        <v/>
      </c>
    </row>
    <row r="430" customFormat="false" ht="15" hidden="false" customHeight="false" outlineLevel="0" collapsed="false">
      <c r="A430" s="16"/>
      <c r="B430" s="17"/>
      <c r="C430" s="17"/>
      <c r="D430" s="17"/>
      <c r="E430" s="17"/>
      <c r="F430" s="17"/>
      <c r="G430" s="17"/>
      <c r="H430" s="17"/>
      <c r="I430" s="17"/>
      <c r="J430" s="18" t="str">
        <f aca="false">IF(COUNT(E430:I430)&lt;5,"",SUM(E430:I430))</f>
        <v/>
      </c>
      <c r="K430" s="18" t="str">
        <f aca="false">IF(J430="","",IF(M430&lt;설정!$B$3,"",ROUND(AVERAGEIFS($J$2:$J$1001,$B$2:$B$1001,B430,$A$2:$A$1001,"&lt;"&amp;A430,$A$2:$A$1001,"&gt;="&amp;(A430-설정!$B$2)),2)))</f>
        <v/>
      </c>
      <c r="L430" s="18" t="str">
        <f aca="false">IF(K430="","",ROUND(SQRT(MAX(0,(SUMIFS($R$2:$R$1001,$B$2:$B$1001,B430,$A$2:$A$1001,"&lt;"&amp;A430,$A$2:$A$1001,"&gt;="&amp;(A430-설정!$B$2))-M430*AVERAGEIFS($J$2:$J$1001,$B$2:$B$1001,B430,$A$2:$A$1001,"&lt;"&amp;A430,$A$2:$A$1001,"&gt;="&amp;(A430-설정!$B$2))^2)/(M430-1))),2))</f>
        <v/>
      </c>
      <c r="M430" s="18" t="str">
        <f aca="false">IF(J430="","",COUNTIFS($B$2:$B$1001,B430,$A$2:$A$1001,"&lt;"&amp;A430,$A$2:$A$1001,"&gt;="&amp;(A430-설정!$B$2),$J$2:$J$1001,"&gt;=0"))</f>
        <v/>
      </c>
      <c r="N430" s="18" t="str">
        <f aca="false">IF(K430="","",IF(L430=0,"",ROUND((J430-K430)/L430,2)))</f>
        <v/>
      </c>
      <c r="O430" s="19" t="str">
        <f aca="false">IF(J430="","",IF(MIN(F430,G430)&lt;=설정!$B$5,"예",""))</f>
        <v/>
      </c>
      <c r="P430" s="19" t="str">
        <f aca="false">IF(J430="","",IF(M430&lt;설정!$B$3,"baseline 수집 중",IF(N430="","정상",IF(N430&lt;=설정!$B$4,"낮음","정상"))))</f>
        <v/>
      </c>
      <c r="Q430" s="20"/>
      <c r="R430" s="18" t="str">
        <f aca="false">IF(J430="","",J430^2)</f>
        <v/>
      </c>
    </row>
    <row r="431" customFormat="false" ht="15" hidden="false" customHeight="false" outlineLevel="0" collapsed="false">
      <c r="A431" s="16"/>
      <c r="B431" s="17"/>
      <c r="C431" s="17"/>
      <c r="D431" s="17"/>
      <c r="E431" s="17"/>
      <c r="F431" s="17"/>
      <c r="G431" s="17"/>
      <c r="H431" s="17"/>
      <c r="I431" s="17"/>
      <c r="J431" s="18" t="str">
        <f aca="false">IF(COUNT(E431:I431)&lt;5,"",SUM(E431:I431))</f>
        <v/>
      </c>
      <c r="K431" s="18" t="str">
        <f aca="false">IF(J431="","",IF(M431&lt;설정!$B$3,"",ROUND(AVERAGEIFS($J$2:$J$1001,$B$2:$B$1001,B431,$A$2:$A$1001,"&lt;"&amp;A431,$A$2:$A$1001,"&gt;="&amp;(A431-설정!$B$2)),2)))</f>
        <v/>
      </c>
      <c r="L431" s="18" t="str">
        <f aca="false">IF(K431="","",ROUND(SQRT(MAX(0,(SUMIFS($R$2:$R$1001,$B$2:$B$1001,B431,$A$2:$A$1001,"&lt;"&amp;A431,$A$2:$A$1001,"&gt;="&amp;(A431-설정!$B$2))-M431*AVERAGEIFS($J$2:$J$1001,$B$2:$B$1001,B431,$A$2:$A$1001,"&lt;"&amp;A431,$A$2:$A$1001,"&gt;="&amp;(A431-설정!$B$2))^2)/(M431-1))),2))</f>
        <v/>
      </c>
      <c r="M431" s="18" t="str">
        <f aca="false">IF(J431="","",COUNTIFS($B$2:$B$1001,B431,$A$2:$A$1001,"&lt;"&amp;A431,$A$2:$A$1001,"&gt;="&amp;(A431-설정!$B$2),$J$2:$J$1001,"&gt;=0"))</f>
        <v/>
      </c>
      <c r="N431" s="18" t="str">
        <f aca="false">IF(K431="","",IF(L431=0,"",ROUND((J431-K431)/L431,2)))</f>
        <v/>
      </c>
      <c r="O431" s="19" t="str">
        <f aca="false">IF(J431="","",IF(MIN(F431,G431)&lt;=설정!$B$5,"예",""))</f>
        <v/>
      </c>
      <c r="P431" s="19" t="str">
        <f aca="false">IF(J431="","",IF(M431&lt;설정!$B$3,"baseline 수집 중",IF(N431="","정상",IF(N431&lt;=설정!$B$4,"낮음","정상"))))</f>
        <v/>
      </c>
      <c r="Q431" s="20"/>
      <c r="R431" s="18" t="str">
        <f aca="false">IF(J431="","",J431^2)</f>
        <v/>
      </c>
    </row>
    <row r="432" customFormat="false" ht="15" hidden="false" customHeight="false" outlineLevel="0" collapsed="false">
      <c r="A432" s="16"/>
      <c r="B432" s="17"/>
      <c r="C432" s="17"/>
      <c r="D432" s="17"/>
      <c r="E432" s="17"/>
      <c r="F432" s="17"/>
      <c r="G432" s="17"/>
      <c r="H432" s="17"/>
      <c r="I432" s="17"/>
      <c r="J432" s="18" t="str">
        <f aca="false">IF(COUNT(E432:I432)&lt;5,"",SUM(E432:I432))</f>
        <v/>
      </c>
      <c r="K432" s="18" t="str">
        <f aca="false">IF(J432="","",IF(M432&lt;설정!$B$3,"",ROUND(AVERAGEIFS($J$2:$J$1001,$B$2:$B$1001,B432,$A$2:$A$1001,"&lt;"&amp;A432,$A$2:$A$1001,"&gt;="&amp;(A432-설정!$B$2)),2)))</f>
        <v/>
      </c>
      <c r="L432" s="18" t="str">
        <f aca="false">IF(K432="","",ROUND(SQRT(MAX(0,(SUMIFS($R$2:$R$1001,$B$2:$B$1001,B432,$A$2:$A$1001,"&lt;"&amp;A432,$A$2:$A$1001,"&gt;="&amp;(A432-설정!$B$2))-M432*AVERAGEIFS($J$2:$J$1001,$B$2:$B$1001,B432,$A$2:$A$1001,"&lt;"&amp;A432,$A$2:$A$1001,"&gt;="&amp;(A432-설정!$B$2))^2)/(M432-1))),2))</f>
        <v/>
      </c>
      <c r="M432" s="18" t="str">
        <f aca="false">IF(J432="","",COUNTIFS($B$2:$B$1001,B432,$A$2:$A$1001,"&lt;"&amp;A432,$A$2:$A$1001,"&gt;="&amp;(A432-설정!$B$2),$J$2:$J$1001,"&gt;=0"))</f>
        <v/>
      </c>
      <c r="N432" s="18" t="str">
        <f aca="false">IF(K432="","",IF(L432=0,"",ROUND((J432-K432)/L432,2)))</f>
        <v/>
      </c>
      <c r="O432" s="19" t="str">
        <f aca="false">IF(J432="","",IF(MIN(F432,G432)&lt;=설정!$B$5,"예",""))</f>
        <v/>
      </c>
      <c r="P432" s="19" t="str">
        <f aca="false">IF(J432="","",IF(M432&lt;설정!$B$3,"baseline 수집 중",IF(N432="","정상",IF(N432&lt;=설정!$B$4,"낮음","정상"))))</f>
        <v/>
      </c>
      <c r="Q432" s="20"/>
      <c r="R432" s="18" t="str">
        <f aca="false">IF(J432="","",J432^2)</f>
        <v/>
      </c>
    </row>
    <row r="433" customFormat="false" ht="15" hidden="false" customHeight="false" outlineLevel="0" collapsed="false">
      <c r="A433" s="16"/>
      <c r="B433" s="17"/>
      <c r="C433" s="17"/>
      <c r="D433" s="17"/>
      <c r="E433" s="17"/>
      <c r="F433" s="17"/>
      <c r="G433" s="17"/>
      <c r="H433" s="17"/>
      <c r="I433" s="17"/>
      <c r="J433" s="18" t="str">
        <f aca="false">IF(COUNT(E433:I433)&lt;5,"",SUM(E433:I433))</f>
        <v/>
      </c>
      <c r="K433" s="18" t="str">
        <f aca="false">IF(J433="","",IF(M433&lt;설정!$B$3,"",ROUND(AVERAGEIFS($J$2:$J$1001,$B$2:$B$1001,B433,$A$2:$A$1001,"&lt;"&amp;A433,$A$2:$A$1001,"&gt;="&amp;(A433-설정!$B$2)),2)))</f>
        <v/>
      </c>
      <c r="L433" s="18" t="str">
        <f aca="false">IF(K433="","",ROUND(SQRT(MAX(0,(SUMIFS($R$2:$R$1001,$B$2:$B$1001,B433,$A$2:$A$1001,"&lt;"&amp;A433,$A$2:$A$1001,"&gt;="&amp;(A433-설정!$B$2))-M433*AVERAGEIFS($J$2:$J$1001,$B$2:$B$1001,B433,$A$2:$A$1001,"&lt;"&amp;A433,$A$2:$A$1001,"&gt;="&amp;(A433-설정!$B$2))^2)/(M433-1))),2))</f>
        <v/>
      </c>
      <c r="M433" s="18" t="str">
        <f aca="false">IF(J433="","",COUNTIFS($B$2:$B$1001,B433,$A$2:$A$1001,"&lt;"&amp;A433,$A$2:$A$1001,"&gt;="&amp;(A433-설정!$B$2),$J$2:$J$1001,"&gt;=0"))</f>
        <v/>
      </c>
      <c r="N433" s="18" t="str">
        <f aca="false">IF(K433="","",IF(L433=0,"",ROUND((J433-K433)/L433,2)))</f>
        <v/>
      </c>
      <c r="O433" s="19" t="str">
        <f aca="false">IF(J433="","",IF(MIN(F433,G433)&lt;=설정!$B$5,"예",""))</f>
        <v/>
      </c>
      <c r="P433" s="19" t="str">
        <f aca="false">IF(J433="","",IF(M433&lt;설정!$B$3,"baseline 수집 중",IF(N433="","정상",IF(N433&lt;=설정!$B$4,"낮음","정상"))))</f>
        <v/>
      </c>
      <c r="Q433" s="20"/>
      <c r="R433" s="18" t="str">
        <f aca="false">IF(J433="","",J433^2)</f>
        <v/>
      </c>
    </row>
    <row r="434" customFormat="false" ht="15" hidden="false" customHeight="false" outlineLevel="0" collapsed="false">
      <c r="A434" s="16"/>
      <c r="B434" s="17"/>
      <c r="C434" s="17"/>
      <c r="D434" s="17"/>
      <c r="E434" s="17"/>
      <c r="F434" s="17"/>
      <c r="G434" s="17"/>
      <c r="H434" s="17"/>
      <c r="I434" s="17"/>
      <c r="J434" s="18" t="str">
        <f aca="false">IF(COUNT(E434:I434)&lt;5,"",SUM(E434:I434))</f>
        <v/>
      </c>
      <c r="K434" s="18" t="str">
        <f aca="false">IF(J434="","",IF(M434&lt;설정!$B$3,"",ROUND(AVERAGEIFS($J$2:$J$1001,$B$2:$B$1001,B434,$A$2:$A$1001,"&lt;"&amp;A434,$A$2:$A$1001,"&gt;="&amp;(A434-설정!$B$2)),2)))</f>
        <v/>
      </c>
      <c r="L434" s="18" t="str">
        <f aca="false">IF(K434="","",ROUND(SQRT(MAX(0,(SUMIFS($R$2:$R$1001,$B$2:$B$1001,B434,$A$2:$A$1001,"&lt;"&amp;A434,$A$2:$A$1001,"&gt;="&amp;(A434-설정!$B$2))-M434*AVERAGEIFS($J$2:$J$1001,$B$2:$B$1001,B434,$A$2:$A$1001,"&lt;"&amp;A434,$A$2:$A$1001,"&gt;="&amp;(A434-설정!$B$2))^2)/(M434-1))),2))</f>
        <v/>
      </c>
      <c r="M434" s="18" t="str">
        <f aca="false">IF(J434="","",COUNTIFS($B$2:$B$1001,B434,$A$2:$A$1001,"&lt;"&amp;A434,$A$2:$A$1001,"&gt;="&amp;(A434-설정!$B$2),$J$2:$J$1001,"&gt;=0"))</f>
        <v/>
      </c>
      <c r="N434" s="18" t="str">
        <f aca="false">IF(K434="","",IF(L434=0,"",ROUND((J434-K434)/L434,2)))</f>
        <v/>
      </c>
      <c r="O434" s="19" t="str">
        <f aca="false">IF(J434="","",IF(MIN(F434,G434)&lt;=설정!$B$5,"예",""))</f>
        <v/>
      </c>
      <c r="P434" s="19" t="str">
        <f aca="false">IF(J434="","",IF(M434&lt;설정!$B$3,"baseline 수집 중",IF(N434="","정상",IF(N434&lt;=설정!$B$4,"낮음","정상"))))</f>
        <v/>
      </c>
      <c r="Q434" s="20"/>
      <c r="R434" s="18" t="str">
        <f aca="false">IF(J434="","",J434^2)</f>
        <v/>
      </c>
    </row>
    <row r="435" customFormat="false" ht="15" hidden="false" customHeight="false" outlineLevel="0" collapsed="false">
      <c r="A435" s="16"/>
      <c r="B435" s="17"/>
      <c r="C435" s="17"/>
      <c r="D435" s="17"/>
      <c r="E435" s="17"/>
      <c r="F435" s="17"/>
      <c r="G435" s="17"/>
      <c r="H435" s="17"/>
      <c r="I435" s="17"/>
      <c r="J435" s="18" t="str">
        <f aca="false">IF(COUNT(E435:I435)&lt;5,"",SUM(E435:I435))</f>
        <v/>
      </c>
      <c r="K435" s="18" t="str">
        <f aca="false">IF(J435="","",IF(M435&lt;설정!$B$3,"",ROUND(AVERAGEIFS($J$2:$J$1001,$B$2:$B$1001,B435,$A$2:$A$1001,"&lt;"&amp;A435,$A$2:$A$1001,"&gt;="&amp;(A435-설정!$B$2)),2)))</f>
        <v/>
      </c>
      <c r="L435" s="18" t="str">
        <f aca="false">IF(K435="","",ROUND(SQRT(MAX(0,(SUMIFS($R$2:$R$1001,$B$2:$B$1001,B435,$A$2:$A$1001,"&lt;"&amp;A435,$A$2:$A$1001,"&gt;="&amp;(A435-설정!$B$2))-M435*AVERAGEIFS($J$2:$J$1001,$B$2:$B$1001,B435,$A$2:$A$1001,"&lt;"&amp;A435,$A$2:$A$1001,"&gt;="&amp;(A435-설정!$B$2))^2)/(M435-1))),2))</f>
        <v/>
      </c>
      <c r="M435" s="18" t="str">
        <f aca="false">IF(J435="","",COUNTIFS($B$2:$B$1001,B435,$A$2:$A$1001,"&lt;"&amp;A435,$A$2:$A$1001,"&gt;="&amp;(A435-설정!$B$2),$J$2:$J$1001,"&gt;=0"))</f>
        <v/>
      </c>
      <c r="N435" s="18" t="str">
        <f aca="false">IF(K435="","",IF(L435=0,"",ROUND((J435-K435)/L435,2)))</f>
        <v/>
      </c>
      <c r="O435" s="19" t="str">
        <f aca="false">IF(J435="","",IF(MIN(F435,G435)&lt;=설정!$B$5,"예",""))</f>
        <v/>
      </c>
      <c r="P435" s="19" t="str">
        <f aca="false">IF(J435="","",IF(M435&lt;설정!$B$3,"baseline 수집 중",IF(N435="","정상",IF(N435&lt;=설정!$B$4,"낮음","정상"))))</f>
        <v/>
      </c>
      <c r="Q435" s="20"/>
      <c r="R435" s="18" t="str">
        <f aca="false">IF(J435="","",J435^2)</f>
        <v/>
      </c>
    </row>
    <row r="436" customFormat="false" ht="15" hidden="false" customHeight="false" outlineLevel="0" collapsed="false">
      <c r="A436" s="16"/>
      <c r="B436" s="17"/>
      <c r="C436" s="17"/>
      <c r="D436" s="17"/>
      <c r="E436" s="17"/>
      <c r="F436" s="17"/>
      <c r="G436" s="17"/>
      <c r="H436" s="17"/>
      <c r="I436" s="17"/>
      <c r="J436" s="18" t="str">
        <f aca="false">IF(COUNT(E436:I436)&lt;5,"",SUM(E436:I436))</f>
        <v/>
      </c>
      <c r="K436" s="18" t="str">
        <f aca="false">IF(J436="","",IF(M436&lt;설정!$B$3,"",ROUND(AVERAGEIFS($J$2:$J$1001,$B$2:$B$1001,B436,$A$2:$A$1001,"&lt;"&amp;A436,$A$2:$A$1001,"&gt;="&amp;(A436-설정!$B$2)),2)))</f>
        <v/>
      </c>
      <c r="L436" s="18" t="str">
        <f aca="false">IF(K436="","",ROUND(SQRT(MAX(0,(SUMIFS($R$2:$R$1001,$B$2:$B$1001,B436,$A$2:$A$1001,"&lt;"&amp;A436,$A$2:$A$1001,"&gt;="&amp;(A436-설정!$B$2))-M436*AVERAGEIFS($J$2:$J$1001,$B$2:$B$1001,B436,$A$2:$A$1001,"&lt;"&amp;A436,$A$2:$A$1001,"&gt;="&amp;(A436-설정!$B$2))^2)/(M436-1))),2))</f>
        <v/>
      </c>
      <c r="M436" s="18" t="str">
        <f aca="false">IF(J436="","",COUNTIFS($B$2:$B$1001,B436,$A$2:$A$1001,"&lt;"&amp;A436,$A$2:$A$1001,"&gt;="&amp;(A436-설정!$B$2),$J$2:$J$1001,"&gt;=0"))</f>
        <v/>
      </c>
      <c r="N436" s="18" t="str">
        <f aca="false">IF(K436="","",IF(L436=0,"",ROUND((J436-K436)/L436,2)))</f>
        <v/>
      </c>
      <c r="O436" s="19" t="str">
        <f aca="false">IF(J436="","",IF(MIN(F436,G436)&lt;=설정!$B$5,"예",""))</f>
        <v/>
      </c>
      <c r="P436" s="19" t="str">
        <f aca="false">IF(J436="","",IF(M436&lt;설정!$B$3,"baseline 수집 중",IF(N436="","정상",IF(N436&lt;=설정!$B$4,"낮음","정상"))))</f>
        <v/>
      </c>
      <c r="Q436" s="20"/>
      <c r="R436" s="18" t="str">
        <f aca="false">IF(J436="","",J436^2)</f>
        <v/>
      </c>
    </row>
    <row r="437" customFormat="false" ht="15" hidden="false" customHeight="false" outlineLevel="0" collapsed="false">
      <c r="A437" s="16"/>
      <c r="B437" s="17"/>
      <c r="C437" s="17"/>
      <c r="D437" s="17"/>
      <c r="E437" s="17"/>
      <c r="F437" s="17"/>
      <c r="G437" s="17"/>
      <c r="H437" s="17"/>
      <c r="I437" s="17"/>
      <c r="J437" s="18" t="str">
        <f aca="false">IF(COUNT(E437:I437)&lt;5,"",SUM(E437:I437))</f>
        <v/>
      </c>
      <c r="K437" s="18" t="str">
        <f aca="false">IF(J437="","",IF(M437&lt;설정!$B$3,"",ROUND(AVERAGEIFS($J$2:$J$1001,$B$2:$B$1001,B437,$A$2:$A$1001,"&lt;"&amp;A437,$A$2:$A$1001,"&gt;="&amp;(A437-설정!$B$2)),2)))</f>
        <v/>
      </c>
      <c r="L437" s="18" t="str">
        <f aca="false">IF(K437="","",ROUND(SQRT(MAX(0,(SUMIFS($R$2:$R$1001,$B$2:$B$1001,B437,$A$2:$A$1001,"&lt;"&amp;A437,$A$2:$A$1001,"&gt;="&amp;(A437-설정!$B$2))-M437*AVERAGEIFS($J$2:$J$1001,$B$2:$B$1001,B437,$A$2:$A$1001,"&lt;"&amp;A437,$A$2:$A$1001,"&gt;="&amp;(A437-설정!$B$2))^2)/(M437-1))),2))</f>
        <v/>
      </c>
      <c r="M437" s="18" t="str">
        <f aca="false">IF(J437="","",COUNTIFS($B$2:$B$1001,B437,$A$2:$A$1001,"&lt;"&amp;A437,$A$2:$A$1001,"&gt;="&amp;(A437-설정!$B$2),$J$2:$J$1001,"&gt;=0"))</f>
        <v/>
      </c>
      <c r="N437" s="18" t="str">
        <f aca="false">IF(K437="","",IF(L437=0,"",ROUND((J437-K437)/L437,2)))</f>
        <v/>
      </c>
      <c r="O437" s="19" t="str">
        <f aca="false">IF(J437="","",IF(MIN(F437,G437)&lt;=설정!$B$5,"예",""))</f>
        <v/>
      </c>
      <c r="P437" s="19" t="str">
        <f aca="false">IF(J437="","",IF(M437&lt;설정!$B$3,"baseline 수집 중",IF(N437="","정상",IF(N437&lt;=설정!$B$4,"낮음","정상"))))</f>
        <v/>
      </c>
      <c r="Q437" s="20"/>
      <c r="R437" s="18" t="str">
        <f aca="false">IF(J437="","",J437^2)</f>
        <v/>
      </c>
    </row>
    <row r="438" customFormat="false" ht="15" hidden="false" customHeight="false" outlineLevel="0" collapsed="false">
      <c r="A438" s="16"/>
      <c r="B438" s="17"/>
      <c r="C438" s="17"/>
      <c r="D438" s="17"/>
      <c r="E438" s="17"/>
      <c r="F438" s="17"/>
      <c r="G438" s="17"/>
      <c r="H438" s="17"/>
      <c r="I438" s="17"/>
      <c r="J438" s="18" t="str">
        <f aca="false">IF(COUNT(E438:I438)&lt;5,"",SUM(E438:I438))</f>
        <v/>
      </c>
      <c r="K438" s="18" t="str">
        <f aca="false">IF(J438="","",IF(M438&lt;설정!$B$3,"",ROUND(AVERAGEIFS($J$2:$J$1001,$B$2:$B$1001,B438,$A$2:$A$1001,"&lt;"&amp;A438,$A$2:$A$1001,"&gt;="&amp;(A438-설정!$B$2)),2)))</f>
        <v/>
      </c>
      <c r="L438" s="18" t="str">
        <f aca="false">IF(K438="","",ROUND(SQRT(MAX(0,(SUMIFS($R$2:$R$1001,$B$2:$B$1001,B438,$A$2:$A$1001,"&lt;"&amp;A438,$A$2:$A$1001,"&gt;="&amp;(A438-설정!$B$2))-M438*AVERAGEIFS($J$2:$J$1001,$B$2:$B$1001,B438,$A$2:$A$1001,"&lt;"&amp;A438,$A$2:$A$1001,"&gt;="&amp;(A438-설정!$B$2))^2)/(M438-1))),2))</f>
        <v/>
      </c>
      <c r="M438" s="18" t="str">
        <f aca="false">IF(J438="","",COUNTIFS($B$2:$B$1001,B438,$A$2:$A$1001,"&lt;"&amp;A438,$A$2:$A$1001,"&gt;="&amp;(A438-설정!$B$2),$J$2:$J$1001,"&gt;=0"))</f>
        <v/>
      </c>
      <c r="N438" s="18" t="str">
        <f aca="false">IF(K438="","",IF(L438=0,"",ROUND((J438-K438)/L438,2)))</f>
        <v/>
      </c>
      <c r="O438" s="19" t="str">
        <f aca="false">IF(J438="","",IF(MIN(F438,G438)&lt;=설정!$B$5,"예",""))</f>
        <v/>
      </c>
      <c r="P438" s="19" t="str">
        <f aca="false">IF(J438="","",IF(M438&lt;설정!$B$3,"baseline 수집 중",IF(N438="","정상",IF(N438&lt;=설정!$B$4,"낮음","정상"))))</f>
        <v/>
      </c>
      <c r="Q438" s="20"/>
      <c r="R438" s="18" t="str">
        <f aca="false">IF(J438="","",J438^2)</f>
        <v/>
      </c>
    </row>
    <row r="439" customFormat="false" ht="15" hidden="false" customHeight="false" outlineLevel="0" collapsed="false">
      <c r="A439" s="16"/>
      <c r="B439" s="17"/>
      <c r="C439" s="17"/>
      <c r="D439" s="17"/>
      <c r="E439" s="17"/>
      <c r="F439" s="17"/>
      <c r="G439" s="17"/>
      <c r="H439" s="17"/>
      <c r="I439" s="17"/>
      <c r="J439" s="18" t="str">
        <f aca="false">IF(COUNT(E439:I439)&lt;5,"",SUM(E439:I439))</f>
        <v/>
      </c>
      <c r="K439" s="18" t="str">
        <f aca="false">IF(J439="","",IF(M439&lt;설정!$B$3,"",ROUND(AVERAGEIFS($J$2:$J$1001,$B$2:$B$1001,B439,$A$2:$A$1001,"&lt;"&amp;A439,$A$2:$A$1001,"&gt;="&amp;(A439-설정!$B$2)),2)))</f>
        <v/>
      </c>
      <c r="L439" s="18" t="str">
        <f aca="false">IF(K439="","",ROUND(SQRT(MAX(0,(SUMIFS($R$2:$R$1001,$B$2:$B$1001,B439,$A$2:$A$1001,"&lt;"&amp;A439,$A$2:$A$1001,"&gt;="&amp;(A439-설정!$B$2))-M439*AVERAGEIFS($J$2:$J$1001,$B$2:$B$1001,B439,$A$2:$A$1001,"&lt;"&amp;A439,$A$2:$A$1001,"&gt;="&amp;(A439-설정!$B$2))^2)/(M439-1))),2))</f>
        <v/>
      </c>
      <c r="M439" s="18" t="str">
        <f aca="false">IF(J439="","",COUNTIFS($B$2:$B$1001,B439,$A$2:$A$1001,"&lt;"&amp;A439,$A$2:$A$1001,"&gt;="&amp;(A439-설정!$B$2),$J$2:$J$1001,"&gt;=0"))</f>
        <v/>
      </c>
      <c r="N439" s="18" t="str">
        <f aca="false">IF(K439="","",IF(L439=0,"",ROUND((J439-K439)/L439,2)))</f>
        <v/>
      </c>
      <c r="O439" s="19" t="str">
        <f aca="false">IF(J439="","",IF(MIN(F439,G439)&lt;=설정!$B$5,"예",""))</f>
        <v/>
      </c>
      <c r="P439" s="19" t="str">
        <f aca="false">IF(J439="","",IF(M439&lt;설정!$B$3,"baseline 수집 중",IF(N439="","정상",IF(N439&lt;=설정!$B$4,"낮음","정상"))))</f>
        <v/>
      </c>
      <c r="Q439" s="20"/>
      <c r="R439" s="18" t="str">
        <f aca="false">IF(J439="","",J439^2)</f>
        <v/>
      </c>
    </row>
    <row r="440" customFormat="false" ht="15" hidden="false" customHeight="false" outlineLevel="0" collapsed="false">
      <c r="A440" s="16"/>
      <c r="B440" s="17"/>
      <c r="C440" s="17"/>
      <c r="D440" s="17"/>
      <c r="E440" s="17"/>
      <c r="F440" s="17"/>
      <c r="G440" s="17"/>
      <c r="H440" s="17"/>
      <c r="I440" s="17"/>
      <c r="J440" s="18" t="str">
        <f aca="false">IF(COUNT(E440:I440)&lt;5,"",SUM(E440:I440))</f>
        <v/>
      </c>
      <c r="K440" s="18" t="str">
        <f aca="false">IF(J440="","",IF(M440&lt;설정!$B$3,"",ROUND(AVERAGEIFS($J$2:$J$1001,$B$2:$B$1001,B440,$A$2:$A$1001,"&lt;"&amp;A440,$A$2:$A$1001,"&gt;="&amp;(A440-설정!$B$2)),2)))</f>
        <v/>
      </c>
      <c r="L440" s="18" t="str">
        <f aca="false">IF(K440="","",ROUND(SQRT(MAX(0,(SUMIFS($R$2:$R$1001,$B$2:$B$1001,B440,$A$2:$A$1001,"&lt;"&amp;A440,$A$2:$A$1001,"&gt;="&amp;(A440-설정!$B$2))-M440*AVERAGEIFS($J$2:$J$1001,$B$2:$B$1001,B440,$A$2:$A$1001,"&lt;"&amp;A440,$A$2:$A$1001,"&gt;="&amp;(A440-설정!$B$2))^2)/(M440-1))),2))</f>
        <v/>
      </c>
      <c r="M440" s="18" t="str">
        <f aca="false">IF(J440="","",COUNTIFS($B$2:$B$1001,B440,$A$2:$A$1001,"&lt;"&amp;A440,$A$2:$A$1001,"&gt;="&amp;(A440-설정!$B$2),$J$2:$J$1001,"&gt;=0"))</f>
        <v/>
      </c>
      <c r="N440" s="18" t="str">
        <f aca="false">IF(K440="","",IF(L440=0,"",ROUND((J440-K440)/L440,2)))</f>
        <v/>
      </c>
      <c r="O440" s="19" t="str">
        <f aca="false">IF(J440="","",IF(MIN(F440,G440)&lt;=설정!$B$5,"예",""))</f>
        <v/>
      </c>
      <c r="P440" s="19" t="str">
        <f aca="false">IF(J440="","",IF(M440&lt;설정!$B$3,"baseline 수집 중",IF(N440="","정상",IF(N440&lt;=설정!$B$4,"낮음","정상"))))</f>
        <v/>
      </c>
      <c r="Q440" s="20"/>
      <c r="R440" s="18" t="str">
        <f aca="false">IF(J440="","",J440^2)</f>
        <v/>
      </c>
    </row>
    <row r="441" customFormat="false" ht="15" hidden="false" customHeight="false" outlineLevel="0" collapsed="false">
      <c r="A441" s="16"/>
      <c r="B441" s="17"/>
      <c r="C441" s="17"/>
      <c r="D441" s="17"/>
      <c r="E441" s="17"/>
      <c r="F441" s="17"/>
      <c r="G441" s="17"/>
      <c r="H441" s="17"/>
      <c r="I441" s="17"/>
      <c r="J441" s="18" t="str">
        <f aca="false">IF(COUNT(E441:I441)&lt;5,"",SUM(E441:I441))</f>
        <v/>
      </c>
      <c r="K441" s="18" t="str">
        <f aca="false">IF(J441="","",IF(M441&lt;설정!$B$3,"",ROUND(AVERAGEIFS($J$2:$J$1001,$B$2:$B$1001,B441,$A$2:$A$1001,"&lt;"&amp;A441,$A$2:$A$1001,"&gt;="&amp;(A441-설정!$B$2)),2)))</f>
        <v/>
      </c>
      <c r="L441" s="18" t="str">
        <f aca="false">IF(K441="","",ROUND(SQRT(MAX(0,(SUMIFS($R$2:$R$1001,$B$2:$B$1001,B441,$A$2:$A$1001,"&lt;"&amp;A441,$A$2:$A$1001,"&gt;="&amp;(A441-설정!$B$2))-M441*AVERAGEIFS($J$2:$J$1001,$B$2:$B$1001,B441,$A$2:$A$1001,"&lt;"&amp;A441,$A$2:$A$1001,"&gt;="&amp;(A441-설정!$B$2))^2)/(M441-1))),2))</f>
        <v/>
      </c>
      <c r="M441" s="18" t="str">
        <f aca="false">IF(J441="","",COUNTIFS($B$2:$B$1001,B441,$A$2:$A$1001,"&lt;"&amp;A441,$A$2:$A$1001,"&gt;="&amp;(A441-설정!$B$2),$J$2:$J$1001,"&gt;=0"))</f>
        <v/>
      </c>
      <c r="N441" s="18" t="str">
        <f aca="false">IF(K441="","",IF(L441=0,"",ROUND((J441-K441)/L441,2)))</f>
        <v/>
      </c>
      <c r="O441" s="19" t="str">
        <f aca="false">IF(J441="","",IF(MIN(F441,G441)&lt;=설정!$B$5,"예",""))</f>
        <v/>
      </c>
      <c r="P441" s="19" t="str">
        <f aca="false">IF(J441="","",IF(M441&lt;설정!$B$3,"baseline 수집 중",IF(N441="","정상",IF(N441&lt;=설정!$B$4,"낮음","정상"))))</f>
        <v/>
      </c>
      <c r="Q441" s="20"/>
      <c r="R441" s="18" t="str">
        <f aca="false">IF(J441="","",J441^2)</f>
        <v/>
      </c>
    </row>
    <row r="442" customFormat="false" ht="15" hidden="false" customHeight="false" outlineLevel="0" collapsed="false">
      <c r="A442" s="16"/>
      <c r="B442" s="17"/>
      <c r="C442" s="17"/>
      <c r="D442" s="17"/>
      <c r="E442" s="17"/>
      <c r="F442" s="17"/>
      <c r="G442" s="17"/>
      <c r="H442" s="17"/>
      <c r="I442" s="17"/>
      <c r="J442" s="18" t="str">
        <f aca="false">IF(COUNT(E442:I442)&lt;5,"",SUM(E442:I442))</f>
        <v/>
      </c>
      <c r="K442" s="18" t="str">
        <f aca="false">IF(J442="","",IF(M442&lt;설정!$B$3,"",ROUND(AVERAGEIFS($J$2:$J$1001,$B$2:$B$1001,B442,$A$2:$A$1001,"&lt;"&amp;A442,$A$2:$A$1001,"&gt;="&amp;(A442-설정!$B$2)),2)))</f>
        <v/>
      </c>
      <c r="L442" s="18" t="str">
        <f aca="false">IF(K442="","",ROUND(SQRT(MAX(0,(SUMIFS($R$2:$R$1001,$B$2:$B$1001,B442,$A$2:$A$1001,"&lt;"&amp;A442,$A$2:$A$1001,"&gt;="&amp;(A442-설정!$B$2))-M442*AVERAGEIFS($J$2:$J$1001,$B$2:$B$1001,B442,$A$2:$A$1001,"&lt;"&amp;A442,$A$2:$A$1001,"&gt;="&amp;(A442-설정!$B$2))^2)/(M442-1))),2))</f>
        <v/>
      </c>
      <c r="M442" s="18" t="str">
        <f aca="false">IF(J442="","",COUNTIFS($B$2:$B$1001,B442,$A$2:$A$1001,"&lt;"&amp;A442,$A$2:$A$1001,"&gt;="&amp;(A442-설정!$B$2),$J$2:$J$1001,"&gt;=0"))</f>
        <v/>
      </c>
      <c r="N442" s="18" t="str">
        <f aca="false">IF(K442="","",IF(L442=0,"",ROUND((J442-K442)/L442,2)))</f>
        <v/>
      </c>
      <c r="O442" s="19" t="str">
        <f aca="false">IF(J442="","",IF(MIN(F442,G442)&lt;=설정!$B$5,"예",""))</f>
        <v/>
      </c>
      <c r="P442" s="19" t="str">
        <f aca="false">IF(J442="","",IF(M442&lt;설정!$B$3,"baseline 수집 중",IF(N442="","정상",IF(N442&lt;=설정!$B$4,"낮음","정상"))))</f>
        <v/>
      </c>
      <c r="Q442" s="20"/>
      <c r="R442" s="18" t="str">
        <f aca="false">IF(J442="","",J442^2)</f>
        <v/>
      </c>
    </row>
    <row r="443" customFormat="false" ht="15" hidden="false" customHeight="false" outlineLevel="0" collapsed="false">
      <c r="A443" s="16"/>
      <c r="B443" s="17"/>
      <c r="C443" s="17"/>
      <c r="D443" s="17"/>
      <c r="E443" s="17"/>
      <c r="F443" s="17"/>
      <c r="G443" s="17"/>
      <c r="H443" s="17"/>
      <c r="I443" s="17"/>
      <c r="J443" s="18" t="str">
        <f aca="false">IF(COUNT(E443:I443)&lt;5,"",SUM(E443:I443))</f>
        <v/>
      </c>
      <c r="K443" s="18" t="str">
        <f aca="false">IF(J443="","",IF(M443&lt;설정!$B$3,"",ROUND(AVERAGEIFS($J$2:$J$1001,$B$2:$B$1001,B443,$A$2:$A$1001,"&lt;"&amp;A443,$A$2:$A$1001,"&gt;="&amp;(A443-설정!$B$2)),2)))</f>
        <v/>
      </c>
      <c r="L443" s="18" t="str">
        <f aca="false">IF(K443="","",ROUND(SQRT(MAX(0,(SUMIFS($R$2:$R$1001,$B$2:$B$1001,B443,$A$2:$A$1001,"&lt;"&amp;A443,$A$2:$A$1001,"&gt;="&amp;(A443-설정!$B$2))-M443*AVERAGEIFS($J$2:$J$1001,$B$2:$B$1001,B443,$A$2:$A$1001,"&lt;"&amp;A443,$A$2:$A$1001,"&gt;="&amp;(A443-설정!$B$2))^2)/(M443-1))),2))</f>
        <v/>
      </c>
      <c r="M443" s="18" t="str">
        <f aca="false">IF(J443="","",COUNTIFS($B$2:$B$1001,B443,$A$2:$A$1001,"&lt;"&amp;A443,$A$2:$A$1001,"&gt;="&amp;(A443-설정!$B$2),$J$2:$J$1001,"&gt;=0"))</f>
        <v/>
      </c>
      <c r="N443" s="18" t="str">
        <f aca="false">IF(K443="","",IF(L443=0,"",ROUND((J443-K443)/L443,2)))</f>
        <v/>
      </c>
      <c r="O443" s="19" t="str">
        <f aca="false">IF(J443="","",IF(MIN(F443,G443)&lt;=설정!$B$5,"예",""))</f>
        <v/>
      </c>
      <c r="P443" s="19" t="str">
        <f aca="false">IF(J443="","",IF(M443&lt;설정!$B$3,"baseline 수집 중",IF(N443="","정상",IF(N443&lt;=설정!$B$4,"낮음","정상"))))</f>
        <v/>
      </c>
      <c r="Q443" s="20"/>
      <c r="R443" s="18" t="str">
        <f aca="false">IF(J443="","",J443^2)</f>
        <v/>
      </c>
    </row>
    <row r="444" customFormat="false" ht="15" hidden="false" customHeight="false" outlineLevel="0" collapsed="false">
      <c r="A444" s="16"/>
      <c r="B444" s="17"/>
      <c r="C444" s="17"/>
      <c r="D444" s="17"/>
      <c r="E444" s="17"/>
      <c r="F444" s="17"/>
      <c r="G444" s="17"/>
      <c r="H444" s="17"/>
      <c r="I444" s="17"/>
      <c r="J444" s="18" t="str">
        <f aca="false">IF(COUNT(E444:I444)&lt;5,"",SUM(E444:I444))</f>
        <v/>
      </c>
      <c r="K444" s="18" t="str">
        <f aca="false">IF(J444="","",IF(M444&lt;설정!$B$3,"",ROUND(AVERAGEIFS($J$2:$J$1001,$B$2:$B$1001,B444,$A$2:$A$1001,"&lt;"&amp;A444,$A$2:$A$1001,"&gt;="&amp;(A444-설정!$B$2)),2)))</f>
        <v/>
      </c>
      <c r="L444" s="18" t="str">
        <f aca="false">IF(K444="","",ROUND(SQRT(MAX(0,(SUMIFS($R$2:$R$1001,$B$2:$B$1001,B444,$A$2:$A$1001,"&lt;"&amp;A444,$A$2:$A$1001,"&gt;="&amp;(A444-설정!$B$2))-M444*AVERAGEIFS($J$2:$J$1001,$B$2:$B$1001,B444,$A$2:$A$1001,"&lt;"&amp;A444,$A$2:$A$1001,"&gt;="&amp;(A444-설정!$B$2))^2)/(M444-1))),2))</f>
        <v/>
      </c>
      <c r="M444" s="18" t="str">
        <f aca="false">IF(J444="","",COUNTIFS($B$2:$B$1001,B444,$A$2:$A$1001,"&lt;"&amp;A444,$A$2:$A$1001,"&gt;="&amp;(A444-설정!$B$2),$J$2:$J$1001,"&gt;=0"))</f>
        <v/>
      </c>
      <c r="N444" s="18" t="str">
        <f aca="false">IF(K444="","",IF(L444=0,"",ROUND((J444-K444)/L444,2)))</f>
        <v/>
      </c>
      <c r="O444" s="19" t="str">
        <f aca="false">IF(J444="","",IF(MIN(F444,G444)&lt;=설정!$B$5,"예",""))</f>
        <v/>
      </c>
      <c r="P444" s="19" t="str">
        <f aca="false">IF(J444="","",IF(M444&lt;설정!$B$3,"baseline 수집 중",IF(N444="","정상",IF(N444&lt;=설정!$B$4,"낮음","정상"))))</f>
        <v/>
      </c>
      <c r="Q444" s="20"/>
      <c r="R444" s="18" t="str">
        <f aca="false">IF(J444="","",J444^2)</f>
        <v/>
      </c>
    </row>
    <row r="445" customFormat="false" ht="15" hidden="false" customHeight="false" outlineLevel="0" collapsed="false">
      <c r="A445" s="16"/>
      <c r="B445" s="17"/>
      <c r="C445" s="17"/>
      <c r="D445" s="17"/>
      <c r="E445" s="17"/>
      <c r="F445" s="17"/>
      <c r="G445" s="17"/>
      <c r="H445" s="17"/>
      <c r="I445" s="17"/>
      <c r="J445" s="18" t="str">
        <f aca="false">IF(COUNT(E445:I445)&lt;5,"",SUM(E445:I445))</f>
        <v/>
      </c>
      <c r="K445" s="18" t="str">
        <f aca="false">IF(J445="","",IF(M445&lt;설정!$B$3,"",ROUND(AVERAGEIFS($J$2:$J$1001,$B$2:$B$1001,B445,$A$2:$A$1001,"&lt;"&amp;A445,$A$2:$A$1001,"&gt;="&amp;(A445-설정!$B$2)),2)))</f>
        <v/>
      </c>
      <c r="L445" s="18" t="str">
        <f aca="false">IF(K445="","",ROUND(SQRT(MAX(0,(SUMIFS($R$2:$R$1001,$B$2:$B$1001,B445,$A$2:$A$1001,"&lt;"&amp;A445,$A$2:$A$1001,"&gt;="&amp;(A445-설정!$B$2))-M445*AVERAGEIFS($J$2:$J$1001,$B$2:$B$1001,B445,$A$2:$A$1001,"&lt;"&amp;A445,$A$2:$A$1001,"&gt;="&amp;(A445-설정!$B$2))^2)/(M445-1))),2))</f>
        <v/>
      </c>
      <c r="M445" s="18" t="str">
        <f aca="false">IF(J445="","",COUNTIFS($B$2:$B$1001,B445,$A$2:$A$1001,"&lt;"&amp;A445,$A$2:$A$1001,"&gt;="&amp;(A445-설정!$B$2),$J$2:$J$1001,"&gt;=0"))</f>
        <v/>
      </c>
      <c r="N445" s="18" t="str">
        <f aca="false">IF(K445="","",IF(L445=0,"",ROUND((J445-K445)/L445,2)))</f>
        <v/>
      </c>
      <c r="O445" s="19" t="str">
        <f aca="false">IF(J445="","",IF(MIN(F445,G445)&lt;=설정!$B$5,"예",""))</f>
        <v/>
      </c>
      <c r="P445" s="19" t="str">
        <f aca="false">IF(J445="","",IF(M445&lt;설정!$B$3,"baseline 수집 중",IF(N445="","정상",IF(N445&lt;=설정!$B$4,"낮음","정상"))))</f>
        <v/>
      </c>
      <c r="Q445" s="20"/>
      <c r="R445" s="18" t="str">
        <f aca="false">IF(J445="","",J445^2)</f>
        <v/>
      </c>
    </row>
    <row r="446" customFormat="false" ht="15" hidden="false" customHeight="false" outlineLevel="0" collapsed="false">
      <c r="A446" s="16"/>
      <c r="B446" s="17"/>
      <c r="C446" s="17"/>
      <c r="D446" s="17"/>
      <c r="E446" s="17"/>
      <c r="F446" s="17"/>
      <c r="G446" s="17"/>
      <c r="H446" s="17"/>
      <c r="I446" s="17"/>
      <c r="J446" s="18" t="str">
        <f aca="false">IF(COUNT(E446:I446)&lt;5,"",SUM(E446:I446))</f>
        <v/>
      </c>
      <c r="K446" s="18" t="str">
        <f aca="false">IF(J446="","",IF(M446&lt;설정!$B$3,"",ROUND(AVERAGEIFS($J$2:$J$1001,$B$2:$B$1001,B446,$A$2:$A$1001,"&lt;"&amp;A446,$A$2:$A$1001,"&gt;="&amp;(A446-설정!$B$2)),2)))</f>
        <v/>
      </c>
      <c r="L446" s="18" t="str">
        <f aca="false">IF(K446="","",ROUND(SQRT(MAX(0,(SUMIFS($R$2:$R$1001,$B$2:$B$1001,B446,$A$2:$A$1001,"&lt;"&amp;A446,$A$2:$A$1001,"&gt;="&amp;(A446-설정!$B$2))-M446*AVERAGEIFS($J$2:$J$1001,$B$2:$B$1001,B446,$A$2:$A$1001,"&lt;"&amp;A446,$A$2:$A$1001,"&gt;="&amp;(A446-설정!$B$2))^2)/(M446-1))),2))</f>
        <v/>
      </c>
      <c r="M446" s="18" t="str">
        <f aca="false">IF(J446="","",COUNTIFS($B$2:$B$1001,B446,$A$2:$A$1001,"&lt;"&amp;A446,$A$2:$A$1001,"&gt;="&amp;(A446-설정!$B$2),$J$2:$J$1001,"&gt;=0"))</f>
        <v/>
      </c>
      <c r="N446" s="18" t="str">
        <f aca="false">IF(K446="","",IF(L446=0,"",ROUND((J446-K446)/L446,2)))</f>
        <v/>
      </c>
      <c r="O446" s="19" t="str">
        <f aca="false">IF(J446="","",IF(MIN(F446,G446)&lt;=설정!$B$5,"예",""))</f>
        <v/>
      </c>
      <c r="P446" s="19" t="str">
        <f aca="false">IF(J446="","",IF(M446&lt;설정!$B$3,"baseline 수집 중",IF(N446="","정상",IF(N446&lt;=설정!$B$4,"낮음","정상"))))</f>
        <v/>
      </c>
      <c r="Q446" s="20"/>
      <c r="R446" s="18" t="str">
        <f aca="false">IF(J446="","",J446^2)</f>
        <v/>
      </c>
    </row>
    <row r="447" customFormat="false" ht="15" hidden="false" customHeight="false" outlineLevel="0" collapsed="false">
      <c r="A447" s="16"/>
      <c r="B447" s="17"/>
      <c r="C447" s="17"/>
      <c r="D447" s="17"/>
      <c r="E447" s="17"/>
      <c r="F447" s="17"/>
      <c r="G447" s="17"/>
      <c r="H447" s="17"/>
      <c r="I447" s="17"/>
      <c r="J447" s="18" t="str">
        <f aca="false">IF(COUNT(E447:I447)&lt;5,"",SUM(E447:I447))</f>
        <v/>
      </c>
      <c r="K447" s="18" t="str">
        <f aca="false">IF(J447="","",IF(M447&lt;설정!$B$3,"",ROUND(AVERAGEIFS($J$2:$J$1001,$B$2:$B$1001,B447,$A$2:$A$1001,"&lt;"&amp;A447,$A$2:$A$1001,"&gt;="&amp;(A447-설정!$B$2)),2)))</f>
        <v/>
      </c>
      <c r="L447" s="18" t="str">
        <f aca="false">IF(K447="","",ROUND(SQRT(MAX(0,(SUMIFS($R$2:$R$1001,$B$2:$B$1001,B447,$A$2:$A$1001,"&lt;"&amp;A447,$A$2:$A$1001,"&gt;="&amp;(A447-설정!$B$2))-M447*AVERAGEIFS($J$2:$J$1001,$B$2:$B$1001,B447,$A$2:$A$1001,"&lt;"&amp;A447,$A$2:$A$1001,"&gt;="&amp;(A447-설정!$B$2))^2)/(M447-1))),2))</f>
        <v/>
      </c>
      <c r="M447" s="18" t="str">
        <f aca="false">IF(J447="","",COUNTIFS($B$2:$B$1001,B447,$A$2:$A$1001,"&lt;"&amp;A447,$A$2:$A$1001,"&gt;="&amp;(A447-설정!$B$2),$J$2:$J$1001,"&gt;=0"))</f>
        <v/>
      </c>
      <c r="N447" s="18" t="str">
        <f aca="false">IF(K447="","",IF(L447=0,"",ROUND((J447-K447)/L447,2)))</f>
        <v/>
      </c>
      <c r="O447" s="19" t="str">
        <f aca="false">IF(J447="","",IF(MIN(F447,G447)&lt;=설정!$B$5,"예",""))</f>
        <v/>
      </c>
      <c r="P447" s="19" t="str">
        <f aca="false">IF(J447="","",IF(M447&lt;설정!$B$3,"baseline 수집 중",IF(N447="","정상",IF(N447&lt;=설정!$B$4,"낮음","정상"))))</f>
        <v/>
      </c>
      <c r="Q447" s="20"/>
      <c r="R447" s="18" t="str">
        <f aca="false">IF(J447="","",J447^2)</f>
        <v/>
      </c>
    </row>
    <row r="448" customFormat="false" ht="15" hidden="false" customHeight="false" outlineLevel="0" collapsed="false">
      <c r="A448" s="16"/>
      <c r="B448" s="17"/>
      <c r="C448" s="17"/>
      <c r="D448" s="17"/>
      <c r="E448" s="17"/>
      <c r="F448" s="17"/>
      <c r="G448" s="17"/>
      <c r="H448" s="17"/>
      <c r="I448" s="17"/>
      <c r="J448" s="18" t="str">
        <f aca="false">IF(COUNT(E448:I448)&lt;5,"",SUM(E448:I448))</f>
        <v/>
      </c>
      <c r="K448" s="18" t="str">
        <f aca="false">IF(J448="","",IF(M448&lt;설정!$B$3,"",ROUND(AVERAGEIFS($J$2:$J$1001,$B$2:$B$1001,B448,$A$2:$A$1001,"&lt;"&amp;A448,$A$2:$A$1001,"&gt;="&amp;(A448-설정!$B$2)),2)))</f>
        <v/>
      </c>
      <c r="L448" s="18" t="str">
        <f aca="false">IF(K448="","",ROUND(SQRT(MAX(0,(SUMIFS($R$2:$R$1001,$B$2:$B$1001,B448,$A$2:$A$1001,"&lt;"&amp;A448,$A$2:$A$1001,"&gt;="&amp;(A448-설정!$B$2))-M448*AVERAGEIFS($J$2:$J$1001,$B$2:$B$1001,B448,$A$2:$A$1001,"&lt;"&amp;A448,$A$2:$A$1001,"&gt;="&amp;(A448-설정!$B$2))^2)/(M448-1))),2))</f>
        <v/>
      </c>
      <c r="M448" s="18" t="str">
        <f aca="false">IF(J448="","",COUNTIFS($B$2:$B$1001,B448,$A$2:$A$1001,"&lt;"&amp;A448,$A$2:$A$1001,"&gt;="&amp;(A448-설정!$B$2),$J$2:$J$1001,"&gt;=0"))</f>
        <v/>
      </c>
      <c r="N448" s="18" t="str">
        <f aca="false">IF(K448="","",IF(L448=0,"",ROUND((J448-K448)/L448,2)))</f>
        <v/>
      </c>
      <c r="O448" s="19" t="str">
        <f aca="false">IF(J448="","",IF(MIN(F448,G448)&lt;=설정!$B$5,"예",""))</f>
        <v/>
      </c>
      <c r="P448" s="19" t="str">
        <f aca="false">IF(J448="","",IF(M448&lt;설정!$B$3,"baseline 수집 중",IF(N448="","정상",IF(N448&lt;=설정!$B$4,"낮음","정상"))))</f>
        <v/>
      </c>
      <c r="Q448" s="20"/>
      <c r="R448" s="18" t="str">
        <f aca="false">IF(J448="","",J448^2)</f>
        <v/>
      </c>
    </row>
    <row r="449" customFormat="false" ht="15" hidden="false" customHeight="false" outlineLevel="0" collapsed="false">
      <c r="A449" s="16"/>
      <c r="B449" s="17"/>
      <c r="C449" s="17"/>
      <c r="D449" s="17"/>
      <c r="E449" s="17"/>
      <c r="F449" s="17"/>
      <c r="G449" s="17"/>
      <c r="H449" s="17"/>
      <c r="I449" s="17"/>
      <c r="J449" s="18" t="str">
        <f aca="false">IF(COUNT(E449:I449)&lt;5,"",SUM(E449:I449))</f>
        <v/>
      </c>
      <c r="K449" s="18" t="str">
        <f aca="false">IF(J449="","",IF(M449&lt;설정!$B$3,"",ROUND(AVERAGEIFS($J$2:$J$1001,$B$2:$B$1001,B449,$A$2:$A$1001,"&lt;"&amp;A449,$A$2:$A$1001,"&gt;="&amp;(A449-설정!$B$2)),2)))</f>
        <v/>
      </c>
      <c r="L449" s="18" t="str">
        <f aca="false">IF(K449="","",ROUND(SQRT(MAX(0,(SUMIFS($R$2:$R$1001,$B$2:$B$1001,B449,$A$2:$A$1001,"&lt;"&amp;A449,$A$2:$A$1001,"&gt;="&amp;(A449-설정!$B$2))-M449*AVERAGEIFS($J$2:$J$1001,$B$2:$B$1001,B449,$A$2:$A$1001,"&lt;"&amp;A449,$A$2:$A$1001,"&gt;="&amp;(A449-설정!$B$2))^2)/(M449-1))),2))</f>
        <v/>
      </c>
      <c r="M449" s="18" t="str">
        <f aca="false">IF(J449="","",COUNTIFS($B$2:$B$1001,B449,$A$2:$A$1001,"&lt;"&amp;A449,$A$2:$A$1001,"&gt;="&amp;(A449-설정!$B$2),$J$2:$J$1001,"&gt;=0"))</f>
        <v/>
      </c>
      <c r="N449" s="18" t="str">
        <f aca="false">IF(K449="","",IF(L449=0,"",ROUND((J449-K449)/L449,2)))</f>
        <v/>
      </c>
      <c r="O449" s="19" t="str">
        <f aca="false">IF(J449="","",IF(MIN(F449,G449)&lt;=설정!$B$5,"예",""))</f>
        <v/>
      </c>
      <c r="P449" s="19" t="str">
        <f aca="false">IF(J449="","",IF(M449&lt;설정!$B$3,"baseline 수집 중",IF(N449="","정상",IF(N449&lt;=설정!$B$4,"낮음","정상"))))</f>
        <v/>
      </c>
      <c r="Q449" s="20"/>
      <c r="R449" s="18" t="str">
        <f aca="false">IF(J449="","",J449^2)</f>
        <v/>
      </c>
    </row>
    <row r="450" customFormat="false" ht="15" hidden="false" customHeight="false" outlineLevel="0" collapsed="false">
      <c r="A450" s="16"/>
      <c r="B450" s="17"/>
      <c r="C450" s="17"/>
      <c r="D450" s="17"/>
      <c r="E450" s="17"/>
      <c r="F450" s="17"/>
      <c r="G450" s="17"/>
      <c r="H450" s="17"/>
      <c r="I450" s="17"/>
      <c r="J450" s="18" t="str">
        <f aca="false">IF(COUNT(E450:I450)&lt;5,"",SUM(E450:I450))</f>
        <v/>
      </c>
      <c r="K450" s="18" t="str">
        <f aca="false">IF(J450="","",IF(M450&lt;설정!$B$3,"",ROUND(AVERAGEIFS($J$2:$J$1001,$B$2:$B$1001,B450,$A$2:$A$1001,"&lt;"&amp;A450,$A$2:$A$1001,"&gt;="&amp;(A450-설정!$B$2)),2)))</f>
        <v/>
      </c>
      <c r="L450" s="18" t="str">
        <f aca="false">IF(K450="","",ROUND(SQRT(MAX(0,(SUMIFS($R$2:$R$1001,$B$2:$B$1001,B450,$A$2:$A$1001,"&lt;"&amp;A450,$A$2:$A$1001,"&gt;="&amp;(A450-설정!$B$2))-M450*AVERAGEIFS($J$2:$J$1001,$B$2:$B$1001,B450,$A$2:$A$1001,"&lt;"&amp;A450,$A$2:$A$1001,"&gt;="&amp;(A450-설정!$B$2))^2)/(M450-1))),2))</f>
        <v/>
      </c>
      <c r="M450" s="18" t="str">
        <f aca="false">IF(J450="","",COUNTIFS($B$2:$B$1001,B450,$A$2:$A$1001,"&lt;"&amp;A450,$A$2:$A$1001,"&gt;="&amp;(A450-설정!$B$2),$J$2:$J$1001,"&gt;=0"))</f>
        <v/>
      </c>
      <c r="N450" s="18" t="str">
        <f aca="false">IF(K450="","",IF(L450=0,"",ROUND((J450-K450)/L450,2)))</f>
        <v/>
      </c>
      <c r="O450" s="19" t="str">
        <f aca="false">IF(J450="","",IF(MIN(F450,G450)&lt;=설정!$B$5,"예",""))</f>
        <v/>
      </c>
      <c r="P450" s="19" t="str">
        <f aca="false">IF(J450="","",IF(M450&lt;설정!$B$3,"baseline 수집 중",IF(N450="","정상",IF(N450&lt;=설정!$B$4,"낮음","정상"))))</f>
        <v/>
      </c>
      <c r="Q450" s="20"/>
      <c r="R450" s="18" t="str">
        <f aca="false">IF(J450="","",J450^2)</f>
        <v/>
      </c>
    </row>
    <row r="451" customFormat="false" ht="15" hidden="false" customHeight="false" outlineLevel="0" collapsed="false">
      <c r="A451" s="16"/>
      <c r="B451" s="17"/>
      <c r="C451" s="17"/>
      <c r="D451" s="17"/>
      <c r="E451" s="17"/>
      <c r="F451" s="17"/>
      <c r="G451" s="17"/>
      <c r="H451" s="17"/>
      <c r="I451" s="17"/>
      <c r="J451" s="18" t="str">
        <f aca="false">IF(COUNT(E451:I451)&lt;5,"",SUM(E451:I451))</f>
        <v/>
      </c>
      <c r="K451" s="18" t="str">
        <f aca="false">IF(J451="","",IF(M451&lt;설정!$B$3,"",ROUND(AVERAGEIFS($J$2:$J$1001,$B$2:$B$1001,B451,$A$2:$A$1001,"&lt;"&amp;A451,$A$2:$A$1001,"&gt;="&amp;(A451-설정!$B$2)),2)))</f>
        <v/>
      </c>
      <c r="L451" s="18" t="str">
        <f aca="false">IF(K451="","",ROUND(SQRT(MAX(0,(SUMIFS($R$2:$R$1001,$B$2:$B$1001,B451,$A$2:$A$1001,"&lt;"&amp;A451,$A$2:$A$1001,"&gt;="&amp;(A451-설정!$B$2))-M451*AVERAGEIFS($J$2:$J$1001,$B$2:$B$1001,B451,$A$2:$A$1001,"&lt;"&amp;A451,$A$2:$A$1001,"&gt;="&amp;(A451-설정!$B$2))^2)/(M451-1))),2))</f>
        <v/>
      </c>
      <c r="M451" s="18" t="str">
        <f aca="false">IF(J451="","",COUNTIFS($B$2:$B$1001,B451,$A$2:$A$1001,"&lt;"&amp;A451,$A$2:$A$1001,"&gt;="&amp;(A451-설정!$B$2),$J$2:$J$1001,"&gt;=0"))</f>
        <v/>
      </c>
      <c r="N451" s="18" t="str">
        <f aca="false">IF(K451="","",IF(L451=0,"",ROUND((J451-K451)/L451,2)))</f>
        <v/>
      </c>
      <c r="O451" s="19" t="str">
        <f aca="false">IF(J451="","",IF(MIN(F451,G451)&lt;=설정!$B$5,"예",""))</f>
        <v/>
      </c>
      <c r="P451" s="19" t="str">
        <f aca="false">IF(J451="","",IF(M451&lt;설정!$B$3,"baseline 수집 중",IF(N451="","정상",IF(N451&lt;=설정!$B$4,"낮음","정상"))))</f>
        <v/>
      </c>
      <c r="Q451" s="20"/>
      <c r="R451" s="18" t="str">
        <f aca="false">IF(J451="","",J451^2)</f>
        <v/>
      </c>
    </row>
    <row r="452" customFormat="false" ht="15" hidden="false" customHeight="false" outlineLevel="0" collapsed="false">
      <c r="A452" s="16"/>
      <c r="B452" s="17"/>
      <c r="C452" s="17"/>
      <c r="D452" s="17"/>
      <c r="E452" s="17"/>
      <c r="F452" s="17"/>
      <c r="G452" s="17"/>
      <c r="H452" s="17"/>
      <c r="I452" s="17"/>
      <c r="J452" s="18" t="str">
        <f aca="false">IF(COUNT(E452:I452)&lt;5,"",SUM(E452:I452))</f>
        <v/>
      </c>
      <c r="K452" s="18" t="str">
        <f aca="false">IF(J452="","",IF(M452&lt;설정!$B$3,"",ROUND(AVERAGEIFS($J$2:$J$1001,$B$2:$B$1001,B452,$A$2:$A$1001,"&lt;"&amp;A452,$A$2:$A$1001,"&gt;="&amp;(A452-설정!$B$2)),2)))</f>
        <v/>
      </c>
      <c r="L452" s="18" t="str">
        <f aca="false">IF(K452="","",ROUND(SQRT(MAX(0,(SUMIFS($R$2:$R$1001,$B$2:$B$1001,B452,$A$2:$A$1001,"&lt;"&amp;A452,$A$2:$A$1001,"&gt;="&amp;(A452-설정!$B$2))-M452*AVERAGEIFS($J$2:$J$1001,$B$2:$B$1001,B452,$A$2:$A$1001,"&lt;"&amp;A452,$A$2:$A$1001,"&gt;="&amp;(A452-설정!$B$2))^2)/(M452-1))),2))</f>
        <v/>
      </c>
      <c r="M452" s="18" t="str">
        <f aca="false">IF(J452="","",COUNTIFS($B$2:$B$1001,B452,$A$2:$A$1001,"&lt;"&amp;A452,$A$2:$A$1001,"&gt;="&amp;(A452-설정!$B$2),$J$2:$J$1001,"&gt;=0"))</f>
        <v/>
      </c>
      <c r="N452" s="18" t="str">
        <f aca="false">IF(K452="","",IF(L452=0,"",ROUND((J452-K452)/L452,2)))</f>
        <v/>
      </c>
      <c r="O452" s="19" t="str">
        <f aca="false">IF(J452="","",IF(MIN(F452,G452)&lt;=설정!$B$5,"예",""))</f>
        <v/>
      </c>
      <c r="P452" s="19" t="str">
        <f aca="false">IF(J452="","",IF(M452&lt;설정!$B$3,"baseline 수집 중",IF(N452="","정상",IF(N452&lt;=설정!$B$4,"낮음","정상"))))</f>
        <v/>
      </c>
      <c r="Q452" s="20"/>
      <c r="R452" s="18" t="str">
        <f aca="false">IF(J452="","",J452^2)</f>
        <v/>
      </c>
    </row>
    <row r="453" customFormat="false" ht="15" hidden="false" customHeight="false" outlineLevel="0" collapsed="false">
      <c r="A453" s="16"/>
      <c r="B453" s="17"/>
      <c r="C453" s="17"/>
      <c r="D453" s="17"/>
      <c r="E453" s="17"/>
      <c r="F453" s="17"/>
      <c r="G453" s="17"/>
      <c r="H453" s="17"/>
      <c r="I453" s="17"/>
      <c r="J453" s="18" t="str">
        <f aca="false">IF(COUNT(E453:I453)&lt;5,"",SUM(E453:I453))</f>
        <v/>
      </c>
      <c r="K453" s="18" t="str">
        <f aca="false">IF(J453="","",IF(M453&lt;설정!$B$3,"",ROUND(AVERAGEIFS($J$2:$J$1001,$B$2:$B$1001,B453,$A$2:$A$1001,"&lt;"&amp;A453,$A$2:$A$1001,"&gt;="&amp;(A453-설정!$B$2)),2)))</f>
        <v/>
      </c>
      <c r="L453" s="18" t="str">
        <f aca="false">IF(K453="","",ROUND(SQRT(MAX(0,(SUMIFS($R$2:$R$1001,$B$2:$B$1001,B453,$A$2:$A$1001,"&lt;"&amp;A453,$A$2:$A$1001,"&gt;="&amp;(A453-설정!$B$2))-M453*AVERAGEIFS($J$2:$J$1001,$B$2:$B$1001,B453,$A$2:$A$1001,"&lt;"&amp;A453,$A$2:$A$1001,"&gt;="&amp;(A453-설정!$B$2))^2)/(M453-1))),2))</f>
        <v/>
      </c>
      <c r="M453" s="18" t="str">
        <f aca="false">IF(J453="","",COUNTIFS($B$2:$B$1001,B453,$A$2:$A$1001,"&lt;"&amp;A453,$A$2:$A$1001,"&gt;="&amp;(A453-설정!$B$2),$J$2:$J$1001,"&gt;=0"))</f>
        <v/>
      </c>
      <c r="N453" s="18" t="str">
        <f aca="false">IF(K453="","",IF(L453=0,"",ROUND((J453-K453)/L453,2)))</f>
        <v/>
      </c>
      <c r="O453" s="19" t="str">
        <f aca="false">IF(J453="","",IF(MIN(F453,G453)&lt;=설정!$B$5,"예",""))</f>
        <v/>
      </c>
      <c r="P453" s="19" t="str">
        <f aca="false">IF(J453="","",IF(M453&lt;설정!$B$3,"baseline 수집 중",IF(N453="","정상",IF(N453&lt;=설정!$B$4,"낮음","정상"))))</f>
        <v/>
      </c>
      <c r="Q453" s="20"/>
      <c r="R453" s="18" t="str">
        <f aca="false">IF(J453="","",J453^2)</f>
        <v/>
      </c>
    </row>
    <row r="454" customFormat="false" ht="15" hidden="false" customHeight="false" outlineLevel="0" collapsed="false">
      <c r="A454" s="16"/>
      <c r="B454" s="17"/>
      <c r="C454" s="17"/>
      <c r="D454" s="17"/>
      <c r="E454" s="17"/>
      <c r="F454" s="17"/>
      <c r="G454" s="17"/>
      <c r="H454" s="17"/>
      <c r="I454" s="17"/>
      <c r="J454" s="18" t="str">
        <f aca="false">IF(COUNT(E454:I454)&lt;5,"",SUM(E454:I454))</f>
        <v/>
      </c>
      <c r="K454" s="18" t="str">
        <f aca="false">IF(J454="","",IF(M454&lt;설정!$B$3,"",ROUND(AVERAGEIFS($J$2:$J$1001,$B$2:$B$1001,B454,$A$2:$A$1001,"&lt;"&amp;A454,$A$2:$A$1001,"&gt;="&amp;(A454-설정!$B$2)),2)))</f>
        <v/>
      </c>
      <c r="L454" s="18" t="str">
        <f aca="false">IF(K454="","",ROUND(SQRT(MAX(0,(SUMIFS($R$2:$R$1001,$B$2:$B$1001,B454,$A$2:$A$1001,"&lt;"&amp;A454,$A$2:$A$1001,"&gt;="&amp;(A454-설정!$B$2))-M454*AVERAGEIFS($J$2:$J$1001,$B$2:$B$1001,B454,$A$2:$A$1001,"&lt;"&amp;A454,$A$2:$A$1001,"&gt;="&amp;(A454-설정!$B$2))^2)/(M454-1))),2))</f>
        <v/>
      </c>
      <c r="M454" s="18" t="str">
        <f aca="false">IF(J454="","",COUNTIFS($B$2:$B$1001,B454,$A$2:$A$1001,"&lt;"&amp;A454,$A$2:$A$1001,"&gt;="&amp;(A454-설정!$B$2),$J$2:$J$1001,"&gt;=0"))</f>
        <v/>
      </c>
      <c r="N454" s="18" t="str">
        <f aca="false">IF(K454="","",IF(L454=0,"",ROUND((J454-K454)/L454,2)))</f>
        <v/>
      </c>
      <c r="O454" s="19" t="str">
        <f aca="false">IF(J454="","",IF(MIN(F454,G454)&lt;=설정!$B$5,"예",""))</f>
        <v/>
      </c>
      <c r="P454" s="19" t="str">
        <f aca="false">IF(J454="","",IF(M454&lt;설정!$B$3,"baseline 수집 중",IF(N454="","정상",IF(N454&lt;=설정!$B$4,"낮음","정상"))))</f>
        <v/>
      </c>
      <c r="Q454" s="20"/>
      <c r="R454" s="18" t="str">
        <f aca="false">IF(J454="","",J454^2)</f>
        <v/>
      </c>
    </row>
    <row r="455" customFormat="false" ht="15" hidden="false" customHeight="false" outlineLevel="0" collapsed="false">
      <c r="A455" s="16"/>
      <c r="B455" s="17"/>
      <c r="C455" s="17"/>
      <c r="D455" s="17"/>
      <c r="E455" s="17"/>
      <c r="F455" s="17"/>
      <c r="G455" s="17"/>
      <c r="H455" s="17"/>
      <c r="I455" s="17"/>
      <c r="J455" s="18" t="str">
        <f aca="false">IF(COUNT(E455:I455)&lt;5,"",SUM(E455:I455))</f>
        <v/>
      </c>
      <c r="K455" s="18" t="str">
        <f aca="false">IF(J455="","",IF(M455&lt;설정!$B$3,"",ROUND(AVERAGEIFS($J$2:$J$1001,$B$2:$B$1001,B455,$A$2:$A$1001,"&lt;"&amp;A455,$A$2:$A$1001,"&gt;="&amp;(A455-설정!$B$2)),2)))</f>
        <v/>
      </c>
      <c r="L455" s="18" t="str">
        <f aca="false">IF(K455="","",ROUND(SQRT(MAX(0,(SUMIFS($R$2:$R$1001,$B$2:$B$1001,B455,$A$2:$A$1001,"&lt;"&amp;A455,$A$2:$A$1001,"&gt;="&amp;(A455-설정!$B$2))-M455*AVERAGEIFS($J$2:$J$1001,$B$2:$B$1001,B455,$A$2:$A$1001,"&lt;"&amp;A455,$A$2:$A$1001,"&gt;="&amp;(A455-설정!$B$2))^2)/(M455-1))),2))</f>
        <v/>
      </c>
      <c r="M455" s="18" t="str">
        <f aca="false">IF(J455="","",COUNTIFS($B$2:$B$1001,B455,$A$2:$A$1001,"&lt;"&amp;A455,$A$2:$A$1001,"&gt;="&amp;(A455-설정!$B$2),$J$2:$J$1001,"&gt;=0"))</f>
        <v/>
      </c>
      <c r="N455" s="18" t="str">
        <f aca="false">IF(K455="","",IF(L455=0,"",ROUND((J455-K455)/L455,2)))</f>
        <v/>
      </c>
      <c r="O455" s="19" t="str">
        <f aca="false">IF(J455="","",IF(MIN(F455,G455)&lt;=설정!$B$5,"예",""))</f>
        <v/>
      </c>
      <c r="P455" s="19" t="str">
        <f aca="false">IF(J455="","",IF(M455&lt;설정!$B$3,"baseline 수집 중",IF(N455="","정상",IF(N455&lt;=설정!$B$4,"낮음","정상"))))</f>
        <v/>
      </c>
      <c r="Q455" s="20"/>
      <c r="R455" s="18" t="str">
        <f aca="false">IF(J455="","",J455^2)</f>
        <v/>
      </c>
    </row>
    <row r="456" customFormat="false" ht="15" hidden="false" customHeight="false" outlineLevel="0" collapsed="false">
      <c r="A456" s="16"/>
      <c r="B456" s="17"/>
      <c r="C456" s="17"/>
      <c r="D456" s="17"/>
      <c r="E456" s="17"/>
      <c r="F456" s="17"/>
      <c r="G456" s="17"/>
      <c r="H456" s="17"/>
      <c r="I456" s="17"/>
      <c r="J456" s="18" t="str">
        <f aca="false">IF(COUNT(E456:I456)&lt;5,"",SUM(E456:I456))</f>
        <v/>
      </c>
      <c r="K456" s="18" t="str">
        <f aca="false">IF(J456="","",IF(M456&lt;설정!$B$3,"",ROUND(AVERAGEIFS($J$2:$J$1001,$B$2:$B$1001,B456,$A$2:$A$1001,"&lt;"&amp;A456,$A$2:$A$1001,"&gt;="&amp;(A456-설정!$B$2)),2)))</f>
        <v/>
      </c>
      <c r="L456" s="18" t="str">
        <f aca="false">IF(K456="","",ROUND(SQRT(MAX(0,(SUMIFS($R$2:$R$1001,$B$2:$B$1001,B456,$A$2:$A$1001,"&lt;"&amp;A456,$A$2:$A$1001,"&gt;="&amp;(A456-설정!$B$2))-M456*AVERAGEIFS($J$2:$J$1001,$B$2:$B$1001,B456,$A$2:$A$1001,"&lt;"&amp;A456,$A$2:$A$1001,"&gt;="&amp;(A456-설정!$B$2))^2)/(M456-1))),2))</f>
        <v/>
      </c>
      <c r="M456" s="18" t="str">
        <f aca="false">IF(J456="","",COUNTIFS($B$2:$B$1001,B456,$A$2:$A$1001,"&lt;"&amp;A456,$A$2:$A$1001,"&gt;="&amp;(A456-설정!$B$2),$J$2:$J$1001,"&gt;=0"))</f>
        <v/>
      </c>
      <c r="N456" s="18" t="str">
        <f aca="false">IF(K456="","",IF(L456=0,"",ROUND((J456-K456)/L456,2)))</f>
        <v/>
      </c>
      <c r="O456" s="19" t="str">
        <f aca="false">IF(J456="","",IF(MIN(F456,G456)&lt;=설정!$B$5,"예",""))</f>
        <v/>
      </c>
      <c r="P456" s="19" t="str">
        <f aca="false">IF(J456="","",IF(M456&lt;설정!$B$3,"baseline 수집 중",IF(N456="","정상",IF(N456&lt;=설정!$B$4,"낮음","정상"))))</f>
        <v/>
      </c>
      <c r="Q456" s="20"/>
      <c r="R456" s="18" t="str">
        <f aca="false">IF(J456="","",J456^2)</f>
        <v/>
      </c>
    </row>
    <row r="457" customFormat="false" ht="15" hidden="false" customHeight="false" outlineLevel="0" collapsed="false">
      <c r="A457" s="16"/>
      <c r="B457" s="17"/>
      <c r="C457" s="17"/>
      <c r="D457" s="17"/>
      <c r="E457" s="17"/>
      <c r="F457" s="17"/>
      <c r="G457" s="17"/>
      <c r="H457" s="17"/>
      <c r="I457" s="17"/>
      <c r="J457" s="18" t="str">
        <f aca="false">IF(COUNT(E457:I457)&lt;5,"",SUM(E457:I457))</f>
        <v/>
      </c>
      <c r="K457" s="18" t="str">
        <f aca="false">IF(J457="","",IF(M457&lt;설정!$B$3,"",ROUND(AVERAGEIFS($J$2:$J$1001,$B$2:$B$1001,B457,$A$2:$A$1001,"&lt;"&amp;A457,$A$2:$A$1001,"&gt;="&amp;(A457-설정!$B$2)),2)))</f>
        <v/>
      </c>
      <c r="L457" s="18" t="str">
        <f aca="false">IF(K457="","",ROUND(SQRT(MAX(0,(SUMIFS($R$2:$R$1001,$B$2:$B$1001,B457,$A$2:$A$1001,"&lt;"&amp;A457,$A$2:$A$1001,"&gt;="&amp;(A457-설정!$B$2))-M457*AVERAGEIFS($J$2:$J$1001,$B$2:$B$1001,B457,$A$2:$A$1001,"&lt;"&amp;A457,$A$2:$A$1001,"&gt;="&amp;(A457-설정!$B$2))^2)/(M457-1))),2))</f>
        <v/>
      </c>
      <c r="M457" s="18" t="str">
        <f aca="false">IF(J457="","",COUNTIFS($B$2:$B$1001,B457,$A$2:$A$1001,"&lt;"&amp;A457,$A$2:$A$1001,"&gt;="&amp;(A457-설정!$B$2),$J$2:$J$1001,"&gt;=0"))</f>
        <v/>
      </c>
      <c r="N457" s="18" t="str">
        <f aca="false">IF(K457="","",IF(L457=0,"",ROUND((J457-K457)/L457,2)))</f>
        <v/>
      </c>
      <c r="O457" s="19" t="str">
        <f aca="false">IF(J457="","",IF(MIN(F457,G457)&lt;=설정!$B$5,"예",""))</f>
        <v/>
      </c>
      <c r="P457" s="19" t="str">
        <f aca="false">IF(J457="","",IF(M457&lt;설정!$B$3,"baseline 수집 중",IF(N457="","정상",IF(N457&lt;=설정!$B$4,"낮음","정상"))))</f>
        <v/>
      </c>
      <c r="Q457" s="20"/>
      <c r="R457" s="18" t="str">
        <f aca="false">IF(J457="","",J457^2)</f>
        <v/>
      </c>
    </row>
    <row r="458" customFormat="false" ht="15" hidden="false" customHeight="false" outlineLevel="0" collapsed="false">
      <c r="A458" s="16"/>
      <c r="B458" s="17"/>
      <c r="C458" s="17"/>
      <c r="D458" s="17"/>
      <c r="E458" s="17"/>
      <c r="F458" s="17"/>
      <c r="G458" s="17"/>
      <c r="H458" s="17"/>
      <c r="I458" s="17"/>
      <c r="J458" s="18" t="str">
        <f aca="false">IF(COUNT(E458:I458)&lt;5,"",SUM(E458:I458))</f>
        <v/>
      </c>
      <c r="K458" s="18" t="str">
        <f aca="false">IF(J458="","",IF(M458&lt;설정!$B$3,"",ROUND(AVERAGEIFS($J$2:$J$1001,$B$2:$B$1001,B458,$A$2:$A$1001,"&lt;"&amp;A458,$A$2:$A$1001,"&gt;="&amp;(A458-설정!$B$2)),2)))</f>
        <v/>
      </c>
      <c r="L458" s="18" t="str">
        <f aca="false">IF(K458="","",ROUND(SQRT(MAX(0,(SUMIFS($R$2:$R$1001,$B$2:$B$1001,B458,$A$2:$A$1001,"&lt;"&amp;A458,$A$2:$A$1001,"&gt;="&amp;(A458-설정!$B$2))-M458*AVERAGEIFS($J$2:$J$1001,$B$2:$B$1001,B458,$A$2:$A$1001,"&lt;"&amp;A458,$A$2:$A$1001,"&gt;="&amp;(A458-설정!$B$2))^2)/(M458-1))),2))</f>
        <v/>
      </c>
      <c r="M458" s="18" t="str">
        <f aca="false">IF(J458="","",COUNTIFS($B$2:$B$1001,B458,$A$2:$A$1001,"&lt;"&amp;A458,$A$2:$A$1001,"&gt;="&amp;(A458-설정!$B$2),$J$2:$J$1001,"&gt;=0"))</f>
        <v/>
      </c>
      <c r="N458" s="18" t="str">
        <f aca="false">IF(K458="","",IF(L458=0,"",ROUND((J458-K458)/L458,2)))</f>
        <v/>
      </c>
      <c r="O458" s="19" t="str">
        <f aca="false">IF(J458="","",IF(MIN(F458,G458)&lt;=설정!$B$5,"예",""))</f>
        <v/>
      </c>
      <c r="P458" s="19" t="str">
        <f aca="false">IF(J458="","",IF(M458&lt;설정!$B$3,"baseline 수집 중",IF(N458="","정상",IF(N458&lt;=설정!$B$4,"낮음","정상"))))</f>
        <v/>
      </c>
      <c r="Q458" s="20"/>
      <c r="R458" s="18" t="str">
        <f aca="false">IF(J458="","",J458^2)</f>
        <v/>
      </c>
    </row>
    <row r="459" customFormat="false" ht="15" hidden="false" customHeight="false" outlineLevel="0" collapsed="false">
      <c r="A459" s="16"/>
      <c r="B459" s="17"/>
      <c r="C459" s="17"/>
      <c r="D459" s="17"/>
      <c r="E459" s="17"/>
      <c r="F459" s="17"/>
      <c r="G459" s="17"/>
      <c r="H459" s="17"/>
      <c r="I459" s="17"/>
      <c r="J459" s="18" t="str">
        <f aca="false">IF(COUNT(E459:I459)&lt;5,"",SUM(E459:I459))</f>
        <v/>
      </c>
      <c r="K459" s="18" t="str">
        <f aca="false">IF(J459="","",IF(M459&lt;설정!$B$3,"",ROUND(AVERAGEIFS($J$2:$J$1001,$B$2:$B$1001,B459,$A$2:$A$1001,"&lt;"&amp;A459,$A$2:$A$1001,"&gt;="&amp;(A459-설정!$B$2)),2)))</f>
        <v/>
      </c>
      <c r="L459" s="18" t="str">
        <f aca="false">IF(K459="","",ROUND(SQRT(MAX(0,(SUMIFS($R$2:$R$1001,$B$2:$B$1001,B459,$A$2:$A$1001,"&lt;"&amp;A459,$A$2:$A$1001,"&gt;="&amp;(A459-설정!$B$2))-M459*AVERAGEIFS($J$2:$J$1001,$B$2:$B$1001,B459,$A$2:$A$1001,"&lt;"&amp;A459,$A$2:$A$1001,"&gt;="&amp;(A459-설정!$B$2))^2)/(M459-1))),2))</f>
        <v/>
      </c>
      <c r="M459" s="18" t="str">
        <f aca="false">IF(J459="","",COUNTIFS($B$2:$B$1001,B459,$A$2:$A$1001,"&lt;"&amp;A459,$A$2:$A$1001,"&gt;="&amp;(A459-설정!$B$2),$J$2:$J$1001,"&gt;=0"))</f>
        <v/>
      </c>
      <c r="N459" s="18" t="str">
        <f aca="false">IF(K459="","",IF(L459=0,"",ROUND((J459-K459)/L459,2)))</f>
        <v/>
      </c>
      <c r="O459" s="19" t="str">
        <f aca="false">IF(J459="","",IF(MIN(F459,G459)&lt;=설정!$B$5,"예",""))</f>
        <v/>
      </c>
      <c r="P459" s="19" t="str">
        <f aca="false">IF(J459="","",IF(M459&lt;설정!$B$3,"baseline 수집 중",IF(N459="","정상",IF(N459&lt;=설정!$B$4,"낮음","정상"))))</f>
        <v/>
      </c>
      <c r="Q459" s="20"/>
      <c r="R459" s="18" t="str">
        <f aca="false">IF(J459="","",J459^2)</f>
        <v/>
      </c>
    </row>
    <row r="460" customFormat="false" ht="15" hidden="false" customHeight="false" outlineLevel="0" collapsed="false">
      <c r="A460" s="16"/>
      <c r="B460" s="17"/>
      <c r="C460" s="17"/>
      <c r="D460" s="17"/>
      <c r="E460" s="17"/>
      <c r="F460" s="17"/>
      <c r="G460" s="17"/>
      <c r="H460" s="17"/>
      <c r="I460" s="17"/>
      <c r="J460" s="18" t="str">
        <f aca="false">IF(COUNT(E460:I460)&lt;5,"",SUM(E460:I460))</f>
        <v/>
      </c>
      <c r="K460" s="18" t="str">
        <f aca="false">IF(J460="","",IF(M460&lt;설정!$B$3,"",ROUND(AVERAGEIFS($J$2:$J$1001,$B$2:$B$1001,B460,$A$2:$A$1001,"&lt;"&amp;A460,$A$2:$A$1001,"&gt;="&amp;(A460-설정!$B$2)),2)))</f>
        <v/>
      </c>
      <c r="L460" s="18" t="str">
        <f aca="false">IF(K460="","",ROUND(SQRT(MAX(0,(SUMIFS($R$2:$R$1001,$B$2:$B$1001,B460,$A$2:$A$1001,"&lt;"&amp;A460,$A$2:$A$1001,"&gt;="&amp;(A460-설정!$B$2))-M460*AVERAGEIFS($J$2:$J$1001,$B$2:$B$1001,B460,$A$2:$A$1001,"&lt;"&amp;A460,$A$2:$A$1001,"&gt;="&amp;(A460-설정!$B$2))^2)/(M460-1))),2))</f>
        <v/>
      </c>
      <c r="M460" s="18" t="str">
        <f aca="false">IF(J460="","",COUNTIFS($B$2:$B$1001,B460,$A$2:$A$1001,"&lt;"&amp;A460,$A$2:$A$1001,"&gt;="&amp;(A460-설정!$B$2),$J$2:$J$1001,"&gt;=0"))</f>
        <v/>
      </c>
      <c r="N460" s="18" t="str">
        <f aca="false">IF(K460="","",IF(L460=0,"",ROUND((J460-K460)/L460,2)))</f>
        <v/>
      </c>
      <c r="O460" s="19" t="str">
        <f aca="false">IF(J460="","",IF(MIN(F460,G460)&lt;=설정!$B$5,"예",""))</f>
        <v/>
      </c>
      <c r="P460" s="19" t="str">
        <f aca="false">IF(J460="","",IF(M460&lt;설정!$B$3,"baseline 수집 중",IF(N460="","정상",IF(N460&lt;=설정!$B$4,"낮음","정상"))))</f>
        <v/>
      </c>
      <c r="Q460" s="20"/>
      <c r="R460" s="18" t="str">
        <f aca="false">IF(J460="","",J460^2)</f>
        <v/>
      </c>
    </row>
    <row r="461" customFormat="false" ht="15" hidden="false" customHeight="false" outlineLevel="0" collapsed="false">
      <c r="A461" s="16"/>
      <c r="B461" s="17"/>
      <c r="C461" s="17"/>
      <c r="D461" s="17"/>
      <c r="E461" s="17"/>
      <c r="F461" s="17"/>
      <c r="G461" s="17"/>
      <c r="H461" s="17"/>
      <c r="I461" s="17"/>
      <c r="J461" s="18" t="str">
        <f aca="false">IF(COUNT(E461:I461)&lt;5,"",SUM(E461:I461))</f>
        <v/>
      </c>
      <c r="K461" s="18" t="str">
        <f aca="false">IF(J461="","",IF(M461&lt;설정!$B$3,"",ROUND(AVERAGEIFS($J$2:$J$1001,$B$2:$B$1001,B461,$A$2:$A$1001,"&lt;"&amp;A461,$A$2:$A$1001,"&gt;="&amp;(A461-설정!$B$2)),2)))</f>
        <v/>
      </c>
      <c r="L461" s="18" t="str">
        <f aca="false">IF(K461="","",ROUND(SQRT(MAX(0,(SUMIFS($R$2:$R$1001,$B$2:$B$1001,B461,$A$2:$A$1001,"&lt;"&amp;A461,$A$2:$A$1001,"&gt;="&amp;(A461-설정!$B$2))-M461*AVERAGEIFS($J$2:$J$1001,$B$2:$B$1001,B461,$A$2:$A$1001,"&lt;"&amp;A461,$A$2:$A$1001,"&gt;="&amp;(A461-설정!$B$2))^2)/(M461-1))),2))</f>
        <v/>
      </c>
      <c r="M461" s="18" t="str">
        <f aca="false">IF(J461="","",COUNTIFS($B$2:$B$1001,B461,$A$2:$A$1001,"&lt;"&amp;A461,$A$2:$A$1001,"&gt;="&amp;(A461-설정!$B$2),$J$2:$J$1001,"&gt;=0"))</f>
        <v/>
      </c>
      <c r="N461" s="18" t="str">
        <f aca="false">IF(K461="","",IF(L461=0,"",ROUND((J461-K461)/L461,2)))</f>
        <v/>
      </c>
      <c r="O461" s="19" t="str">
        <f aca="false">IF(J461="","",IF(MIN(F461,G461)&lt;=설정!$B$5,"예",""))</f>
        <v/>
      </c>
      <c r="P461" s="19" t="str">
        <f aca="false">IF(J461="","",IF(M461&lt;설정!$B$3,"baseline 수집 중",IF(N461="","정상",IF(N461&lt;=설정!$B$4,"낮음","정상"))))</f>
        <v/>
      </c>
      <c r="Q461" s="20"/>
      <c r="R461" s="18" t="str">
        <f aca="false">IF(J461="","",J461^2)</f>
        <v/>
      </c>
    </row>
    <row r="462" customFormat="false" ht="15" hidden="false" customHeight="false" outlineLevel="0" collapsed="false">
      <c r="A462" s="16"/>
      <c r="B462" s="17"/>
      <c r="C462" s="17"/>
      <c r="D462" s="17"/>
      <c r="E462" s="17"/>
      <c r="F462" s="17"/>
      <c r="G462" s="17"/>
      <c r="H462" s="17"/>
      <c r="I462" s="17"/>
      <c r="J462" s="18" t="str">
        <f aca="false">IF(COUNT(E462:I462)&lt;5,"",SUM(E462:I462))</f>
        <v/>
      </c>
      <c r="K462" s="18" t="str">
        <f aca="false">IF(J462="","",IF(M462&lt;설정!$B$3,"",ROUND(AVERAGEIFS($J$2:$J$1001,$B$2:$B$1001,B462,$A$2:$A$1001,"&lt;"&amp;A462,$A$2:$A$1001,"&gt;="&amp;(A462-설정!$B$2)),2)))</f>
        <v/>
      </c>
      <c r="L462" s="18" t="str">
        <f aca="false">IF(K462="","",ROUND(SQRT(MAX(0,(SUMIFS($R$2:$R$1001,$B$2:$B$1001,B462,$A$2:$A$1001,"&lt;"&amp;A462,$A$2:$A$1001,"&gt;="&amp;(A462-설정!$B$2))-M462*AVERAGEIFS($J$2:$J$1001,$B$2:$B$1001,B462,$A$2:$A$1001,"&lt;"&amp;A462,$A$2:$A$1001,"&gt;="&amp;(A462-설정!$B$2))^2)/(M462-1))),2))</f>
        <v/>
      </c>
      <c r="M462" s="18" t="str">
        <f aca="false">IF(J462="","",COUNTIFS($B$2:$B$1001,B462,$A$2:$A$1001,"&lt;"&amp;A462,$A$2:$A$1001,"&gt;="&amp;(A462-설정!$B$2),$J$2:$J$1001,"&gt;=0"))</f>
        <v/>
      </c>
      <c r="N462" s="18" t="str">
        <f aca="false">IF(K462="","",IF(L462=0,"",ROUND((J462-K462)/L462,2)))</f>
        <v/>
      </c>
      <c r="O462" s="19" t="str">
        <f aca="false">IF(J462="","",IF(MIN(F462,G462)&lt;=설정!$B$5,"예",""))</f>
        <v/>
      </c>
      <c r="P462" s="19" t="str">
        <f aca="false">IF(J462="","",IF(M462&lt;설정!$B$3,"baseline 수집 중",IF(N462="","정상",IF(N462&lt;=설정!$B$4,"낮음","정상"))))</f>
        <v/>
      </c>
      <c r="Q462" s="20"/>
      <c r="R462" s="18" t="str">
        <f aca="false">IF(J462="","",J462^2)</f>
        <v/>
      </c>
    </row>
    <row r="463" customFormat="false" ht="15" hidden="false" customHeight="false" outlineLevel="0" collapsed="false">
      <c r="A463" s="16"/>
      <c r="B463" s="17"/>
      <c r="C463" s="17"/>
      <c r="D463" s="17"/>
      <c r="E463" s="17"/>
      <c r="F463" s="17"/>
      <c r="G463" s="17"/>
      <c r="H463" s="17"/>
      <c r="I463" s="17"/>
      <c r="J463" s="18" t="str">
        <f aca="false">IF(COUNT(E463:I463)&lt;5,"",SUM(E463:I463))</f>
        <v/>
      </c>
      <c r="K463" s="18" t="str">
        <f aca="false">IF(J463="","",IF(M463&lt;설정!$B$3,"",ROUND(AVERAGEIFS($J$2:$J$1001,$B$2:$B$1001,B463,$A$2:$A$1001,"&lt;"&amp;A463,$A$2:$A$1001,"&gt;="&amp;(A463-설정!$B$2)),2)))</f>
        <v/>
      </c>
      <c r="L463" s="18" t="str">
        <f aca="false">IF(K463="","",ROUND(SQRT(MAX(0,(SUMIFS($R$2:$R$1001,$B$2:$B$1001,B463,$A$2:$A$1001,"&lt;"&amp;A463,$A$2:$A$1001,"&gt;="&amp;(A463-설정!$B$2))-M463*AVERAGEIFS($J$2:$J$1001,$B$2:$B$1001,B463,$A$2:$A$1001,"&lt;"&amp;A463,$A$2:$A$1001,"&gt;="&amp;(A463-설정!$B$2))^2)/(M463-1))),2))</f>
        <v/>
      </c>
      <c r="M463" s="18" t="str">
        <f aca="false">IF(J463="","",COUNTIFS($B$2:$B$1001,B463,$A$2:$A$1001,"&lt;"&amp;A463,$A$2:$A$1001,"&gt;="&amp;(A463-설정!$B$2),$J$2:$J$1001,"&gt;=0"))</f>
        <v/>
      </c>
      <c r="N463" s="18" t="str">
        <f aca="false">IF(K463="","",IF(L463=0,"",ROUND((J463-K463)/L463,2)))</f>
        <v/>
      </c>
      <c r="O463" s="19" t="str">
        <f aca="false">IF(J463="","",IF(MIN(F463,G463)&lt;=설정!$B$5,"예",""))</f>
        <v/>
      </c>
      <c r="P463" s="19" t="str">
        <f aca="false">IF(J463="","",IF(M463&lt;설정!$B$3,"baseline 수집 중",IF(N463="","정상",IF(N463&lt;=설정!$B$4,"낮음","정상"))))</f>
        <v/>
      </c>
      <c r="Q463" s="20"/>
      <c r="R463" s="18" t="str">
        <f aca="false">IF(J463="","",J463^2)</f>
        <v/>
      </c>
    </row>
    <row r="464" customFormat="false" ht="15" hidden="false" customHeight="false" outlineLevel="0" collapsed="false">
      <c r="A464" s="16"/>
      <c r="B464" s="17"/>
      <c r="C464" s="17"/>
      <c r="D464" s="17"/>
      <c r="E464" s="17"/>
      <c r="F464" s="17"/>
      <c r="G464" s="17"/>
      <c r="H464" s="17"/>
      <c r="I464" s="17"/>
      <c r="J464" s="18" t="str">
        <f aca="false">IF(COUNT(E464:I464)&lt;5,"",SUM(E464:I464))</f>
        <v/>
      </c>
      <c r="K464" s="18" t="str">
        <f aca="false">IF(J464="","",IF(M464&lt;설정!$B$3,"",ROUND(AVERAGEIFS($J$2:$J$1001,$B$2:$B$1001,B464,$A$2:$A$1001,"&lt;"&amp;A464,$A$2:$A$1001,"&gt;="&amp;(A464-설정!$B$2)),2)))</f>
        <v/>
      </c>
      <c r="L464" s="18" t="str">
        <f aca="false">IF(K464="","",ROUND(SQRT(MAX(0,(SUMIFS($R$2:$R$1001,$B$2:$B$1001,B464,$A$2:$A$1001,"&lt;"&amp;A464,$A$2:$A$1001,"&gt;="&amp;(A464-설정!$B$2))-M464*AVERAGEIFS($J$2:$J$1001,$B$2:$B$1001,B464,$A$2:$A$1001,"&lt;"&amp;A464,$A$2:$A$1001,"&gt;="&amp;(A464-설정!$B$2))^2)/(M464-1))),2))</f>
        <v/>
      </c>
      <c r="M464" s="18" t="str">
        <f aca="false">IF(J464="","",COUNTIFS($B$2:$B$1001,B464,$A$2:$A$1001,"&lt;"&amp;A464,$A$2:$A$1001,"&gt;="&amp;(A464-설정!$B$2),$J$2:$J$1001,"&gt;=0"))</f>
        <v/>
      </c>
      <c r="N464" s="18" t="str">
        <f aca="false">IF(K464="","",IF(L464=0,"",ROUND((J464-K464)/L464,2)))</f>
        <v/>
      </c>
      <c r="O464" s="19" t="str">
        <f aca="false">IF(J464="","",IF(MIN(F464,G464)&lt;=설정!$B$5,"예",""))</f>
        <v/>
      </c>
      <c r="P464" s="19" t="str">
        <f aca="false">IF(J464="","",IF(M464&lt;설정!$B$3,"baseline 수집 중",IF(N464="","정상",IF(N464&lt;=설정!$B$4,"낮음","정상"))))</f>
        <v/>
      </c>
      <c r="Q464" s="20"/>
      <c r="R464" s="18" t="str">
        <f aca="false">IF(J464="","",J464^2)</f>
        <v/>
      </c>
    </row>
    <row r="465" customFormat="false" ht="15" hidden="false" customHeight="false" outlineLevel="0" collapsed="false">
      <c r="A465" s="16"/>
      <c r="B465" s="17"/>
      <c r="C465" s="17"/>
      <c r="D465" s="17"/>
      <c r="E465" s="17"/>
      <c r="F465" s="17"/>
      <c r="G465" s="17"/>
      <c r="H465" s="17"/>
      <c r="I465" s="17"/>
      <c r="J465" s="18" t="str">
        <f aca="false">IF(COUNT(E465:I465)&lt;5,"",SUM(E465:I465))</f>
        <v/>
      </c>
      <c r="K465" s="18" t="str">
        <f aca="false">IF(J465="","",IF(M465&lt;설정!$B$3,"",ROUND(AVERAGEIFS($J$2:$J$1001,$B$2:$B$1001,B465,$A$2:$A$1001,"&lt;"&amp;A465,$A$2:$A$1001,"&gt;="&amp;(A465-설정!$B$2)),2)))</f>
        <v/>
      </c>
      <c r="L465" s="18" t="str">
        <f aca="false">IF(K465="","",ROUND(SQRT(MAX(0,(SUMIFS($R$2:$R$1001,$B$2:$B$1001,B465,$A$2:$A$1001,"&lt;"&amp;A465,$A$2:$A$1001,"&gt;="&amp;(A465-설정!$B$2))-M465*AVERAGEIFS($J$2:$J$1001,$B$2:$B$1001,B465,$A$2:$A$1001,"&lt;"&amp;A465,$A$2:$A$1001,"&gt;="&amp;(A465-설정!$B$2))^2)/(M465-1))),2))</f>
        <v/>
      </c>
      <c r="M465" s="18" t="str">
        <f aca="false">IF(J465="","",COUNTIFS($B$2:$B$1001,B465,$A$2:$A$1001,"&lt;"&amp;A465,$A$2:$A$1001,"&gt;="&amp;(A465-설정!$B$2),$J$2:$J$1001,"&gt;=0"))</f>
        <v/>
      </c>
      <c r="N465" s="18" t="str">
        <f aca="false">IF(K465="","",IF(L465=0,"",ROUND((J465-K465)/L465,2)))</f>
        <v/>
      </c>
      <c r="O465" s="19" t="str">
        <f aca="false">IF(J465="","",IF(MIN(F465,G465)&lt;=설정!$B$5,"예",""))</f>
        <v/>
      </c>
      <c r="P465" s="19" t="str">
        <f aca="false">IF(J465="","",IF(M465&lt;설정!$B$3,"baseline 수집 중",IF(N465="","정상",IF(N465&lt;=설정!$B$4,"낮음","정상"))))</f>
        <v/>
      </c>
      <c r="Q465" s="20"/>
      <c r="R465" s="18" t="str">
        <f aca="false">IF(J465="","",J465^2)</f>
        <v/>
      </c>
    </row>
    <row r="466" customFormat="false" ht="15" hidden="false" customHeight="false" outlineLevel="0" collapsed="false">
      <c r="A466" s="16"/>
      <c r="B466" s="17"/>
      <c r="C466" s="17"/>
      <c r="D466" s="17"/>
      <c r="E466" s="17"/>
      <c r="F466" s="17"/>
      <c r="G466" s="17"/>
      <c r="H466" s="17"/>
      <c r="I466" s="17"/>
      <c r="J466" s="18" t="str">
        <f aca="false">IF(COUNT(E466:I466)&lt;5,"",SUM(E466:I466))</f>
        <v/>
      </c>
      <c r="K466" s="18" t="str">
        <f aca="false">IF(J466="","",IF(M466&lt;설정!$B$3,"",ROUND(AVERAGEIFS($J$2:$J$1001,$B$2:$B$1001,B466,$A$2:$A$1001,"&lt;"&amp;A466,$A$2:$A$1001,"&gt;="&amp;(A466-설정!$B$2)),2)))</f>
        <v/>
      </c>
      <c r="L466" s="18" t="str">
        <f aca="false">IF(K466="","",ROUND(SQRT(MAX(0,(SUMIFS($R$2:$R$1001,$B$2:$B$1001,B466,$A$2:$A$1001,"&lt;"&amp;A466,$A$2:$A$1001,"&gt;="&amp;(A466-설정!$B$2))-M466*AVERAGEIFS($J$2:$J$1001,$B$2:$B$1001,B466,$A$2:$A$1001,"&lt;"&amp;A466,$A$2:$A$1001,"&gt;="&amp;(A466-설정!$B$2))^2)/(M466-1))),2))</f>
        <v/>
      </c>
      <c r="M466" s="18" t="str">
        <f aca="false">IF(J466="","",COUNTIFS($B$2:$B$1001,B466,$A$2:$A$1001,"&lt;"&amp;A466,$A$2:$A$1001,"&gt;="&amp;(A466-설정!$B$2),$J$2:$J$1001,"&gt;=0"))</f>
        <v/>
      </c>
      <c r="N466" s="18" t="str">
        <f aca="false">IF(K466="","",IF(L466=0,"",ROUND((J466-K466)/L466,2)))</f>
        <v/>
      </c>
      <c r="O466" s="19" t="str">
        <f aca="false">IF(J466="","",IF(MIN(F466,G466)&lt;=설정!$B$5,"예",""))</f>
        <v/>
      </c>
      <c r="P466" s="19" t="str">
        <f aca="false">IF(J466="","",IF(M466&lt;설정!$B$3,"baseline 수집 중",IF(N466="","정상",IF(N466&lt;=설정!$B$4,"낮음","정상"))))</f>
        <v/>
      </c>
      <c r="Q466" s="20"/>
      <c r="R466" s="18" t="str">
        <f aca="false">IF(J466="","",J466^2)</f>
        <v/>
      </c>
    </row>
    <row r="467" customFormat="false" ht="15" hidden="false" customHeight="false" outlineLevel="0" collapsed="false">
      <c r="A467" s="16"/>
      <c r="B467" s="17"/>
      <c r="C467" s="17"/>
      <c r="D467" s="17"/>
      <c r="E467" s="17"/>
      <c r="F467" s="17"/>
      <c r="G467" s="17"/>
      <c r="H467" s="17"/>
      <c r="I467" s="17"/>
      <c r="J467" s="18" t="str">
        <f aca="false">IF(COUNT(E467:I467)&lt;5,"",SUM(E467:I467))</f>
        <v/>
      </c>
      <c r="K467" s="18" t="str">
        <f aca="false">IF(J467="","",IF(M467&lt;설정!$B$3,"",ROUND(AVERAGEIFS($J$2:$J$1001,$B$2:$B$1001,B467,$A$2:$A$1001,"&lt;"&amp;A467,$A$2:$A$1001,"&gt;="&amp;(A467-설정!$B$2)),2)))</f>
        <v/>
      </c>
      <c r="L467" s="18" t="str">
        <f aca="false">IF(K467="","",ROUND(SQRT(MAX(0,(SUMIFS($R$2:$R$1001,$B$2:$B$1001,B467,$A$2:$A$1001,"&lt;"&amp;A467,$A$2:$A$1001,"&gt;="&amp;(A467-설정!$B$2))-M467*AVERAGEIFS($J$2:$J$1001,$B$2:$B$1001,B467,$A$2:$A$1001,"&lt;"&amp;A467,$A$2:$A$1001,"&gt;="&amp;(A467-설정!$B$2))^2)/(M467-1))),2))</f>
        <v/>
      </c>
      <c r="M467" s="18" t="str">
        <f aca="false">IF(J467="","",COUNTIFS($B$2:$B$1001,B467,$A$2:$A$1001,"&lt;"&amp;A467,$A$2:$A$1001,"&gt;="&amp;(A467-설정!$B$2),$J$2:$J$1001,"&gt;=0"))</f>
        <v/>
      </c>
      <c r="N467" s="18" t="str">
        <f aca="false">IF(K467="","",IF(L467=0,"",ROUND((J467-K467)/L467,2)))</f>
        <v/>
      </c>
      <c r="O467" s="19" t="str">
        <f aca="false">IF(J467="","",IF(MIN(F467,G467)&lt;=설정!$B$5,"예",""))</f>
        <v/>
      </c>
      <c r="P467" s="19" t="str">
        <f aca="false">IF(J467="","",IF(M467&lt;설정!$B$3,"baseline 수집 중",IF(N467="","정상",IF(N467&lt;=설정!$B$4,"낮음","정상"))))</f>
        <v/>
      </c>
      <c r="Q467" s="20"/>
      <c r="R467" s="18" t="str">
        <f aca="false">IF(J467="","",J467^2)</f>
        <v/>
      </c>
    </row>
    <row r="468" customFormat="false" ht="15" hidden="false" customHeight="false" outlineLevel="0" collapsed="false">
      <c r="A468" s="16"/>
      <c r="B468" s="17"/>
      <c r="C468" s="17"/>
      <c r="D468" s="17"/>
      <c r="E468" s="17"/>
      <c r="F468" s="17"/>
      <c r="G468" s="17"/>
      <c r="H468" s="17"/>
      <c r="I468" s="17"/>
      <c r="J468" s="18" t="str">
        <f aca="false">IF(COUNT(E468:I468)&lt;5,"",SUM(E468:I468))</f>
        <v/>
      </c>
      <c r="K468" s="18" t="str">
        <f aca="false">IF(J468="","",IF(M468&lt;설정!$B$3,"",ROUND(AVERAGEIFS($J$2:$J$1001,$B$2:$B$1001,B468,$A$2:$A$1001,"&lt;"&amp;A468,$A$2:$A$1001,"&gt;="&amp;(A468-설정!$B$2)),2)))</f>
        <v/>
      </c>
      <c r="L468" s="18" t="str">
        <f aca="false">IF(K468="","",ROUND(SQRT(MAX(0,(SUMIFS($R$2:$R$1001,$B$2:$B$1001,B468,$A$2:$A$1001,"&lt;"&amp;A468,$A$2:$A$1001,"&gt;="&amp;(A468-설정!$B$2))-M468*AVERAGEIFS($J$2:$J$1001,$B$2:$B$1001,B468,$A$2:$A$1001,"&lt;"&amp;A468,$A$2:$A$1001,"&gt;="&amp;(A468-설정!$B$2))^2)/(M468-1))),2))</f>
        <v/>
      </c>
      <c r="M468" s="18" t="str">
        <f aca="false">IF(J468="","",COUNTIFS($B$2:$B$1001,B468,$A$2:$A$1001,"&lt;"&amp;A468,$A$2:$A$1001,"&gt;="&amp;(A468-설정!$B$2),$J$2:$J$1001,"&gt;=0"))</f>
        <v/>
      </c>
      <c r="N468" s="18" t="str">
        <f aca="false">IF(K468="","",IF(L468=0,"",ROUND((J468-K468)/L468,2)))</f>
        <v/>
      </c>
      <c r="O468" s="19" t="str">
        <f aca="false">IF(J468="","",IF(MIN(F468,G468)&lt;=설정!$B$5,"예",""))</f>
        <v/>
      </c>
      <c r="P468" s="19" t="str">
        <f aca="false">IF(J468="","",IF(M468&lt;설정!$B$3,"baseline 수집 중",IF(N468="","정상",IF(N468&lt;=설정!$B$4,"낮음","정상"))))</f>
        <v/>
      </c>
      <c r="Q468" s="20"/>
      <c r="R468" s="18" t="str">
        <f aca="false">IF(J468="","",J468^2)</f>
        <v/>
      </c>
    </row>
    <row r="469" customFormat="false" ht="15" hidden="false" customHeight="false" outlineLevel="0" collapsed="false">
      <c r="A469" s="16"/>
      <c r="B469" s="17"/>
      <c r="C469" s="17"/>
      <c r="D469" s="17"/>
      <c r="E469" s="17"/>
      <c r="F469" s="17"/>
      <c r="G469" s="17"/>
      <c r="H469" s="17"/>
      <c r="I469" s="17"/>
      <c r="J469" s="18" t="str">
        <f aca="false">IF(COUNT(E469:I469)&lt;5,"",SUM(E469:I469))</f>
        <v/>
      </c>
      <c r="K469" s="18" t="str">
        <f aca="false">IF(J469="","",IF(M469&lt;설정!$B$3,"",ROUND(AVERAGEIFS($J$2:$J$1001,$B$2:$B$1001,B469,$A$2:$A$1001,"&lt;"&amp;A469,$A$2:$A$1001,"&gt;="&amp;(A469-설정!$B$2)),2)))</f>
        <v/>
      </c>
      <c r="L469" s="18" t="str">
        <f aca="false">IF(K469="","",ROUND(SQRT(MAX(0,(SUMIFS($R$2:$R$1001,$B$2:$B$1001,B469,$A$2:$A$1001,"&lt;"&amp;A469,$A$2:$A$1001,"&gt;="&amp;(A469-설정!$B$2))-M469*AVERAGEIFS($J$2:$J$1001,$B$2:$B$1001,B469,$A$2:$A$1001,"&lt;"&amp;A469,$A$2:$A$1001,"&gt;="&amp;(A469-설정!$B$2))^2)/(M469-1))),2))</f>
        <v/>
      </c>
      <c r="M469" s="18" t="str">
        <f aca="false">IF(J469="","",COUNTIFS($B$2:$B$1001,B469,$A$2:$A$1001,"&lt;"&amp;A469,$A$2:$A$1001,"&gt;="&amp;(A469-설정!$B$2),$J$2:$J$1001,"&gt;=0"))</f>
        <v/>
      </c>
      <c r="N469" s="18" t="str">
        <f aca="false">IF(K469="","",IF(L469=0,"",ROUND((J469-K469)/L469,2)))</f>
        <v/>
      </c>
      <c r="O469" s="19" t="str">
        <f aca="false">IF(J469="","",IF(MIN(F469,G469)&lt;=설정!$B$5,"예",""))</f>
        <v/>
      </c>
      <c r="P469" s="19" t="str">
        <f aca="false">IF(J469="","",IF(M469&lt;설정!$B$3,"baseline 수집 중",IF(N469="","정상",IF(N469&lt;=설정!$B$4,"낮음","정상"))))</f>
        <v/>
      </c>
      <c r="Q469" s="20"/>
      <c r="R469" s="18" t="str">
        <f aca="false">IF(J469="","",J469^2)</f>
        <v/>
      </c>
    </row>
    <row r="470" customFormat="false" ht="15" hidden="false" customHeight="false" outlineLevel="0" collapsed="false">
      <c r="A470" s="16"/>
      <c r="B470" s="17"/>
      <c r="C470" s="17"/>
      <c r="D470" s="17"/>
      <c r="E470" s="17"/>
      <c r="F470" s="17"/>
      <c r="G470" s="17"/>
      <c r="H470" s="17"/>
      <c r="I470" s="17"/>
      <c r="J470" s="18" t="str">
        <f aca="false">IF(COUNT(E470:I470)&lt;5,"",SUM(E470:I470))</f>
        <v/>
      </c>
      <c r="K470" s="18" t="str">
        <f aca="false">IF(J470="","",IF(M470&lt;설정!$B$3,"",ROUND(AVERAGEIFS($J$2:$J$1001,$B$2:$B$1001,B470,$A$2:$A$1001,"&lt;"&amp;A470,$A$2:$A$1001,"&gt;="&amp;(A470-설정!$B$2)),2)))</f>
        <v/>
      </c>
      <c r="L470" s="18" t="str">
        <f aca="false">IF(K470="","",ROUND(SQRT(MAX(0,(SUMIFS($R$2:$R$1001,$B$2:$B$1001,B470,$A$2:$A$1001,"&lt;"&amp;A470,$A$2:$A$1001,"&gt;="&amp;(A470-설정!$B$2))-M470*AVERAGEIFS($J$2:$J$1001,$B$2:$B$1001,B470,$A$2:$A$1001,"&lt;"&amp;A470,$A$2:$A$1001,"&gt;="&amp;(A470-설정!$B$2))^2)/(M470-1))),2))</f>
        <v/>
      </c>
      <c r="M470" s="18" t="str">
        <f aca="false">IF(J470="","",COUNTIFS($B$2:$B$1001,B470,$A$2:$A$1001,"&lt;"&amp;A470,$A$2:$A$1001,"&gt;="&amp;(A470-설정!$B$2),$J$2:$J$1001,"&gt;=0"))</f>
        <v/>
      </c>
      <c r="N470" s="18" t="str">
        <f aca="false">IF(K470="","",IF(L470=0,"",ROUND((J470-K470)/L470,2)))</f>
        <v/>
      </c>
      <c r="O470" s="19" t="str">
        <f aca="false">IF(J470="","",IF(MIN(F470,G470)&lt;=설정!$B$5,"예",""))</f>
        <v/>
      </c>
      <c r="P470" s="19" t="str">
        <f aca="false">IF(J470="","",IF(M470&lt;설정!$B$3,"baseline 수집 중",IF(N470="","정상",IF(N470&lt;=설정!$B$4,"낮음","정상"))))</f>
        <v/>
      </c>
      <c r="Q470" s="20"/>
      <c r="R470" s="18" t="str">
        <f aca="false">IF(J470="","",J470^2)</f>
        <v/>
      </c>
    </row>
    <row r="471" customFormat="false" ht="15" hidden="false" customHeight="false" outlineLevel="0" collapsed="false">
      <c r="A471" s="16"/>
      <c r="B471" s="17"/>
      <c r="C471" s="17"/>
      <c r="D471" s="17"/>
      <c r="E471" s="17"/>
      <c r="F471" s="17"/>
      <c r="G471" s="17"/>
      <c r="H471" s="17"/>
      <c r="I471" s="17"/>
      <c r="J471" s="18" t="str">
        <f aca="false">IF(COUNT(E471:I471)&lt;5,"",SUM(E471:I471))</f>
        <v/>
      </c>
      <c r="K471" s="18" t="str">
        <f aca="false">IF(J471="","",IF(M471&lt;설정!$B$3,"",ROUND(AVERAGEIFS($J$2:$J$1001,$B$2:$B$1001,B471,$A$2:$A$1001,"&lt;"&amp;A471,$A$2:$A$1001,"&gt;="&amp;(A471-설정!$B$2)),2)))</f>
        <v/>
      </c>
      <c r="L471" s="18" t="str">
        <f aca="false">IF(K471="","",ROUND(SQRT(MAX(0,(SUMIFS($R$2:$R$1001,$B$2:$B$1001,B471,$A$2:$A$1001,"&lt;"&amp;A471,$A$2:$A$1001,"&gt;="&amp;(A471-설정!$B$2))-M471*AVERAGEIFS($J$2:$J$1001,$B$2:$B$1001,B471,$A$2:$A$1001,"&lt;"&amp;A471,$A$2:$A$1001,"&gt;="&amp;(A471-설정!$B$2))^2)/(M471-1))),2))</f>
        <v/>
      </c>
      <c r="M471" s="18" t="str">
        <f aca="false">IF(J471="","",COUNTIFS($B$2:$B$1001,B471,$A$2:$A$1001,"&lt;"&amp;A471,$A$2:$A$1001,"&gt;="&amp;(A471-설정!$B$2),$J$2:$J$1001,"&gt;=0"))</f>
        <v/>
      </c>
      <c r="N471" s="18" t="str">
        <f aca="false">IF(K471="","",IF(L471=0,"",ROUND((J471-K471)/L471,2)))</f>
        <v/>
      </c>
      <c r="O471" s="19" t="str">
        <f aca="false">IF(J471="","",IF(MIN(F471,G471)&lt;=설정!$B$5,"예",""))</f>
        <v/>
      </c>
      <c r="P471" s="19" t="str">
        <f aca="false">IF(J471="","",IF(M471&lt;설정!$B$3,"baseline 수집 중",IF(N471="","정상",IF(N471&lt;=설정!$B$4,"낮음","정상"))))</f>
        <v/>
      </c>
      <c r="Q471" s="20"/>
      <c r="R471" s="18" t="str">
        <f aca="false">IF(J471="","",J471^2)</f>
        <v/>
      </c>
    </row>
    <row r="472" customFormat="false" ht="15" hidden="false" customHeight="false" outlineLevel="0" collapsed="false">
      <c r="A472" s="16"/>
      <c r="B472" s="17"/>
      <c r="C472" s="17"/>
      <c r="D472" s="17"/>
      <c r="E472" s="17"/>
      <c r="F472" s="17"/>
      <c r="G472" s="17"/>
      <c r="H472" s="17"/>
      <c r="I472" s="17"/>
      <c r="J472" s="18" t="str">
        <f aca="false">IF(COUNT(E472:I472)&lt;5,"",SUM(E472:I472))</f>
        <v/>
      </c>
      <c r="K472" s="18" t="str">
        <f aca="false">IF(J472="","",IF(M472&lt;설정!$B$3,"",ROUND(AVERAGEIFS($J$2:$J$1001,$B$2:$B$1001,B472,$A$2:$A$1001,"&lt;"&amp;A472,$A$2:$A$1001,"&gt;="&amp;(A472-설정!$B$2)),2)))</f>
        <v/>
      </c>
      <c r="L472" s="18" t="str">
        <f aca="false">IF(K472="","",ROUND(SQRT(MAX(0,(SUMIFS($R$2:$R$1001,$B$2:$B$1001,B472,$A$2:$A$1001,"&lt;"&amp;A472,$A$2:$A$1001,"&gt;="&amp;(A472-설정!$B$2))-M472*AVERAGEIFS($J$2:$J$1001,$B$2:$B$1001,B472,$A$2:$A$1001,"&lt;"&amp;A472,$A$2:$A$1001,"&gt;="&amp;(A472-설정!$B$2))^2)/(M472-1))),2))</f>
        <v/>
      </c>
      <c r="M472" s="18" t="str">
        <f aca="false">IF(J472="","",COUNTIFS($B$2:$B$1001,B472,$A$2:$A$1001,"&lt;"&amp;A472,$A$2:$A$1001,"&gt;="&amp;(A472-설정!$B$2),$J$2:$J$1001,"&gt;=0"))</f>
        <v/>
      </c>
      <c r="N472" s="18" t="str">
        <f aca="false">IF(K472="","",IF(L472=0,"",ROUND((J472-K472)/L472,2)))</f>
        <v/>
      </c>
      <c r="O472" s="19" t="str">
        <f aca="false">IF(J472="","",IF(MIN(F472,G472)&lt;=설정!$B$5,"예",""))</f>
        <v/>
      </c>
      <c r="P472" s="19" t="str">
        <f aca="false">IF(J472="","",IF(M472&lt;설정!$B$3,"baseline 수집 중",IF(N472="","정상",IF(N472&lt;=설정!$B$4,"낮음","정상"))))</f>
        <v/>
      </c>
      <c r="Q472" s="20"/>
      <c r="R472" s="18" t="str">
        <f aca="false">IF(J472="","",J472^2)</f>
        <v/>
      </c>
    </row>
    <row r="473" customFormat="false" ht="15" hidden="false" customHeight="false" outlineLevel="0" collapsed="false">
      <c r="A473" s="16"/>
      <c r="B473" s="17"/>
      <c r="C473" s="17"/>
      <c r="D473" s="17"/>
      <c r="E473" s="17"/>
      <c r="F473" s="17"/>
      <c r="G473" s="17"/>
      <c r="H473" s="17"/>
      <c r="I473" s="17"/>
      <c r="J473" s="18" t="str">
        <f aca="false">IF(COUNT(E473:I473)&lt;5,"",SUM(E473:I473))</f>
        <v/>
      </c>
      <c r="K473" s="18" t="str">
        <f aca="false">IF(J473="","",IF(M473&lt;설정!$B$3,"",ROUND(AVERAGEIFS($J$2:$J$1001,$B$2:$B$1001,B473,$A$2:$A$1001,"&lt;"&amp;A473,$A$2:$A$1001,"&gt;="&amp;(A473-설정!$B$2)),2)))</f>
        <v/>
      </c>
      <c r="L473" s="18" t="str">
        <f aca="false">IF(K473="","",ROUND(SQRT(MAX(0,(SUMIFS($R$2:$R$1001,$B$2:$B$1001,B473,$A$2:$A$1001,"&lt;"&amp;A473,$A$2:$A$1001,"&gt;="&amp;(A473-설정!$B$2))-M473*AVERAGEIFS($J$2:$J$1001,$B$2:$B$1001,B473,$A$2:$A$1001,"&lt;"&amp;A473,$A$2:$A$1001,"&gt;="&amp;(A473-설정!$B$2))^2)/(M473-1))),2))</f>
        <v/>
      </c>
      <c r="M473" s="18" t="str">
        <f aca="false">IF(J473="","",COUNTIFS($B$2:$B$1001,B473,$A$2:$A$1001,"&lt;"&amp;A473,$A$2:$A$1001,"&gt;="&amp;(A473-설정!$B$2),$J$2:$J$1001,"&gt;=0"))</f>
        <v/>
      </c>
      <c r="N473" s="18" t="str">
        <f aca="false">IF(K473="","",IF(L473=0,"",ROUND((J473-K473)/L473,2)))</f>
        <v/>
      </c>
      <c r="O473" s="19" t="str">
        <f aca="false">IF(J473="","",IF(MIN(F473,G473)&lt;=설정!$B$5,"예",""))</f>
        <v/>
      </c>
      <c r="P473" s="19" t="str">
        <f aca="false">IF(J473="","",IF(M473&lt;설정!$B$3,"baseline 수집 중",IF(N473="","정상",IF(N473&lt;=설정!$B$4,"낮음","정상"))))</f>
        <v/>
      </c>
      <c r="Q473" s="20"/>
      <c r="R473" s="18" t="str">
        <f aca="false">IF(J473="","",J473^2)</f>
        <v/>
      </c>
    </row>
    <row r="474" customFormat="false" ht="15" hidden="false" customHeight="false" outlineLevel="0" collapsed="false">
      <c r="A474" s="16"/>
      <c r="B474" s="17"/>
      <c r="C474" s="17"/>
      <c r="D474" s="17"/>
      <c r="E474" s="17"/>
      <c r="F474" s="17"/>
      <c r="G474" s="17"/>
      <c r="H474" s="17"/>
      <c r="I474" s="17"/>
      <c r="J474" s="18" t="str">
        <f aca="false">IF(COUNT(E474:I474)&lt;5,"",SUM(E474:I474))</f>
        <v/>
      </c>
      <c r="K474" s="18" t="str">
        <f aca="false">IF(J474="","",IF(M474&lt;설정!$B$3,"",ROUND(AVERAGEIFS($J$2:$J$1001,$B$2:$B$1001,B474,$A$2:$A$1001,"&lt;"&amp;A474,$A$2:$A$1001,"&gt;="&amp;(A474-설정!$B$2)),2)))</f>
        <v/>
      </c>
      <c r="L474" s="18" t="str">
        <f aca="false">IF(K474="","",ROUND(SQRT(MAX(0,(SUMIFS($R$2:$R$1001,$B$2:$B$1001,B474,$A$2:$A$1001,"&lt;"&amp;A474,$A$2:$A$1001,"&gt;="&amp;(A474-설정!$B$2))-M474*AVERAGEIFS($J$2:$J$1001,$B$2:$B$1001,B474,$A$2:$A$1001,"&lt;"&amp;A474,$A$2:$A$1001,"&gt;="&amp;(A474-설정!$B$2))^2)/(M474-1))),2))</f>
        <v/>
      </c>
      <c r="M474" s="18" t="str">
        <f aca="false">IF(J474="","",COUNTIFS($B$2:$B$1001,B474,$A$2:$A$1001,"&lt;"&amp;A474,$A$2:$A$1001,"&gt;="&amp;(A474-설정!$B$2),$J$2:$J$1001,"&gt;=0"))</f>
        <v/>
      </c>
      <c r="N474" s="18" t="str">
        <f aca="false">IF(K474="","",IF(L474=0,"",ROUND((J474-K474)/L474,2)))</f>
        <v/>
      </c>
      <c r="O474" s="19" t="str">
        <f aca="false">IF(J474="","",IF(MIN(F474,G474)&lt;=설정!$B$5,"예",""))</f>
        <v/>
      </c>
      <c r="P474" s="19" t="str">
        <f aca="false">IF(J474="","",IF(M474&lt;설정!$B$3,"baseline 수집 중",IF(N474="","정상",IF(N474&lt;=설정!$B$4,"낮음","정상"))))</f>
        <v/>
      </c>
      <c r="Q474" s="20"/>
      <c r="R474" s="18" t="str">
        <f aca="false">IF(J474="","",J474^2)</f>
        <v/>
      </c>
    </row>
    <row r="475" customFormat="false" ht="15" hidden="false" customHeight="false" outlineLevel="0" collapsed="false">
      <c r="A475" s="16"/>
      <c r="B475" s="17"/>
      <c r="C475" s="17"/>
      <c r="D475" s="17"/>
      <c r="E475" s="17"/>
      <c r="F475" s="17"/>
      <c r="G475" s="17"/>
      <c r="H475" s="17"/>
      <c r="I475" s="17"/>
      <c r="J475" s="18" t="str">
        <f aca="false">IF(COUNT(E475:I475)&lt;5,"",SUM(E475:I475))</f>
        <v/>
      </c>
      <c r="K475" s="18" t="str">
        <f aca="false">IF(J475="","",IF(M475&lt;설정!$B$3,"",ROUND(AVERAGEIFS($J$2:$J$1001,$B$2:$B$1001,B475,$A$2:$A$1001,"&lt;"&amp;A475,$A$2:$A$1001,"&gt;="&amp;(A475-설정!$B$2)),2)))</f>
        <v/>
      </c>
      <c r="L475" s="18" t="str">
        <f aca="false">IF(K475="","",ROUND(SQRT(MAX(0,(SUMIFS($R$2:$R$1001,$B$2:$B$1001,B475,$A$2:$A$1001,"&lt;"&amp;A475,$A$2:$A$1001,"&gt;="&amp;(A475-설정!$B$2))-M475*AVERAGEIFS($J$2:$J$1001,$B$2:$B$1001,B475,$A$2:$A$1001,"&lt;"&amp;A475,$A$2:$A$1001,"&gt;="&amp;(A475-설정!$B$2))^2)/(M475-1))),2))</f>
        <v/>
      </c>
      <c r="M475" s="18" t="str">
        <f aca="false">IF(J475="","",COUNTIFS($B$2:$B$1001,B475,$A$2:$A$1001,"&lt;"&amp;A475,$A$2:$A$1001,"&gt;="&amp;(A475-설정!$B$2),$J$2:$J$1001,"&gt;=0"))</f>
        <v/>
      </c>
      <c r="N475" s="18" t="str">
        <f aca="false">IF(K475="","",IF(L475=0,"",ROUND((J475-K475)/L475,2)))</f>
        <v/>
      </c>
      <c r="O475" s="19" t="str">
        <f aca="false">IF(J475="","",IF(MIN(F475,G475)&lt;=설정!$B$5,"예",""))</f>
        <v/>
      </c>
      <c r="P475" s="19" t="str">
        <f aca="false">IF(J475="","",IF(M475&lt;설정!$B$3,"baseline 수집 중",IF(N475="","정상",IF(N475&lt;=설정!$B$4,"낮음","정상"))))</f>
        <v/>
      </c>
      <c r="Q475" s="20"/>
      <c r="R475" s="18" t="str">
        <f aca="false">IF(J475="","",J475^2)</f>
        <v/>
      </c>
    </row>
    <row r="476" customFormat="false" ht="15" hidden="false" customHeight="false" outlineLevel="0" collapsed="false">
      <c r="A476" s="16"/>
      <c r="B476" s="17"/>
      <c r="C476" s="17"/>
      <c r="D476" s="17"/>
      <c r="E476" s="17"/>
      <c r="F476" s="17"/>
      <c r="G476" s="17"/>
      <c r="H476" s="17"/>
      <c r="I476" s="17"/>
      <c r="J476" s="18" t="str">
        <f aca="false">IF(COUNT(E476:I476)&lt;5,"",SUM(E476:I476))</f>
        <v/>
      </c>
      <c r="K476" s="18" t="str">
        <f aca="false">IF(J476="","",IF(M476&lt;설정!$B$3,"",ROUND(AVERAGEIFS($J$2:$J$1001,$B$2:$B$1001,B476,$A$2:$A$1001,"&lt;"&amp;A476,$A$2:$A$1001,"&gt;="&amp;(A476-설정!$B$2)),2)))</f>
        <v/>
      </c>
      <c r="L476" s="18" t="str">
        <f aca="false">IF(K476="","",ROUND(SQRT(MAX(0,(SUMIFS($R$2:$R$1001,$B$2:$B$1001,B476,$A$2:$A$1001,"&lt;"&amp;A476,$A$2:$A$1001,"&gt;="&amp;(A476-설정!$B$2))-M476*AVERAGEIFS($J$2:$J$1001,$B$2:$B$1001,B476,$A$2:$A$1001,"&lt;"&amp;A476,$A$2:$A$1001,"&gt;="&amp;(A476-설정!$B$2))^2)/(M476-1))),2))</f>
        <v/>
      </c>
      <c r="M476" s="18" t="str">
        <f aca="false">IF(J476="","",COUNTIFS($B$2:$B$1001,B476,$A$2:$A$1001,"&lt;"&amp;A476,$A$2:$A$1001,"&gt;="&amp;(A476-설정!$B$2),$J$2:$J$1001,"&gt;=0"))</f>
        <v/>
      </c>
      <c r="N476" s="18" t="str">
        <f aca="false">IF(K476="","",IF(L476=0,"",ROUND((J476-K476)/L476,2)))</f>
        <v/>
      </c>
      <c r="O476" s="19" t="str">
        <f aca="false">IF(J476="","",IF(MIN(F476,G476)&lt;=설정!$B$5,"예",""))</f>
        <v/>
      </c>
      <c r="P476" s="19" t="str">
        <f aca="false">IF(J476="","",IF(M476&lt;설정!$B$3,"baseline 수집 중",IF(N476="","정상",IF(N476&lt;=설정!$B$4,"낮음","정상"))))</f>
        <v/>
      </c>
      <c r="Q476" s="20"/>
      <c r="R476" s="18" t="str">
        <f aca="false">IF(J476="","",J476^2)</f>
        <v/>
      </c>
    </row>
    <row r="477" customFormat="false" ht="15" hidden="false" customHeight="false" outlineLevel="0" collapsed="false">
      <c r="A477" s="16"/>
      <c r="B477" s="17"/>
      <c r="C477" s="17"/>
      <c r="D477" s="17"/>
      <c r="E477" s="17"/>
      <c r="F477" s="17"/>
      <c r="G477" s="17"/>
      <c r="H477" s="17"/>
      <c r="I477" s="17"/>
      <c r="J477" s="18" t="str">
        <f aca="false">IF(COUNT(E477:I477)&lt;5,"",SUM(E477:I477))</f>
        <v/>
      </c>
      <c r="K477" s="18" t="str">
        <f aca="false">IF(J477="","",IF(M477&lt;설정!$B$3,"",ROUND(AVERAGEIFS($J$2:$J$1001,$B$2:$B$1001,B477,$A$2:$A$1001,"&lt;"&amp;A477,$A$2:$A$1001,"&gt;="&amp;(A477-설정!$B$2)),2)))</f>
        <v/>
      </c>
      <c r="L477" s="18" t="str">
        <f aca="false">IF(K477="","",ROUND(SQRT(MAX(0,(SUMIFS($R$2:$R$1001,$B$2:$B$1001,B477,$A$2:$A$1001,"&lt;"&amp;A477,$A$2:$A$1001,"&gt;="&amp;(A477-설정!$B$2))-M477*AVERAGEIFS($J$2:$J$1001,$B$2:$B$1001,B477,$A$2:$A$1001,"&lt;"&amp;A477,$A$2:$A$1001,"&gt;="&amp;(A477-설정!$B$2))^2)/(M477-1))),2))</f>
        <v/>
      </c>
      <c r="M477" s="18" t="str">
        <f aca="false">IF(J477="","",COUNTIFS($B$2:$B$1001,B477,$A$2:$A$1001,"&lt;"&amp;A477,$A$2:$A$1001,"&gt;="&amp;(A477-설정!$B$2),$J$2:$J$1001,"&gt;=0"))</f>
        <v/>
      </c>
      <c r="N477" s="18" t="str">
        <f aca="false">IF(K477="","",IF(L477=0,"",ROUND((J477-K477)/L477,2)))</f>
        <v/>
      </c>
      <c r="O477" s="19" t="str">
        <f aca="false">IF(J477="","",IF(MIN(F477,G477)&lt;=설정!$B$5,"예",""))</f>
        <v/>
      </c>
      <c r="P477" s="19" t="str">
        <f aca="false">IF(J477="","",IF(M477&lt;설정!$B$3,"baseline 수집 중",IF(N477="","정상",IF(N477&lt;=설정!$B$4,"낮음","정상"))))</f>
        <v/>
      </c>
      <c r="Q477" s="20"/>
      <c r="R477" s="18" t="str">
        <f aca="false">IF(J477="","",J477^2)</f>
        <v/>
      </c>
    </row>
    <row r="478" customFormat="false" ht="15" hidden="false" customHeight="false" outlineLevel="0" collapsed="false">
      <c r="A478" s="16"/>
      <c r="B478" s="17"/>
      <c r="C478" s="17"/>
      <c r="D478" s="17"/>
      <c r="E478" s="17"/>
      <c r="F478" s="17"/>
      <c r="G478" s="17"/>
      <c r="H478" s="17"/>
      <c r="I478" s="17"/>
      <c r="J478" s="18" t="str">
        <f aca="false">IF(COUNT(E478:I478)&lt;5,"",SUM(E478:I478))</f>
        <v/>
      </c>
      <c r="K478" s="18" t="str">
        <f aca="false">IF(J478="","",IF(M478&lt;설정!$B$3,"",ROUND(AVERAGEIFS($J$2:$J$1001,$B$2:$B$1001,B478,$A$2:$A$1001,"&lt;"&amp;A478,$A$2:$A$1001,"&gt;="&amp;(A478-설정!$B$2)),2)))</f>
        <v/>
      </c>
      <c r="L478" s="18" t="str">
        <f aca="false">IF(K478="","",ROUND(SQRT(MAX(0,(SUMIFS($R$2:$R$1001,$B$2:$B$1001,B478,$A$2:$A$1001,"&lt;"&amp;A478,$A$2:$A$1001,"&gt;="&amp;(A478-설정!$B$2))-M478*AVERAGEIFS($J$2:$J$1001,$B$2:$B$1001,B478,$A$2:$A$1001,"&lt;"&amp;A478,$A$2:$A$1001,"&gt;="&amp;(A478-설정!$B$2))^2)/(M478-1))),2))</f>
        <v/>
      </c>
      <c r="M478" s="18" t="str">
        <f aca="false">IF(J478="","",COUNTIFS($B$2:$B$1001,B478,$A$2:$A$1001,"&lt;"&amp;A478,$A$2:$A$1001,"&gt;="&amp;(A478-설정!$B$2),$J$2:$J$1001,"&gt;=0"))</f>
        <v/>
      </c>
      <c r="N478" s="18" t="str">
        <f aca="false">IF(K478="","",IF(L478=0,"",ROUND((J478-K478)/L478,2)))</f>
        <v/>
      </c>
      <c r="O478" s="19" t="str">
        <f aca="false">IF(J478="","",IF(MIN(F478,G478)&lt;=설정!$B$5,"예",""))</f>
        <v/>
      </c>
      <c r="P478" s="19" t="str">
        <f aca="false">IF(J478="","",IF(M478&lt;설정!$B$3,"baseline 수집 중",IF(N478="","정상",IF(N478&lt;=설정!$B$4,"낮음","정상"))))</f>
        <v/>
      </c>
      <c r="Q478" s="20"/>
      <c r="R478" s="18" t="str">
        <f aca="false">IF(J478="","",J478^2)</f>
        <v/>
      </c>
    </row>
    <row r="479" customFormat="false" ht="15" hidden="false" customHeight="false" outlineLevel="0" collapsed="false">
      <c r="A479" s="16"/>
      <c r="B479" s="17"/>
      <c r="C479" s="17"/>
      <c r="D479" s="17"/>
      <c r="E479" s="17"/>
      <c r="F479" s="17"/>
      <c r="G479" s="17"/>
      <c r="H479" s="17"/>
      <c r="I479" s="17"/>
      <c r="J479" s="18" t="str">
        <f aca="false">IF(COUNT(E479:I479)&lt;5,"",SUM(E479:I479))</f>
        <v/>
      </c>
      <c r="K479" s="18" t="str">
        <f aca="false">IF(J479="","",IF(M479&lt;설정!$B$3,"",ROUND(AVERAGEIFS($J$2:$J$1001,$B$2:$B$1001,B479,$A$2:$A$1001,"&lt;"&amp;A479,$A$2:$A$1001,"&gt;="&amp;(A479-설정!$B$2)),2)))</f>
        <v/>
      </c>
      <c r="L479" s="18" t="str">
        <f aca="false">IF(K479="","",ROUND(SQRT(MAX(0,(SUMIFS($R$2:$R$1001,$B$2:$B$1001,B479,$A$2:$A$1001,"&lt;"&amp;A479,$A$2:$A$1001,"&gt;="&amp;(A479-설정!$B$2))-M479*AVERAGEIFS($J$2:$J$1001,$B$2:$B$1001,B479,$A$2:$A$1001,"&lt;"&amp;A479,$A$2:$A$1001,"&gt;="&amp;(A479-설정!$B$2))^2)/(M479-1))),2))</f>
        <v/>
      </c>
      <c r="M479" s="18" t="str">
        <f aca="false">IF(J479="","",COUNTIFS($B$2:$B$1001,B479,$A$2:$A$1001,"&lt;"&amp;A479,$A$2:$A$1001,"&gt;="&amp;(A479-설정!$B$2),$J$2:$J$1001,"&gt;=0"))</f>
        <v/>
      </c>
      <c r="N479" s="18" t="str">
        <f aca="false">IF(K479="","",IF(L479=0,"",ROUND((J479-K479)/L479,2)))</f>
        <v/>
      </c>
      <c r="O479" s="19" t="str">
        <f aca="false">IF(J479="","",IF(MIN(F479,G479)&lt;=설정!$B$5,"예",""))</f>
        <v/>
      </c>
      <c r="P479" s="19" t="str">
        <f aca="false">IF(J479="","",IF(M479&lt;설정!$B$3,"baseline 수집 중",IF(N479="","정상",IF(N479&lt;=설정!$B$4,"낮음","정상"))))</f>
        <v/>
      </c>
      <c r="Q479" s="20"/>
      <c r="R479" s="18" t="str">
        <f aca="false">IF(J479="","",J479^2)</f>
        <v/>
      </c>
    </row>
    <row r="480" customFormat="false" ht="15" hidden="false" customHeight="false" outlineLevel="0" collapsed="false">
      <c r="A480" s="16"/>
      <c r="B480" s="17"/>
      <c r="C480" s="17"/>
      <c r="D480" s="17"/>
      <c r="E480" s="17"/>
      <c r="F480" s="17"/>
      <c r="G480" s="17"/>
      <c r="H480" s="17"/>
      <c r="I480" s="17"/>
      <c r="J480" s="18" t="str">
        <f aca="false">IF(COUNT(E480:I480)&lt;5,"",SUM(E480:I480))</f>
        <v/>
      </c>
      <c r="K480" s="18" t="str">
        <f aca="false">IF(J480="","",IF(M480&lt;설정!$B$3,"",ROUND(AVERAGEIFS($J$2:$J$1001,$B$2:$B$1001,B480,$A$2:$A$1001,"&lt;"&amp;A480,$A$2:$A$1001,"&gt;="&amp;(A480-설정!$B$2)),2)))</f>
        <v/>
      </c>
      <c r="L480" s="18" t="str">
        <f aca="false">IF(K480="","",ROUND(SQRT(MAX(0,(SUMIFS($R$2:$R$1001,$B$2:$B$1001,B480,$A$2:$A$1001,"&lt;"&amp;A480,$A$2:$A$1001,"&gt;="&amp;(A480-설정!$B$2))-M480*AVERAGEIFS($J$2:$J$1001,$B$2:$B$1001,B480,$A$2:$A$1001,"&lt;"&amp;A480,$A$2:$A$1001,"&gt;="&amp;(A480-설정!$B$2))^2)/(M480-1))),2))</f>
        <v/>
      </c>
      <c r="M480" s="18" t="str">
        <f aca="false">IF(J480="","",COUNTIFS($B$2:$B$1001,B480,$A$2:$A$1001,"&lt;"&amp;A480,$A$2:$A$1001,"&gt;="&amp;(A480-설정!$B$2),$J$2:$J$1001,"&gt;=0"))</f>
        <v/>
      </c>
      <c r="N480" s="18" t="str">
        <f aca="false">IF(K480="","",IF(L480=0,"",ROUND((J480-K480)/L480,2)))</f>
        <v/>
      </c>
      <c r="O480" s="19" t="str">
        <f aca="false">IF(J480="","",IF(MIN(F480,G480)&lt;=설정!$B$5,"예",""))</f>
        <v/>
      </c>
      <c r="P480" s="19" t="str">
        <f aca="false">IF(J480="","",IF(M480&lt;설정!$B$3,"baseline 수집 중",IF(N480="","정상",IF(N480&lt;=설정!$B$4,"낮음","정상"))))</f>
        <v/>
      </c>
      <c r="Q480" s="20"/>
      <c r="R480" s="18" t="str">
        <f aca="false">IF(J480="","",J480^2)</f>
        <v/>
      </c>
    </row>
    <row r="481" customFormat="false" ht="15" hidden="false" customHeight="false" outlineLevel="0" collapsed="false">
      <c r="A481" s="16"/>
      <c r="B481" s="17"/>
      <c r="C481" s="17"/>
      <c r="D481" s="17"/>
      <c r="E481" s="17"/>
      <c r="F481" s="17"/>
      <c r="G481" s="17"/>
      <c r="H481" s="17"/>
      <c r="I481" s="17"/>
      <c r="J481" s="18" t="str">
        <f aca="false">IF(COUNT(E481:I481)&lt;5,"",SUM(E481:I481))</f>
        <v/>
      </c>
      <c r="K481" s="18" t="str">
        <f aca="false">IF(J481="","",IF(M481&lt;설정!$B$3,"",ROUND(AVERAGEIFS($J$2:$J$1001,$B$2:$B$1001,B481,$A$2:$A$1001,"&lt;"&amp;A481,$A$2:$A$1001,"&gt;="&amp;(A481-설정!$B$2)),2)))</f>
        <v/>
      </c>
      <c r="L481" s="18" t="str">
        <f aca="false">IF(K481="","",ROUND(SQRT(MAX(0,(SUMIFS($R$2:$R$1001,$B$2:$B$1001,B481,$A$2:$A$1001,"&lt;"&amp;A481,$A$2:$A$1001,"&gt;="&amp;(A481-설정!$B$2))-M481*AVERAGEIFS($J$2:$J$1001,$B$2:$B$1001,B481,$A$2:$A$1001,"&lt;"&amp;A481,$A$2:$A$1001,"&gt;="&amp;(A481-설정!$B$2))^2)/(M481-1))),2))</f>
        <v/>
      </c>
      <c r="M481" s="18" t="str">
        <f aca="false">IF(J481="","",COUNTIFS($B$2:$B$1001,B481,$A$2:$A$1001,"&lt;"&amp;A481,$A$2:$A$1001,"&gt;="&amp;(A481-설정!$B$2),$J$2:$J$1001,"&gt;=0"))</f>
        <v/>
      </c>
      <c r="N481" s="18" t="str">
        <f aca="false">IF(K481="","",IF(L481=0,"",ROUND((J481-K481)/L481,2)))</f>
        <v/>
      </c>
      <c r="O481" s="19" t="str">
        <f aca="false">IF(J481="","",IF(MIN(F481,G481)&lt;=설정!$B$5,"예",""))</f>
        <v/>
      </c>
      <c r="P481" s="19" t="str">
        <f aca="false">IF(J481="","",IF(M481&lt;설정!$B$3,"baseline 수집 중",IF(N481="","정상",IF(N481&lt;=설정!$B$4,"낮음","정상"))))</f>
        <v/>
      </c>
      <c r="Q481" s="20"/>
      <c r="R481" s="18" t="str">
        <f aca="false">IF(J481="","",J481^2)</f>
        <v/>
      </c>
    </row>
    <row r="482" customFormat="false" ht="15" hidden="false" customHeight="false" outlineLevel="0" collapsed="false">
      <c r="A482" s="16"/>
      <c r="B482" s="17"/>
      <c r="C482" s="17"/>
      <c r="D482" s="17"/>
      <c r="E482" s="17"/>
      <c r="F482" s="17"/>
      <c r="G482" s="17"/>
      <c r="H482" s="17"/>
      <c r="I482" s="17"/>
      <c r="J482" s="18" t="str">
        <f aca="false">IF(COUNT(E482:I482)&lt;5,"",SUM(E482:I482))</f>
        <v/>
      </c>
      <c r="K482" s="18" t="str">
        <f aca="false">IF(J482="","",IF(M482&lt;설정!$B$3,"",ROUND(AVERAGEIFS($J$2:$J$1001,$B$2:$B$1001,B482,$A$2:$A$1001,"&lt;"&amp;A482,$A$2:$A$1001,"&gt;="&amp;(A482-설정!$B$2)),2)))</f>
        <v/>
      </c>
      <c r="L482" s="18" t="str">
        <f aca="false">IF(K482="","",ROUND(SQRT(MAX(0,(SUMIFS($R$2:$R$1001,$B$2:$B$1001,B482,$A$2:$A$1001,"&lt;"&amp;A482,$A$2:$A$1001,"&gt;="&amp;(A482-설정!$B$2))-M482*AVERAGEIFS($J$2:$J$1001,$B$2:$B$1001,B482,$A$2:$A$1001,"&lt;"&amp;A482,$A$2:$A$1001,"&gt;="&amp;(A482-설정!$B$2))^2)/(M482-1))),2))</f>
        <v/>
      </c>
      <c r="M482" s="18" t="str">
        <f aca="false">IF(J482="","",COUNTIFS($B$2:$B$1001,B482,$A$2:$A$1001,"&lt;"&amp;A482,$A$2:$A$1001,"&gt;="&amp;(A482-설정!$B$2),$J$2:$J$1001,"&gt;=0"))</f>
        <v/>
      </c>
      <c r="N482" s="18" t="str">
        <f aca="false">IF(K482="","",IF(L482=0,"",ROUND((J482-K482)/L482,2)))</f>
        <v/>
      </c>
      <c r="O482" s="19" t="str">
        <f aca="false">IF(J482="","",IF(MIN(F482,G482)&lt;=설정!$B$5,"예",""))</f>
        <v/>
      </c>
      <c r="P482" s="19" t="str">
        <f aca="false">IF(J482="","",IF(M482&lt;설정!$B$3,"baseline 수집 중",IF(N482="","정상",IF(N482&lt;=설정!$B$4,"낮음","정상"))))</f>
        <v/>
      </c>
      <c r="Q482" s="20"/>
      <c r="R482" s="18" t="str">
        <f aca="false">IF(J482="","",J482^2)</f>
        <v/>
      </c>
    </row>
    <row r="483" customFormat="false" ht="15" hidden="false" customHeight="false" outlineLevel="0" collapsed="false">
      <c r="A483" s="16"/>
      <c r="B483" s="17"/>
      <c r="C483" s="17"/>
      <c r="D483" s="17"/>
      <c r="E483" s="17"/>
      <c r="F483" s="17"/>
      <c r="G483" s="17"/>
      <c r="H483" s="17"/>
      <c r="I483" s="17"/>
      <c r="J483" s="18" t="str">
        <f aca="false">IF(COUNT(E483:I483)&lt;5,"",SUM(E483:I483))</f>
        <v/>
      </c>
      <c r="K483" s="18" t="str">
        <f aca="false">IF(J483="","",IF(M483&lt;설정!$B$3,"",ROUND(AVERAGEIFS($J$2:$J$1001,$B$2:$B$1001,B483,$A$2:$A$1001,"&lt;"&amp;A483,$A$2:$A$1001,"&gt;="&amp;(A483-설정!$B$2)),2)))</f>
        <v/>
      </c>
      <c r="L483" s="18" t="str">
        <f aca="false">IF(K483="","",ROUND(SQRT(MAX(0,(SUMIFS($R$2:$R$1001,$B$2:$B$1001,B483,$A$2:$A$1001,"&lt;"&amp;A483,$A$2:$A$1001,"&gt;="&amp;(A483-설정!$B$2))-M483*AVERAGEIFS($J$2:$J$1001,$B$2:$B$1001,B483,$A$2:$A$1001,"&lt;"&amp;A483,$A$2:$A$1001,"&gt;="&amp;(A483-설정!$B$2))^2)/(M483-1))),2))</f>
        <v/>
      </c>
      <c r="M483" s="18" t="str">
        <f aca="false">IF(J483="","",COUNTIFS($B$2:$B$1001,B483,$A$2:$A$1001,"&lt;"&amp;A483,$A$2:$A$1001,"&gt;="&amp;(A483-설정!$B$2),$J$2:$J$1001,"&gt;=0"))</f>
        <v/>
      </c>
      <c r="N483" s="18" t="str">
        <f aca="false">IF(K483="","",IF(L483=0,"",ROUND((J483-K483)/L483,2)))</f>
        <v/>
      </c>
      <c r="O483" s="19" t="str">
        <f aca="false">IF(J483="","",IF(MIN(F483,G483)&lt;=설정!$B$5,"예",""))</f>
        <v/>
      </c>
      <c r="P483" s="19" t="str">
        <f aca="false">IF(J483="","",IF(M483&lt;설정!$B$3,"baseline 수집 중",IF(N483="","정상",IF(N483&lt;=설정!$B$4,"낮음","정상"))))</f>
        <v/>
      </c>
      <c r="Q483" s="20"/>
      <c r="R483" s="18" t="str">
        <f aca="false">IF(J483="","",J483^2)</f>
        <v/>
      </c>
    </row>
    <row r="484" customFormat="false" ht="15" hidden="false" customHeight="false" outlineLevel="0" collapsed="false">
      <c r="A484" s="16"/>
      <c r="B484" s="17"/>
      <c r="C484" s="17"/>
      <c r="D484" s="17"/>
      <c r="E484" s="17"/>
      <c r="F484" s="17"/>
      <c r="G484" s="17"/>
      <c r="H484" s="17"/>
      <c r="I484" s="17"/>
      <c r="J484" s="18" t="str">
        <f aca="false">IF(COUNT(E484:I484)&lt;5,"",SUM(E484:I484))</f>
        <v/>
      </c>
      <c r="K484" s="18" t="str">
        <f aca="false">IF(J484="","",IF(M484&lt;설정!$B$3,"",ROUND(AVERAGEIFS($J$2:$J$1001,$B$2:$B$1001,B484,$A$2:$A$1001,"&lt;"&amp;A484,$A$2:$A$1001,"&gt;="&amp;(A484-설정!$B$2)),2)))</f>
        <v/>
      </c>
      <c r="L484" s="18" t="str">
        <f aca="false">IF(K484="","",ROUND(SQRT(MAX(0,(SUMIFS($R$2:$R$1001,$B$2:$B$1001,B484,$A$2:$A$1001,"&lt;"&amp;A484,$A$2:$A$1001,"&gt;="&amp;(A484-설정!$B$2))-M484*AVERAGEIFS($J$2:$J$1001,$B$2:$B$1001,B484,$A$2:$A$1001,"&lt;"&amp;A484,$A$2:$A$1001,"&gt;="&amp;(A484-설정!$B$2))^2)/(M484-1))),2))</f>
        <v/>
      </c>
      <c r="M484" s="18" t="str">
        <f aca="false">IF(J484="","",COUNTIFS($B$2:$B$1001,B484,$A$2:$A$1001,"&lt;"&amp;A484,$A$2:$A$1001,"&gt;="&amp;(A484-설정!$B$2),$J$2:$J$1001,"&gt;=0"))</f>
        <v/>
      </c>
      <c r="N484" s="18" t="str">
        <f aca="false">IF(K484="","",IF(L484=0,"",ROUND((J484-K484)/L484,2)))</f>
        <v/>
      </c>
      <c r="O484" s="19" t="str">
        <f aca="false">IF(J484="","",IF(MIN(F484,G484)&lt;=설정!$B$5,"예",""))</f>
        <v/>
      </c>
      <c r="P484" s="19" t="str">
        <f aca="false">IF(J484="","",IF(M484&lt;설정!$B$3,"baseline 수집 중",IF(N484="","정상",IF(N484&lt;=설정!$B$4,"낮음","정상"))))</f>
        <v/>
      </c>
      <c r="Q484" s="20"/>
      <c r="R484" s="18" t="str">
        <f aca="false">IF(J484="","",J484^2)</f>
        <v/>
      </c>
    </row>
    <row r="485" customFormat="false" ht="15" hidden="false" customHeight="false" outlineLevel="0" collapsed="false">
      <c r="A485" s="16"/>
      <c r="B485" s="17"/>
      <c r="C485" s="17"/>
      <c r="D485" s="17"/>
      <c r="E485" s="17"/>
      <c r="F485" s="17"/>
      <c r="G485" s="17"/>
      <c r="H485" s="17"/>
      <c r="I485" s="17"/>
      <c r="J485" s="18" t="str">
        <f aca="false">IF(COUNT(E485:I485)&lt;5,"",SUM(E485:I485))</f>
        <v/>
      </c>
      <c r="K485" s="18" t="str">
        <f aca="false">IF(J485="","",IF(M485&lt;설정!$B$3,"",ROUND(AVERAGEIFS($J$2:$J$1001,$B$2:$B$1001,B485,$A$2:$A$1001,"&lt;"&amp;A485,$A$2:$A$1001,"&gt;="&amp;(A485-설정!$B$2)),2)))</f>
        <v/>
      </c>
      <c r="L485" s="18" t="str">
        <f aca="false">IF(K485="","",ROUND(SQRT(MAX(0,(SUMIFS($R$2:$R$1001,$B$2:$B$1001,B485,$A$2:$A$1001,"&lt;"&amp;A485,$A$2:$A$1001,"&gt;="&amp;(A485-설정!$B$2))-M485*AVERAGEIFS($J$2:$J$1001,$B$2:$B$1001,B485,$A$2:$A$1001,"&lt;"&amp;A485,$A$2:$A$1001,"&gt;="&amp;(A485-설정!$B$2))^2)/(M485-1))),2))</f>
        <v/>
      </c>
      <c r="M485" s="18" t="str">
        <f aca="false">IF(J485="","",COUNTIFS($B$2:$B$1001,B485,$A$2:$A$1001,"&lt;"&amp;A485,$A$2:$A$1001,"&gt;="&amp;(A485-설정!$B$2),$J$2:$J$1001,"&gt;=0"))</f>
        <v/>
      </c>
      <c r="N485" s="18" t="str">
        <f aca="false">IF(K485="","",IF(L485=0,"",ROUND((J485-K485)/L485,2)))</f>
        <v/>
      </c>
      <c r="O485" s="19" t="str">
        <f aca="false">IF(J485="","",IF(MIN(F485,G485)&lt;=설정!$B$5,"예",""))</f>
        <v/>
      </c>
      <c r="P485" s="19" t="str">
        <f aca="false">IF(J485="","",IF(M485&lt;설정!$B$3,"baseline 수집 중",IF(N485="","정상",IF(N485&lt;=설정!$B$4,"낮음","정상"))))</f>
        <v/>
      </c>
      <c r="Q485" s="20"/>
      <c r="R485" s="18" t="str">
        <f aca="false">IF(J485="","",J485^2)</f>
        <v/>
      </c>
    </row>
    <row r="486" customFormat="false" ht="15" hidden="false" customHeight="false" outlineLevel="0" collapsed="false">
      <c r="A486" s="16"/>
      <c r="B486" s="17"/>
      <c r="C486" s="17"/>
      <c r="D486" s="17"/>
      <c r="E486" s="17"/>
      <c r="F486" s="17"/>
      <c r="G486" s="17"/>
      <c r="H486" s="17"/>
      <c r="I486" s="17"/>
      <c r="J486" s="18" t="str">
        <f aca="false">IF(COUNT(E486:I486)&lt;5,"",SUM(E486:I486))</f>
        <v/>
      </c>
      <c r="K486" s="18" t="str">
        <f aca="false">IF(J486="","",IF(M486&lt;설정!$B$3,"",ROUND(AVERAGEIFS($J$2:$J$1001,$B$2:$B$1001,B486,$A$2:$A$1001,"&lt;"&amp;A486,$A$2:$A$1001,"&gt;="&amp;(A486-설정!$B$2)),2)))</f>
        <v/>
      </c>
      <c r="L486" s="18" t="str">
        <f aca="false">IF(K486="","",ROUND(SQRT(MAX(0,(SUMIFS($R$2:$R$1001,$B$2:$B$1001,B486,$A$2:$A$1001,"&lt;"&amp;A486,$A$2:$A$1001,"&gt;="&amp;(A486-설정!$B$2))-M486*AVERAGEIFS($J$2:$J$1001,$B$2:$B$1001,B486,$A$2:$A$1001,"&lt;"&amp;A486,$A$2:$A$1001,"&gt;="&amp;(A486-설정!$B$2))^2)/(M486-1))),2))</f>
        <v/>
      </c>
      <c r="M486" s="18" t="str">
        <f aca="false">IF(J486="","",COUNTIFS($B$2:$B$1001,B486,$A$2:$A$1001,"&lt;"&amp;A486,$A$2:$A$1001,"&gt;="&amp;(A486-설정!$B$2),$J$2:$J$1001,"&gt;=0"))</f>
        <v/>
      </c>
      <c r="N486" s="18" t="str">
        <f aca="false">IF(K486="","",IF(L486=0,"",ROUND((J486-K486)/L486,2)))</f>
        <v/>
      </c>
      <c r="O486" s="19" t="str">
        <f aca="false">IF(J486="","",IF(MIN(F486,G486)&lt;=설정!$B$5,"예",""))</f>
        <v/>
      </c>
      <c r="P486" s="19" t="str">
        <f aca="false">IF(J486="","",IF(M486&lt;설정!$B$3,"baseline 수집 중",IF(N486="","정상",IF(N486&lt;=설정!$B$4,"낮음","정상"))))</f>
        <v/>
      </c>
      <c r="Q486" s="20"/>
      <c r="R486" s="18" t="str">
        <f aca="false">IF(J486="","",J486^2)</f>
        <v/>
      </c>
    </row>
    <row r="487" customFormat="false" ht="15" hidden="false" customHeight="false" outlineLevel="0" collapsed="false">
      <c r="A487" s="16"/>
      <c r="B487" s="17"/>
      <c r="C487" s="17"/>
      <c r="D487" s="17"/>
      <c r="E487" s="17"/>
      <c r="F487" s="17"/>
      <c r="G487" s="17"/>
      <c r="H487" s="17"/>
      <c r="I487" s="17"/>
      <c r="J487" s="18" t="str">
        <f aca="false">IF(COUNT(E487:I487)&lt;5,"",SUM(E487:I487))</f>
        <v/>
      </c>
      <c r="K487" s="18" t="str">
        <f aca="false">IF(J487="","",IF(M487&lt;설정!$B$3,"",ROUND(AVERAGEIFS($J$2:$J$1001,$B$2:$B$1001,B487,$A$2:$A$1001,"&lt;"&amp;A487,$A$2:$A$1001,"&gt;="&amp;(A487-설정!$B$2)),2)))</f>
        <v/>
      </c>
      <c r="L487" s="18" t="str">
        <f aca="false">IF(K487="","",ROUND(SQRT(MAX(0,(SUMIFS($R$2:$R$1001,$B$2:$B$1001,B487,$A$2:$A$1001,"&lt;"&amp;A487,$A$2:$A$1001,"&gt;="&amp;(A487-설정!$B$2))-M487*AVERAGEIFS($J$2:$J$1001,$B$2:$B$1001,B487,$A$2:$A$1001,"&lt;"&amp;A487,$A$2:$A$1001,"&gt;="&amp;(A487-설정!$B$2))^2)/(M487-1))),2))</f>
        <v/>
      </c>
      <c r="M487" s="18" t="str">
        <f aca="false">IF(J487="","",COUNTIFS($B$2:$B$1001,B487,$A$2:$A$1001,"&lt;"&amp;A487,$A$2:$A$1001,"&gt;="&amp;(A487-설정!$B$2),$J$2:$J$1001,"&gt;=0"))</f>
        <v/>
      </c>
      <c r="N487" s="18" t="str">
        <f aca="false">IF(K487="","",IF(L487=0,"",ROUND((J487-K487)/L487,2)))</f>
        <v/>
      </c>
      <c r="O487" s="19" t="str">
        <f aca="false">IF(J487="","",IF(MIN(F487,G487)&lt;=설정!$B$5,"예",""))</f>
        <v/>
      </c>
      <c r="P487" s="19" t="str">
        <f aca="false">IF(J487="","",IF(M487&lt;설정!$B$3,"baseline 수집 중",IF(N487="","정상",IF(N487&lt;=설정!$B$4,"낮음","정상"))))</f>
        <v/>
      </c>
      <c r="Q487" s="20"/>
      <c r="R487" s="18" t="str">
        <f aca="false">IF(J487="","",J487^2)</f>
        <v/>
      </c>
    </row>
    <row r="488" customFormat="false" ht="15" hidden="false" customHeight="false" outlineLevel="0" collapsed="false">
      <c r="A488" s="16"/>
      <c r="B488" s="17"/>
      <c r="C488" s="17"/>
      <c r="D488" s="17"/>
      <c r="E488" s="17"/>
      <c r="F488" s="17"/>
      <c r="G488" s="17"/>
      <c r="H488" s="17"/>
      <c r="I488" s="17"/>
      <c r="J488" s="18" t="str">
        <f aca="false">IF(COUNT(E488:I488)&lt;5,"",SUM(E488:I488))</f>
        <v/>
      </c>
      <c r="K488" s="18" t="str">
        <f aca="false">IF(J488="","",IF(M488&lt;설정!$B$3,"",ROUND(AVERAGEIFS($J$2:$J$1001,$B$2:$B$1001,B488,$A$2:$A$1001,"&lt;"&amp;A488,$A$2:$A$1001,"&gt;="&amp;(A488-설정!$B$2)),2)))</f>
        <v/>
      </c>
      <c r="L488" s="18" t="str">
        <f aca="false">IF(K488="","",ROUND(SQRT(MAX(0,(SUMIFS($R$2:$R$1001,$B$2:$B$1001,B488,$A$2:$A$1001,"&lt;"&amp;A488,$A$2:$A$1001,"&gt;="&amp;(A488-설정!$B$2))-M488*AVERAGEIFS($J$2:$J$1001,$B$2:$B$1001,B488,$A$2:$A$1001,"&lt;"&amp;A488,$A$2:$A$1001,"&gt;="&amp;(A488-설정!$B$2))^2)/(M488-1))),2))</f>
        <v/>
      </c>
      <c r="M488" s="18" t="str">
        <f aca="false">IF(J488="","",COUNTIFS($B$2:$B$1001,B488,$A$2:$A$1001,"&lt;"&amp;A488,$A$2:$A$1001,"&gt;="&amp;(A488-설정!$B$2),$J$2:$J$1001,"&gt;=0"))</f>
        <v/>
      </c>
      <c r="N488" s="18" t="str">
        <f aca="false">IF(K488="","",IF(L488=0,"",ROUND((J488-K488)/L488,2)))</f>
        <v/>
      </c>
      <c r="O488" s="19" t="str">
        <f aca="false">IF(J488="","",IF(MIN(F488,G488)&lt;=설정!$B$5,"예",""))</f>
        <v/>
      </c>
      <c r="P488" s="19" t="str">
        <f aca="false">IF(J488="","",IF(M488&lt;설정!$B$3,"baseline 수집 중",IF(N488="","정상",IF(N488&lt;=설정!$B$4,"낮음","정상"))))</f>
        <v/>
      </c>
      <c r="Q488" s="20"/>
      <c r="R488" s="18" t="str">
        <f aca="false">IF(J488="","",J488^2)</f>
        <v/>
      </c>
    </row>
    <row r="489" customFormat="false" ht="15" hidden="false" customHeight="false" outlineLevel="0" collapsed="false">
      <c r="A489" s="16"/>
      <c r="B489" s="17"/>
      <c r="C489" s="17"/>
      <c r="D489" s="17"/>
      <c r="E489" s="17"/>
      <c r="F489" s="17"/>
      <c r="G489" s="17"/>
      <c r="H489" s="17"/>
      <c r="I489" s="17"/>
      <c r="J489" s="18" t="str">
        <f aca="false">IF(COUNT(E489:I489)&lt;5,"",SUM(E489:I489))</f>
        <v/>
      </c>
      <c r="K489" s="18" t="str">
        <f aca="false">IF(J489="","",IF(M489&lt;설정!$B$3,"",ROUND(AVERAGEIFS($J$2:$J$1001,$B$2:$B$1001,B489,$A$2:$A$1001,"&lt;"&amp;A489,$A$2:$A$1001,"&gt;="&amp;(A489-설정!$B$2)),2)))</f>
        <v/>
      </c>
      <c r="L489" s="18" t="str">
        <f aca="false">IF(K489="","",ROUND(SQRT(MAX(0,(SUMIFS($R$2:$R$1001,$B$2:$B$1001,B489,$A$2:$A$1001,"&lt;"&amp;A489,$A$2:$A$1001,"&gt;="&amp;(A489-설정!$B$2))-M489*AVERAGEIFS($J$2:$J$1001,$B$2:$B$1001,B489,$A$2:$A$1001,"&lt;"&amp;A489,$A$2:$A$1001,"&gt;="&amp;(A489-설정!$B$2))^2)/(M489-1))),2))</f>
        <v/>
      </c>
      <c r="M489" s="18" t="str">
        <f aca="false">IF(J489="","",COUNTIFS($B$2:$B$1001,B489,$A$2:$A$1001,"&lt;"&amp;A489,$A$2:$A$1001,"&gt;="&amp;(A489-설정!$B$2),$J$2:$J$1001,"&gt;=0"))</f>
        <v/>
      </c>
      <c r="N489" s="18" t="str">
        <f aca="false">IF(K489="","",IF(L489=0,"",ROUND((J489-K489)/L489,2)))</f>
        <v/>
      </c>
      <c r="O489" s="19" t="str">
        <f aca="false">IF(J489="","",IF(MIN(F489,G489)&lt;=설정!$B$5,"예",""))</f>
        <v/>
      </c>
      <c r="P489" s="19" t="str">
        <f aca="false">IF(J489="","",IF(M489&lt;설정!$B$3,"baseline 수집 중",IF(N489="","정상",IF(N489&lt;=설정!$B$4,"낮음","정상"))))</f>
        <v/>
      </c>
      <c r="Q489" s="20"/>
      <c r="R489" s="18" t="str">
        <f aca="false">IF(J489="","",J489^2)</f>
        <v/>
      </c>
    </row>
    <row r="490" customFormat="false" ht="15" hidden="false" customHeight="false" outlineLevel="0" collapsed="false">
      <c r="A490" s="16"/>
      <c r="B490" s="17"/>
      <c r="C490" s="17"/>
      <c r="D490" s="17"/>
      <c r="E490" s="17"/>
      <c r="F490" s="17"/>
      <c r="G490" s="17"/>
      <c r="H490" s="17"/>
      <c r="I490" s="17"/>
      <c r="J490" s="18" t="str">
        <f aca="false">IF(COUNT(E490:I490)&lt;5,"",SUM(E490:I490))</f>
        <v/>
      </c>
      <c r="K490" s="18" t="str">
        <f aca="false">IF(J490="","",IF(M490&lt;설정!$B$3,"",ROUND(AVERAGEIFS($J$2:$J$1001,$B$2:$B$1001,B490,$A$2:$A$1001,"&lt;"&amp;A490,$A$2:$A$1001,"&gt;="&amp;(A490-설정!$B$2)),2)))</f>
        <v/>
      </c>
      <c r="L490" s="18" t="str">
        <f aca="false">IF(K490="","",ROUND(SQRT(MAX(0,(SUMIFS($R$2:$R$1001,$B$2:$B$1001,B490,$A$2:$A$1001,"&lt;"&amp;A490,$A$2:$A$1001,"&gt;="&amp;(A490-설정!$B$2))-M490*AVERAGEIFS($J$2:$J$1001,$B$2:$B$1001,B490,$A$2:$A$1001,"&lt;"&amp;A490,$A$2:$A$1001,"&gt;="&amp;(A490-설정!$B$2))^2)/(M490-1))),2))</f>
        <v/>
      </c>
      <c r="M490" s="18" t="str">
        <f aca="false">IF(J490="","",COUNTIFS($B$2:$B$1001,B490,$A$2:$A$1001,"&lt;"&amp;A490,$A$2:$A$1001,"&gt;="&amp;(A490-설정!$B$2),$J$2:$J$1001,"&gt;=0"))</f>
        <v/>
      </c>
      <c r="N490" s="18" t="str">
        <f aca="false">IF(K490="","",IF(L490=0,"",ROUND((J490-K490)/L490,2)))</f>
        <v/>
      </c>
      <c r="O490" s="19" t="str">
        <f aca="false">IF(J490="","",IF(MIN(F490,G490)&lt;=설정!$B$5,"예",""))</f>
        <v/>
      </c>
      <c r="P490" s="19" t="str">
        <f aca="false">IF(J490="","",IF(M490&lt;설정!$B$3,"baseline 수집 중",IF(N490="","정상",IF(N490&lt;=설정!$B$4,"낮음","정상"))))</f>
        <v/>
      </c>
      <c r="Q490" s="20"/>
      <c r="R490" s="18" t="str">
        <f aca="false">IF(J490="","",J490^2)</f>
        <v/>
      </c>
    </row>
    <row r="491" customFormat="false" ht="15" hidden="false" customHeight="false" outlineLevel="0" collapsed="false">
      <c r="A491" s="16"/>
      <c r="B491" s="17"/>
      <c r="C491" s="17"/>
      <c r="D491" s="17"/>
      <c r="E491" s="17"/>
      <c r="F491" s="17"/>
      <c r="G491" s="17"/>
      <c r="H491" s="17"/>
      <c r="I491" s="17"/>
      <c r="J491" s="18" t="str">
        <f aca="false">IF(COUNT(E491:I491)&lt;5,"",SUM(E491:I491))</f>
        <v/>
      </c>
      <c r="K491" s="18" t="str">
        <f aca="false">IF(J491="","",IF(M491&lt;설정!$B$3,"",ROUND(AVERAGEIFS($J$2:$J$1001,$B$2:$B$1001,B491,$A$2:$A$1001,"&lt;"&amp;A491,$A$2:$A$1001,"&gt;="&amp;(A491-설정!$B$2)),2)))</f>
        <v/>
      </c>
      <c r="L491" s="18" t="str">
        <f aca="false">IF(K491="","",ROUND(SQRT(MAX(0,(SUMIFS($R$2:$R$1001,$B$2:$B$1001,B491,$A$2:$A$1001,"&lt;"&amp;A491,$A$2:$A$1001,"&gt;="&amp;(A491-설정!$B$2))-M491*AVERAGEIFS($J$2:$J$1001,$B$2:$B$1001,B491,$A$2:$A$1001,"&lt;"&amp;A491,$A$2:$A$1001,"&gt;="&amp;(A491-설정!$B$2))^2)/(M491-1))),2))</f>
        <v/>
      </c>
      <c r="M491" s="18" t="str">
        <f aca="false">IF(J491="","",COUNTIFS($B$2:$B$1001,B491,$A$2:$A$1001,"&lt;"&amp;A491,$A$2:$A$1001,"&gt;="&amp;(A491-설정!$B$2),$J$2:$J$1001,"&gt;=0"))</f>
        <v/>
      </c>
      <c r="N491" s="18" t="str">
        <f aca="false">IF(K491="","",IF(L491=0,"",ROUND((J491-K491)/L491,2)))</f>
        <v/>
      </c>
      <c r="O491" s="19" t="str">
        <f aca="false">IF(J491="","",IF(MIN(F491,G491)&lt;=설정!$B$5,"예",""))</f>
        <v/>
      </c>
      <c r="P491" s="19" t="str">
        <f aca="false">IF(J491="","",IF(M491&lt;설정!$B$3,"baseline 수집 중",IF(N491="","정상",IF(N491&lt;=설정!$B$4,"낮음","정상"))))</f>
        <v/>
      </c>
      <c r="Q491" s="20"/>
      <c r="R491" s="18" t="str">
        <f aca="false">IF(J491="","",J491^2)</f>
        <v/>
      </c>
    </row>
    <row r="492" customFormat="false" ht="15" hidden="false" customHeight="false" outlineLevel="0" collapsed="false">
      <c r="A492" s="16"/>
      <c r="B492" s="17"/>
      <c r="C492" s="17"/>
      <c r="D492" s="17"/>
      <c r="E492" s="17"/>
      <c r="F492" s="17"/>
      <c r="G492" s="17"/>
      <c r="H492" s="17"/>
      <c r="I492" s="17"/>
      <c r="J492" s="18" t="str">
        <f aca="false">IF(COUNT(E492:I492)&lt;5,"",SUM(E492:I492))</f>
        <v/>
      </c>
      <c r="K492" s="18" t="str">
        <f aca="false">IF(J492="","",IF(M492&lt;설정!$B$3,"",ROUND(AVERAGEIFS($J$2:$J$1001,$B$2:$B$1001,B492,$A$2:$A$1001,"&lt;"&amp;A492,$A$2:$A$1001,"&gt;="&amp;(A492-설정!$B$2)),2)))</f>
        <v/>
      </c>
      <c r="L492" s="18" t="str">
        <f aca="false">IF(K492="","",ROUND(SQRT(MAX(0,(SUMIFS($R$2:$R$1001,$B$2:$B$1001,B492,$A$2:$A$1001,"&lt;"&amp;A492,$A$2:$A$1001,"&gt;="&amp;(A492-설정!$B$2))-M492*AVERAGEIFS($J$2:$J$1001,$B$2:$B$1001,B492,$A$2:$A$1001,"&lt;"&amp;A492,$A$2:$A$1001,"&gt;="&amp;(A492-설정!$B$2))^2)/(M492-1))),2))</f>
        <v/>
      </c>
      <c r="M492" s="18" t="str">
        <f aca="false">IF(J492="","",COUNTIFS($B$2:$B$1001,B492,$A$2:$A$1001,"&lt;"&amp;A492,$A$2:$A$1001,"&gt;="&amp;(A492-설정!$B$2),$J$2:$J$1001,"&gt;=0"))</f>
        <v/>
      </c>
      <c r="N492" s="18" t="str">
        <f aca="false">IF(K492="","",IF(L492=0,"",ROUND((J492-K492)/L492,2)))</f>
        <v/>
      </c>
      <c r="O492" s="19" t="str">
        <f aca="false">IF(J492="","",IF(MIN(F492,G492)&lt;=설정!$B$5,"예",""))</f>
        <v/>
      </c>
      <c r="P492" s="19" t="str">
        <f aca="false">IF(J492="","",IF(M492&lt;설정!$B$3,"baseline 수집 중",IF(N492="","정상",IF(N492&lt;=설정!$B$4,"낮음","정상"))))</f>
        <v/>
      </c>
      <c r="Q492" s="20"/>
      <c r="R492" s="18" t="str">
        <f aca="false">IF(J492="","",J492^2)</f>
        <v/>
      </c>
    </row>
    <row r="493" customFormat="false" ht="15" hidden="false" customHeight="false" outlineLevel="0" collapsed="false">
      <c r="A493" s="16"/>
      <c r="B493" s="17"/>
      <c r="C493" s="17"/>
      <c r="D493" s="17"/>
      <c r="E493" s="17"/>
      <c r="F493" s="17"/>
      <c r="G493" s="17"/>
      <c r="H493" s="17"/>
      <c r="I493" s="17"/>
      <c r="J493" s="18" t="str">
        <f aca="false">IF(COUNT(E493:I493)&lt;5,"",SUM(E493:I493))</f>
        <v/>
      </c>
      <c r="K493" s="18" t="str">
        <f aca="false">IF(J493="","",IF(M493&lt;설정!$B$3,"",ROUND(AVERAGEIFS($J$2:$J$1001,$B$2:$B$1001,B493,$A$2:$A$1001,"&lt;"&amp;A493,$A$2:$A$1001,"&gt;="&amp;(A493-설정!$B$2)),2)))</f>
        <v/>
      </c>
      <c r="L493" s="18" t="str">
        <f aca="false">IF(K493="","",ROUND(SQRT(MAX(0,(SUMIFS($R$2:$R$1001,$B$2:$B$1001,B493,$A$2:$A$1001,"&lt;"&amp;A493,$A$2:$A$1001,"&gt;="&amp;(A493-설정!$B$2))-M493*AVERAGEIFS($J$2:$J$1001,$B$2:$B$1001,B493,$A$2:$A$1001,"&lt;"&amp;A493,$A$2:$A$1001,"&gt;="&amp;(A493-설정!$B$2))^2)/(M493-1))),2))</f>
        <v/>
      </c>
      <c r="M493" s="18" t="str">
        <f aca="false">IF(J493="","",COUNTIFS($B$2:$B$1001,B493,$A$2:$A$1001,"&lt;"&amp;A493,$A$2:$A$1001,"&gt;="&amp;(A493-설정!$B$2),$J$2:$J$1001,"&gt;=0"))</f>
        <v/>
      </c>
      <c r="N493" s="18" t="str">
        <f aca="false">IF(K493="","",IF(L493=0,"",ROUND((J493-K493)/L493,2)))</f>
        <v/>
      </c>
      <c r="O493" s="19" t="str">
        <f aca="false">IF(J493="","",IF(MIN(F493,G493)&lt;=설정!$B$5,"예",""))</f>
        <v/>
      </c>
      <c r="P493" s="19" t="str">
        <f aca="false">IF(J493="","",IF(M493&lt;설정!$B$3,"baseline 수집 중",IF(N493="","정상",IF(N493&lt;=설정!$B$4,"낮음","정상"))))</f>
        <v/>
      </c>
      <c r="Q493" s="20"/>
      <c r="R493" s="18" t="str">
        <f aca="false">IF(J493="","",J493^2)</f>
        <v/>
      </c>
    </row>
    <row r="494" customFormat="false" ht="15" hidden="false" customHeight="false" outlineLevel="0" collapsed="false">
      <c r="A494" s="16"/>
      <c r="B494" s="17"/>
      <c r="C494" s="17"/>
      <c r="D494" s="17"/>
      <c r="E494" s="17"/>
      <c r="F494" s="17"/>
      <c r="G494" s="17"/>
      <c r="H494" s="17"/>
      <c r="I494" s="17"/>
      <c r="J494" s="18" t="str">
        <f aca="false">IF(COUNT(E494:I494)&lt;5,"",SUM(E494:I494))</f>
        <v/>
      </c>
      <c r="K494" s="18" t="str">
        <f aca="false">IF(J494="","",IF(M494&lt;설정!$B$3,"",ROUND(AVERAGEIFS($J$2:$J$1001,$B$2:$B$1001,B494,$A$2:$A$1001,"&lt;"&amp;A494,$A$2:$A$1001,"&gt;="&amp;(A494-설정!$B$2)),2)))</f>
        <v/>
      </c>
      <c r="L494" s="18" t="str">
        <f aca="false">IF(K494="","",ROUND(SQRT(MAX(0,(SUMIFS($R$2:$R$1001,$B$2:$B$1001,B494,$A$2:$A$1001,"&lt;"&amp;A494,$A$2:$A$1001,"&gt;="&amp;(A494-설정!$B$2))-M494*AVERAGEIFS($J$2:$J$1001,$B$2:$B$1001,B494,$A$2:$A$1001,"&lt;"&amp;A494,$A$2:$A$1001,"&gt;="&amp;(A494-설정!$B$2))^2)/(M494-1))),2))</f>
        <v/>
      </c>
      <c r="M494" s="18" t="str">
        <f aca="false">IF(J494="","",COUNTIFS($B$2:$B$1001,B494,$A$2:$A$1001,"&lt;"&amp;A494,$A$2:$A$1001,"&gt;="&amp;(A494-설정!$B$2),$J$2:$J$1001,"&gt;=0"))</f>
        <v/>
      </c>
      <c r="N494" s="18" t="str">
        <f aca="false">IF(K494="","",IF(L494=0,"",ROUND((J494-K494)/L494,2)))</f>
        <v/>
      </c>
      <c r="O494" s="19" t="str">
        <f aca="false">IF(J494="","",IF(MIN(F494,G494)&lt;=설정!$B$5,"예",""))</f>
        <v/>
      </c>
      <c r="P494" s="19" t="str">
        <f aca="false">IF(J494="","",IF(M494&lt;설정!$B$3,"baseline 수집 중",IF(N494="","정상",IF(N494&lt;=설정!$B$4,"낮음","정상"))))</f>
        <v/>
      </c>
      <c r="Q494" s="20"/>
      <c r="R494" s="18" t="str">
        <f aca="false">IF(J494="","",J494^2)</f>
        <v/>
      </c>
    </row>
    <row r="495" customFormat="false" ht="15" hidden="false" customHeight="false" outlineLevel="0" collapsed="false">
      <c r="A495" s="16"/>
      <c r="B495" s="17"/>
      <c r="C495" s="17"/>
      <c r="D495" s="17"/>
      <c r="E495" s="17"/>
      <c r="F495" s="17"/>
      <c r="G495" s="17"/>
      <c r="H495" s="17"/>
      <c r="I495" s="17"/>
      <c r="J495" s="18" t="str">
        <f aca="false">IF(COUNT(E495:I495)&lt;5,"",SUM(E495:I495))</f>
        <v/>
      </c>
      <c r="K495" s="18" t="str">
        <f aca="false">IF(J495="","",IF(M495&lt;설정!$B$3,"",ROUND(AVERAGEIFS($J$2:$J$1001,$B$2:$B$1001,B495,$A$2:$A$1001,"&lt;"&amp;A495,$A$2:$A$1001,"&gt;="&amp;(A495-설정!$B$2)),2)))</f>
        <v/>
      </c>
      <c r="L495" s="18" t="str">
        <f aca="false">IF(K495="","",ROUND(SQRT(MAX(0,(SUMIFS($R$2:$R$1001,$B$2:$B$1001,B495,$A$2:$A$1001,"&lt;"&amp;A495,$A$2:$A$1001,"&gt;="&amp;(A495-설정!$B$2))-M495*AVERAGEIFS($J$2:$J$1001,$B$2:$B$1001,B495,$A$2:$A$1001,"&lt;"&amp;A495,$A$2:$A$1001,"&gt;="&amp;(A495-설정!$B$2))^2)/(M495-1))),2))</f>
        <v/>
      </c>
      <c r="M495" s="18" t="str">
        <f aca="false">IF(J495="","",COUNTIFS($B$2:$B$1001,B495,$A$2:$A$1001,"&lt;"&amp;A495,$A$2:$A$1001,"&gt;="&amp;(A495-설정!$B$2),$J$2:$J$1001,"&gt;=0"))</f>
        <v/>
      </c>
      <c r="N495" s="18" t="str">
        <f aca="false">IF(K495="","",IF(L495=0,"",ROUND((J495-K495)/L495,2)))</f>
        <v/>
      </c>
      <c r="O495" s="19" t="str">
        <f aca="false">IF(J495="","",IF(MIN(F495,G495)&lt;=설정!$B$5,"예",""))</f>
        <v/>
      </c>
      <c r="P495" s="19" t="str">
        <f aca="false">IF(J495="","",IF(M495&lt;설정!$B$3,"baseline 수집 중",IF(N495="","정상",IF(N495&lt;=설정!$B$4,"낮음","정상"))))</f>
        <v/>
      </c>
      <c r="Q495" s="20"/>
      <c r="R495" s="18" t="str">
        <f aca="false">IF(J495="","",J495^2)</f>
        <v/>
      </c>
    </row>
    <row r="496" customFormat="false" ht="15" hidden="false" customHeight="false" outlineLevel="0" collapsed="false">
      <c r="A496" s="16"/>
      <c r="B496" s="17"/>
      <c r="C496" s="17"/>
      <c r="D496" s="17"/>
      <c r="E496" s="17"/>
      <c r="F496" s="17"/>
      <c r="G496" s="17"/>
      <c r="H496" s="17"/>
      <c r="I496" s="17"/>
      <c r="J496" s="18" t="str">
        <f aca="false">IF(COUNT(E496:I496)&lt;5,"",SUM(E496:I496))</f>
        <v/>
      </c>
      <c r="K496" s="18" t="str">
        <f aca="false">IF(J496="","",IF(M496&lt;설정!$B$3,"",ROUND(AVERAGEIFS($J$2:$J$1001,$B$2:$B$1001,B496,$A$2:$A$1001,"&lt;"&amp;A496,$A$2:$A$1001,"&gt;="&amp;(A496-설정!$B$2)),2)))</f>
        <v/>
      </c>
      <c r="L496" s="18" t="str">
        <f aca="false">IF(K496="","",ROUND(SQRT(MAX(0,(SUMIFS($R$2:$R$1001,$B$2:$B$1001,B496,$A$2:$A$1001,"&lt;"&amp;A496,$A$2:$A$1001,"&gt;="&amp;(A496-설정!$B$2))-M496*AVERAGEIFS($J$2:$J$1001,$B$2:$B$1001,B496,$A$2:$A$1001,"&lt;"&amp;A496,$A$2:$A$1001,"&gt;="&amp;(A496-설정!$B$2))^2)/(M496-1))),2))</f>
        <v/>
      </c>
      <c r="M496" s="18" t="str">
        <f aca="false">IF(J496="","",COUNTIFS($B$2:$B$1001,B496,$A$2:$A$1001,"&lt;"&amp;A496,$A$2:$A$1001,"&gt;="&amp;(A496-설정!$B$2),$J$2:$J$1001,"&gt;=0"))</f>
        <v/>
      </c>
      <c r="N496" s="18" t="str">
        <f aca="false">IF(K496="","",IF(L496=0,"",ROUND((J496-K496)/L496,2)))</f>
        <v/>
      </c>
      <c r="O496" s="19" t="str">
        <f aca="false">IF(J496="","",IF(MIN(F496,G496)&lt;=설정!$B$5,"예",""))</f>
        <v/>
      </c>
      <c r="P496" s="19" t="str">
        <f aca="false">IF(J496="","",IF(M496&lt;설정!$B$3,"baseline 수집 중",IF(N496="","정상",IF(N496&lt;=설정!$B$4,"낮음","정상"))))</f>
        <v/>
      </c>
      <c r="Q496" s="20"/>
      <c r="R496" s="18" t="str">
        <f aca="false">IF(J496="","",J496^2)</f>
        <v/>
      </c>
    </row>
    <row r="497" customFormat="false" ht="15" hidden="false" customHeight="false" outlineLevel="0" collapsed="false">
      <c r="A497" s="16"/>
      <c r="B497" s="17"/>
      <c r="C497" s="17"/>
      <c r="D497" s="17"/>
      <c r="E497" s="17"/>
      <c r="F497" s="17"/>
      <c r="G497" s="17"/>
      <c r="H497" s="17"/>
      <c r="I497" s="17"/>
      <c r="J497" s="18" t="str">
        <f aca="false">IF(COUNT(E497:I497)&lt;5,"",SUM(E497:I497))</f>
        <v/>
      </c>
      <c r="K497" s="18" t="str">
        <f aca="false">IF(J497="","",IF(M497&lt;설정!$B$3,"",ROUND(AVERAGEIFS($J$2:$J$1001,$B$2:$B$1001,B497,$A$2:$A$1001,"&lt;"&amp;A497,$A$2:$A$1001,"&gt;="&amp;(A497-설정!$B$2)),2)))</f>
        <v/>
      </c>
      <c r="L497" s="18" t="str">
        <f aca="false">IF(K497="","",ROUND(SQRT(MAX(0,(SUMIFS($R$2:$R$1001,$B$2:$B$1001,B497,$A$2:$A$1001,"&lt;"&amp;A497,$A$2:$A$1001,"&gt;="&amp;(A497-설정!$B$2))-M497*AVERAGEIFS($J$2:$J$1001,$B$2:$B$1001,B497,$A$2:$A$1001,"&lt;"&amp;A497,$A$2:$A$1001,"&gt;="&amp;(A497-설정!$B$2))^2)/(M497-1))),2))</f>
        <v/>
      </c>
      <c r="M497" s="18" t="str">
        <f aca="false">IF(J497="","",COUNTIFS($B$2:$B$1001,B497,$A$2:$A$1001,"&lt;"&amp;A497,$A$2:$A$1001,"&gt;="&amp;(A497-설정!$B$2),$J$2:$J$1001,"&gt;=0"))</f>
        <v/>
      </c>
      <c r="N497" s="18" t="str">
        <f aca="false">IF(K497="","",IF(L497=0,"",ROUND((J497-K497)/L497,2)))</f>
        <v/>
      </c>
      <c r="O497" s="19" t="str">
        <f aca="false">IF(J497="","",IF(MIN(F497,G497)&lt;=설정!$B$5,"예",""))</f>
        <v/>
      </c>
      <c r="P497" s="19" t="str">
        <f aca="false">IF(J497="","",IF(M497&lt;설정!$B$3,"baseline 수집 중",IF(N497="","정상",IF(N497&lt;=설정!$B$4,"낮음","정상"))))</f>
        <v/>
      </c>
      <c r="Q497" s="20"/>
      <c r="R497" s="18" t="str">
        <f aca="false">IF(J497="","",J497^2)</f>
        <v/>
      </c>
    </row>
    <row r="498" customFormat="false" ht="15" hidden="false" customHeight="false" outlineLevel="0" collapsed="false">
      <c r="A498" s="16"/>
      <c r="B498" s="17"/>
      <c r="C498" s="17"/>
      <c r="D498" s="17"/>
      <c r="E498" s="17"/>
      <c r="F498" s="17"/>
      <c r="G498" s="17"/>
      <c r="H498" s="17"/>
      <c r="I498" s="17"/>
      <c r="J498" s="18" t="str">
        <f aca="false">IF(COUNT(E498:I498)&lt;5,"",SUM(E498:I498))</f>
        <v/>
      </c>
      <c r="K498" s="18" t="str">
        <f aca="false">IF(J498="","",IF(M498&lt;설정!$B$3,"",ROUND(AVERAGEIFS($J$2:$J$1001,$B$2:$B$1001,B498,$A$2:$A$1001,"&lt;"&amp;A498,$A$2:$A$1001,"&gt;="&amp;(A498-설정!$B$2)),2)))</f>
        <v/>
      </c>
      <c r="L498" s="18" t="str">
        <f aca="false">IF(K498="","",ROUND(SQRT(MAX(0,(SUMIFS($R$2:$R$1001,$B$2:$B$1001,B498,$A$2:$A$1001,"&lt;"&amp;A498,$A$2:$A$1001,"&gt;="&amp;(A498-설정!$B$2))-M498*AVERAGEIFS($J$2:$J$1001,$B$2:$B$1001,B498,$A$2:$A$1001,"&lt;"&amp;A498,$A$2:$A$1001,"&gt;="&amp;(A498-설정!$B$2))^2)/(M498-1))),2))</f>
        <v/>
      </c>
      <c r="M498" s="18" t="str">
        <f aca="false">IF(J498="","",COUNTIFS($B$2:$B$1001,B498,$A$2:$A$1001,"&lt;"&amp;A498,$A$2:$A$1001,"&gt;="&amp;(A498-설정!$B$2),$J$2:$J$1001,"&gt;=0"))</f>
        <v/>
      </c>
      <c r="N498" s="18" t="str">
        <f aca="false">IF(K498="","",IF(L498=0,"",ROUND((J498-K498)/L498,2)))</f>
        <v/>
      </c>
      <c r="O498" s="19" t="str">
        <f aca="false">IF(J498="","",IF(MIN(F498,G498)&lt;=설정!$B$5,"예",""))</f>
        <v/>
      </c>
      <c r="P498" s="19" t="str">
        <f aca="false">IF(J498="","",IF(M498&lt;설정!$B$3,"baseline 수집 중",IF(N498="","정상",IF(N498&lt;=설정!$B$4,"낮음","정상"))))</f>
        <v/>
      </c>
      <c r="Q498" s="20"/>
      <c r="R498" s="18" t="str">
        <f aca="false">IF(J498="","",J498^2)</f>
        <v/>
      </c>
    </row>
    <row r="499" customFormat="false" ht="15" hidden="false" customHeight="false" outlineLevel="0" collapsed="false">
      <c r="A499" s="16"/>
      <c r="B499" s="17"/>
      <c r="C499" s="17"/>
      <c r="D499" s="17"/>
      <c r="E499" s="17"/>
      <c r="F499" s="17"/>
      <c r="G499" s="17"/>
      <c r="H499" s="17"/>
      <c r="I499" s="17"/>
      <c r="J499" s="18" t="str">
        <f aca="false">IF(COUNT(E499:I499)&lt;5,"",SUM(E499:I499))</f>
        <v/>
      </c>
      <c r="K499" s="18" t="str">
        <f aca="false">IF(J499="","",IF(M499&lt;설정!$B$3,"",ROUND(AVERAGEIFS($J$2:$J$1001,$B$2:$B$1001,B499,$A$2:$A$1001,"&lt;"&amp;A499,$A$2:$A$1001,"&gt;="&amp;(A499-설정!$B$2)),2)))</f>
        <v/>
      </c>
      <c r="L499" s="18" t="str">
        <f aca="false">IF(K499="","",ROUND(SQRT(MAX(0,(SUMIFS($R$2:$R$1001,$B$2:$B$1001,B499,$A$2:$A$1001,"&lt;"&amp;A499,$A$2:$A$1001,"&gt;="&amp;(A499-설정!$B$2))-M499*AVERAGEIFS($J$2:$J$1001,$B$2:$B$1001,B499,$A$2:$A$1001,"&lt;"&amp;A499,$A$2:$A$1001,"&gt;="&amp;(A499-설정!$B$2))^2)/(M499-1))),2))</f>
        <v/>
      </c>
      <c r="M499" s="18" t="str">
        <f aca="false">IF(J499="","",COUNTIFS($B$2:$B$1001,B499,$A$2:$A$1001,"&lt;"&amp;A499,$A$2:$A$1001,"&gt;="&amp;(A499-설정!$B$2),$J$2:$J$1001,"&gt;=0"))</f>
        <v/>
      </c>
      <c r="N499" s="18" t="str">
        <f aca="false">IF(K499="","",IF(L499=0,"",ROUND((J499-K499)/L499,2)))</f>
        <v/>
      </c>
      <c r="O499" s="19" t="str">
        <f aca="false">IF(J499="","",IF(MIN(F499,G499)&lt;=설정!$B$5,"예",""))</f>
        <v/>
      </c>
      <c r="P499" s="19" t="str">
        <f aca="false">IF(J499="","",IF(M499&lt;설정!$B$3,"baseline 수집 중",IF(N499="","정상",IF(N499&lt;=설정!$B$4,"낮음","정상"))))</f>
        <v/>
      </c>
      <c r="Q499" s="20"/>
      <c r="R499" s="18" t="str">
        <f aca="false">IF(J499="","",J499^2)</f>
        <v/>
      </c>
    </row>
    <row r="500" customFormat="false" ht="15" hidden="false" customHeight="false" outlineLevel="0" collapsed="false">
      <c r="A500" s="16"/>
      <c r="B500" s="17"/>
      <c r="C500" s="17"/>
      <c r="D500" s="17"/>
      <c r="E500" s="17"/>
      <c r="F500" s="17"/>
      <c r="G500" s="17"/>
      <c r="H500" s="17"/>
      <c r="I500" s="17"/>
      <c r="J500" s="18" t="str">
        <f aca="false">IF(COUNT(E500:I500)&lt;5,"",SUM(E500:I500))</f>
        <v/>
      </c>
      <c r="K500" s="18" t="str">
        <f aca="false">IF(J500="","",IF(M500&lt;설정!$B$3,"",ROUND(AVERAGEIFS($J$2:$J$1001,$B$2:$B$1001,B500,$A$2:$A$1001,"&lt;"&amp;A500,$A$2:$A$1001,"&gt;="&amp;(A500-설정!$B$2)),2)))</f>
        <v/>
      </c>
      <c r="L500" s="18" t="str">
        <f aca="false">IF(K500="","",ROUND(SQRT(MAX(0,(SUMIFS($R$2:$R$1001,$B$2:$B$1001,B500,$A$2:$A$1001,"&lt;"&amp;A500,$A$2:$A$1001,"&gt;="&amp;(A500-설정!$B$2))-M500*AVERAGEIFS($J$2:$J$1001,$B$2:$B$1001,B500,$A$2:$A$1001,"&lt;"&amp;A500,$A$2:$A$1001,"&gt;="&amp;(A500-설정!$B$2))^2)/(M500-1))),2))</f>
        <v/>
      </c>
      <c r="M500" s="18" t="str">
        <f aca="false">IF(J500="","",COUNTIFS($B$2:$B$1001,B500,$A$2:$A$1001,"&lt;"&amp;A500,$A$2:$A$1001,"&gt;="&amp;(A500-설정!$B$2),$J$2:$J$1001,"&gt;=0"))</f>
        <v/>
      </c>
      <c r="N500" s="18" t="str">
        <f aca="false">IF(K500="","",IF(L500=0,"",ROUND((J500-K500)/L500,2)))</f>
        <v/>
      </c>
      <c r="O500" s="19" t="str">
        <f aca="false">IF(J500="","",IF(MIN(F500,G500)&lt;=설정!$B$5,"예",""))</f>
        <v/>
      </c>
      <c r="P500" s="19" t="str">
        <f aca="false">IF(J500="","",IF(M500&lt;설정!$B$3,"baseline 수집 중",IF(N500="","정상",IF(N500&lt;=설정!$B$4,"낮음","정상"))))</f>
        <v/>
      </c>
      <c r="Q500" s="20"/>
      <c r="R500" s="18" t="str">
        <f aca="false">IF(J500="","",J500^2)</f>
        <v/>
      </c>
    </row>
    <row r="501" customFormat="false" ht="15" hidden="false" customHeight="false" outlineLevel="0" collapsed="false">
      <c r="A501" s="16"/>
      <c r="B501" s="17"/>
      <c r="C501" s="17"/>
      <c r="D501" s="17"/>
      <c r="E501" s="17"/>
      <c r="F501" s="17"/>
      <c r="G501" s="17"/>
      <c r="H501" s="17"/>
      <c r="I501" s="17"/>
      <c r="J501" s="18" t="str">
        <f aca="false">IF(COUNT(E501:I501)&lt;5,"",SUM(E501:I501))</f>
        <v/>
      </c>
      <c r="K501" s="18" t="str">
        <f aca="false">IF(J501="","",IF(M501&lt;설정!$B$3,"",ROUND(AVERAGEIFS($J$2:$J$1001,$B$2:$B$1001,B501,$A$2:$A$1001,"&lt;"&amp;A501,$A$2:$A$1001,"&gt;="&amp;(A501-설정!$B$2)),2)))</f>
        <v/>
      </c>
      <c r="L501" s="18" t="str">
        <f aca="false">IF(K501="","",ROUND(SQRT(MAX(0,(SUMIFS($R$2:$R$1001,$B$2:$B$1001,B501,$A$2:$A$1001,"&lt;"&amp;A501,$A$2:$A$1001,"&gt;="&amp;(A501-설정!$B$2))-M501*AVERAGEIFS($J$2:$J$1001,$B$2:$B$1001,B501,$A$2:$A$1001,"&lt;"&amp;A501,$A$2:$A$1001,"&gt;="&amp;(A501-설정!$B$2))^2)/(M501-1))),2))</f>
        <v/>
      </c>
      <c r="M501" s="18" t="str">
        <f aca="false">IF(J501="","",COUNTIFS($B$2:$B$1001,B501,$A$2:$A$1001,"&lt;"&amp;A501,$A$2:$A$1001,"&gt;="&amp;(A501-설정!$B$2),$J$2:$J$1001,"&gt;=0"))</f>
        <v/>
      </c>
      <c r="N501" s="18" t="str">
        <f aca="false">IF(K501="","",IF(L501=0,"",ROUND((J501-K501)/L501,2)))</f>
        <v/>
      </c>
      <c r="O501" s="19" t="str">
        <f aca="false">IF(J501="","",IF(MIN(F501,G501)&lt;=설정!$B$5,"예",""))</f>
        <v/>
      </c>
      <c r="P501" s="19" t="str">
        <f aca="false">IF(J501="","",IF(M501&lt;설정!$B$3,"baseline 수집 중",IF(N501="","정상",IF(N501&lt;=설정!$B$4,"낮음","정상"))))</f>
        <v/>
      </c>
      <c r="Q501" s="20"/>
      <c r="R501" s="18" t="str">
        <f aca="false">IF(J501="","",J501^2)</f>
        <v/>
      </c>
    </row>
    <row r="502" customFormat="false" ht="15" hidden="false" customHeight="false" outlineLevel="0" collapsed="false">
      <c r="A502" s="16"/>
      <c r="B502" s="17"/>
      <c r="C502" s="17"/>
      <c r="D502" s="17"/>
      <c r="E502" s="17"/>
      <c r="F502" s="17"/>
      <c r="G502" s="17"/>
      <c r="H502" s="17"/>
      <c r="I502" s="17"/>
      <c r="J502" s="18" t="str">
        <f aca="false">IF(COUNT(E502:I502)&lt;5,"",SUM(E502:I502))</f>
        <v/>
      </c>
      <c r="K502" s="18" t="str">
        <f aca="false">IF(J502="","",IF(M502&lt;설정!$B$3,"",ROUND(AVERAGEIFS($J$2:$J$1001,$B$2:$B$1001,B502,$A$2:$A$1001,"&lt;"&amp;A502,$A$2:$A$1001,"&gt;="&amp;(A502-설정!$B$2)),2)))</f>
        <v/>
      </c>
      <c r="L502" s="18" t="str">
        <f aca="false">IF(K502="","",ROUND(SQRT(MAX(0,(SUMIFS($R$2:$R$1001,$B$2:$B$1001,B502,$A$2:$A$1001,"&lt;"&amp;A502,$A$2:$A$1001,"&gt;="&amp;(A502-설정!$B$2))-M502*AVERAGEIFS($J$2:$J$1001,$B$2:$B$1001,B502,$A$2:$A$1001,"&lt;"&amp;A502,$A$2:$A$1001,"&gt;="&amp;(A502-설정!$B$2))^2)/(M502-1))),2))</f>
        <v/>
      </c>
      <c r="M502" s="18" t="str">
        <f aca="false">IF(J502="","",COUNTIFS($B$2:$B$1001,B502,$A$2:$A$1001,"&lt;"&amp;A502,$A$2:$A$1001,"&gt;="&amp;(A502-설정!$B$2),$J$2:$J$1001,"&gt;=0"))</f>
        <v/>
      </c>
      <c r="N502" s="18" t="str">
        <f aca="false">IF(K502="","",IF(L502=0,"",ROUND((J502-K502)/L502,2)))</f>
        <v/>
      </c>
      <c r="O502" s="19" t="str">
        <f aca="false">IF(J502="","",IF(MIN(F502,G502)&lt;=설정!$B$5,"예",""))</f>
        <v/>
      </c>
      <c r="P502" s="19" t="str">
        <f aca="false">IF(J502="","",IF(M502&lt;설정!$B$3,"baseline 수집 중",IF(N502="","정상",IF(N502&lt;=설정!$B$4,"낮음","정상"))))</f>
        <v/>
      </c>
      <c r="Q502" s="20"/>
      <c r="R502" s="18" t="str">
        <f aca="false">IF(J502="","",J502^2)</f>
        <v/>
      </c>
    </row>
    <row r="503" customFormat="false" ht="15" hidden="false" customHeight="false" outlineLevel="0" collapsed="false">
      <c r="A503" s="16"/>
      <c r="B503" s="17"/>
      <c r="C503" s="17"/>
      <c r="D503" s="17"/>
      <c r="E503" s="17"/>
      <c r="F503" s="17"/>
      <c r="G503" s="17"/>
      <c r="H503" s="17"/>
      <c r="I503" s="17"/>
      <c r="J503" s="18" t="str">
        <f aca="false">IF(COUNT(E503:I503)&lt;5,"",SUM(E503:I503))</f>
        <v/>
      </c>
      <c r="K503" s="18" t="str">
        <f aca="false">IF(J503="","",IF(M503&lt;설정!$B$3,"",ROUND(AVERAGEIFS($J$2:$J$1001,$B$2:$B$1001,B503,$A$2:$A$1001,"&lt;"&amp;A503,$A$2:$A$1001,"&gt;="&amp;(A503-설정!$B$2)),2)))</f>
        <v/>
      </c>
      <c r="L503" s="18" t="str">
        <f aca="false">IF(K503="","",ROUND(SQRT(MAX(0,(SUMIFS($R$2:$R$1001,$B$2:$B$1001,B503,$A$2:$A$1001,"&lt;"&amp;A503,$A$2:$A$1001,"&gt;="&amp;(A503-설정!$B$2))-M503*AVERAGEIFS($J$2:$J$1001,$B$2:$B$1001,B503,$A$2:$A$1001,"&lt;"&amp;A503,$A$2:$A$1001,"&gt;="&amp;(A503-설정!$B$2))^2)/(M503-1))),2))</f>
        <v/>
      </c>
      <c r="M503" s="18" t="str">
        <f aca="false">IF(J503="","",COUNTIFS($B$2:$B$1001,B503,$A$2:$A$1001,"&lt;"&amp;A503,$A$2:$A$1001,"&gt;="&amp;(A503-설정!$B$2),$J$2:$J$1001,"&gt;=0"))</f>
        <v/>
      </c>
      <c r="N503" s="18" t="str">
        <f aca="false">IF(K503="","",IF(L503=0,"",ROUND((J503-K503)/L503,2)))</f>
        <v/>
      </c>
      <c r="O503" s="19" t="str">
        <f aca="false">IF(J503="","",IF(MIN(F503,G503)&lt;=설정!$B$5,"예",""))</f>
        <v/>
      </c>
      <c r="P503" s="19" t="str">
        <f aca="false">IF(J503="","",IF(M503&lt;설정!$B$3,"baseline 수집 중",IF(N503="","정상",IF(N503&lt;=설정!$B$4,"낮음","정상"))))</f>
        <v/>
      </c>
      <c r="Q503" s="20"/>
      <c r="R503" s="18" t="str">
        <f aca="false">IF(J503="","",J503^2)</f>
        <v/>
      </c>
    </row>
    <row r="504" customFormat="false" ht="15" hidden="false" customHeight="false" outlineLevel="0" collapsed="false">
      <c r="A504" s="16"/>
      <c r="B504" s="17"/>
      <c r="C504" s="17"/>
      <c r="D504" s="17"/>
      <c r="E504" s="17"/>
      <c r="F504" s="17"/>
      <c r="G504" s="17"/>
      <c r="H504" s="17"/>
      <c r="I504" s="17"/>
      <c r="J504" s="18" t="str">
        <f aca="false">IF(COUNT(E504:I504)&lt;5,"",SUM(E504:I504))</f>
        <v/>
      </c>
      <c r="K504" s="18" t="str">
        <f aca="false">IF(J504="","",IF(M504&lt;설정!$B$3,"",ROUND(AVERAGEIFS($J$2:$J$1001,$B$2:$B$1001,B504,$A$2:$A$1001,"&lt;"&amp;A504,$A$2:$A$1001,"&gt;="&amp;(A504-설정!$B$2)),2)))</f>
        <v/>
      </c>
      <c r="L504" s="18" t="str">
        <f aca="false">IF(K504="","",ROUND(SQRT(MAX(0,(SUMIFS($R$2:$R$1001,$B$2:$B$1001,B504,$A$2:$A$1001,"&lt;"&amp;A504,$A$2:$A$1001,"&gt;="&amp;(A504-설정!$B$2))-M504*AVERAGEIFS($J$2:$J$1001,$B$2:$B$1001,B504,$A$2:$A$1001,"&lt;"&amp;A504,$A$2:$A$1001,"&gt;="&amp;(A504-설정!$B$2))^2)/(M504-1))),2))</f>
        <v/>
      </c>
      <c r="M504" s="18" t="str">
        <f aca="false">IF(J504="","",COUNTIFS($B$2:$B$1001,B504,$A$2:$A$1001,"&lt;"&amp;A504,$A$2:$A$1001,"&gt;="&amp;(A504-설정!$B$2),$J$2:$J$1001,"&gt;=0"))</f>
        <v/>
      </c>
      <c r="N504" s="18" t="str">
        <f aca="false">IF(K504="","",IF(L504=0,"",ROUND((J504-K504)/L504,2)))</f>
        <v/>
      </c>
      <c r="O504" s="19" t="str">
        <f aca="false">IF(J504="","",IF(MIN(F504,G504)&lt;=설정!$B$5,"예",""))</f>
        <v/>
      </c>
      <c r="P504" s="19" t="str">
        <f aca="false">IF(J504="","",IF(M504&lt;설정!$B$3,"baseline 수집 중",IF(N504="","정상",IF(N504&lt;=설정!$B$4,"낮음","정상"))))</f>
        <v/>
      </c>
      <c r="Q504" s="20"/>
      <c r="R504" s="18" t="str">
        <f aca="false">IF(J504="","",J504^2)</f>
        <v/>
      </c>
    </row>
    <row r="505" customFormat="false" ht="15" hidden="false" customHeight="false" outlineLevel="0" collapsed="false">
      <c r="A505" s="16"/>
      <c r="B505" s="17"/>
      <c r="C505" s="17"/>
      <c r="D505" s="17"/>
      <c r="E505" s="17"/>
      <c r="F505" s="17"/>
      <c r="G505" s="17"/>
      <c r="H505" s="17"/>
      <c r="I505" s="17"/>
      <c r="J505" s="18" t="str">
        <f aca="false">IF(COUNT(E505:I505)&lt;5,"",SUM(E505:I505))</f>
        <v/>
      </c>
      <c r="K505" s="18" t="str">
        <f aca="false">IF(J505="","",IF(M505&lt;설정!$B$3,"",ROUND(AVERAGEIFS($J$2:$J$1001,$B$2:$B$1001,B505,$A$2:$A$1001,"&lt;"&amp;A505,$A$2:$A$1001,"&gt;="&amp;(A505-설정!$B$2)),2)))</f>
        <v/>
      </c>
      <c r="L505" s="18" t="str">
        <f aca="false">IF(K505="","",ROUND(SQRT(MAX(0,(SUMIFS($R$2:$R$1001,$B$2:$B$1001,B505,$A$2:$A$1001,"&lt;"&amp;A505,$A$2:$A$1001,"&gt;="&amp;(A505-설정!$B$2))-M505*AVERAGEIFS($J$2:$J$1001,$B$2:$B$1001,B505,$A$2:$A$1001,"&lt;"&amp;A505,$A$2:$A$1001,"&gt;="&amp;(A505-설정!$B$2))^2)/(M505-1))),2))</f>
        <v/>
      </c>
      <c r="M505" s="18" t="str">
        <f aca="false">IF(J505="","",COUNTIFS($B$2:$B$1001,B505,$A$2:$A$1001,"&lt;"&amp;A505,$A$2:$A$1001,"&gt;="&amp;(A505-설정!$B$2),$J$2:$J$1001,"&gt;=0"))</f>
        <v/>
      </c>
      <c r="N505" s="18" t="str">
        <f aca="false">IF(K505="","",IF(L505=0,"",ROUND((J505-K505)/L505,2)))</f>
        <v/>
      </c>
      <c r="O505" s="19" t="str">
        <f aca="false">IF(J505="","",IF(MIN(F505,G505)&lt;=설정!$B$5,"예",""))</f>
        <v/>
      </c>
      <c r="P505" s="19" t="str">
        <f aca="false">IF(J505="","",IF(M505&lt;설정!$B$3,"baseline 수집 중",IF(N505="","정상",IF(N505&lt;=설정!$B$4,"낮음","정상"))))</f>
        <v/>
      </c>
      <c r="Q505" s="20"/>
      <c r="R505" s="18" t="str">
        <f aca="false">IF(J505="","",J505^2)</f>
        <v/>
      </c>
    </row>
    <row r="506" customFormat="false" ht="15" hidden="false" customHeight="false" outlineLevel="0" collapsed="false">
      <c r="A506" s="16"/>
      <c r="B506" s="17"/>
      <c r="C506" s="17"/>
      <c r="D506" s="17"/>
      <c r="E506" s="17"/>
      <c r="F506" s="17"/>
      <c r="G506" s="17"/>
      <c r="H506" s="17"/>
      <c r="I506" s="17"/>
      <c r="J506" s="18" t="str">
        <f aca="false">IF(COUNT(E506:I506)&lt;5,"",SUM(E506:I506))</f>
        <v/>
      </c>
      <c r="K506" s="18" t="str">
        <f aca="false">IF(J506="","",IF(M506&lt;설정!$B$3,"",ROUND(AVERAGEIFS($J$2:$J$1001,$B$2:$B$1001,B506,$A$2:$A$1001,"&lt;"&amp;A506,$A$2:$A$1001,"&gt;="&amp;(A506-설정!$B$2)),2)))</f>
        <v/>
      </c>
      <c r="L506" s="18" t="str">
        <f aca="false">IF(K506="","",ROUND(SQRT(MAX(0,(SUMIFS($R$2:$R$1001,$B$2:$B$1001,B506,$A$2:$A$1001,"&lt;"&amp;A506,$A$2:$A$1001,"&gt;="&amp;(A506-설정!$B$2))-M506*AVERAGEIFS($J$2:$J$1001,$B$2:$B$1001,B506,$A$2:$A$1001,"&lt;"&amp;A506,$A$2:$A$1001,"&gt;="&amp;(A506-설정!$B$2))^2)/(M506-1))),2))</f>
        <v/>
      </c>
      <c r="M506" s="18" t="str">
        <f aca="false">IF(J506="","",COUNTIFS($B$2:$B$1001,B506,$A$2:$A$1001,"&lt;"&amp;A506,$A$2:$A$1001,"&gt;="&amp;(A506-설정!$B$2),$J$2:$J$1001,"&gt;=0"))</f>
        <v/>
      </c>
      <c r="N506" s="18" t="str">
        <f aca="false">IF(K506="","",IF(L506=0,"",ROUND((J506-K506)/L506,2)))</f>
        <v/>
      </c>
      <c r="O506" s="19" t="str">
        <f aca="false">IF(J506="","",IF(MIN(F506,G506)&lt;=설정!$B$5,"예",""))</f>
        <v/>
      </c>
      <c r="P506" s="19" t="str">
        <f aca="false">IF(J506="","",IF(M506&lt;설정!$B$3,"baseline 수집 중",IF(N506="","정상",IF(N506&lt;=설정!$B$4,"낮음","정상"))))</f>
        <v/>
      </c>
      <c r="Q506" s="20"/>
      <c r="R506" s="18" t="str">
        <f aca="false">IF(J506="","",J506^2)</f>
        <v/>
      </c>
    </row>
    <row r="507" customFormat="false" ht="15" hidden="false" customHeight="false" outlineLevel="0" collapsed="false">
      <c r="A507" s="16"/>
      <c r="B507" s="17"/>
      <c r="C507" s="17"/>
      <c r="D507" s="17"/>
      <c r="E507" s="17"/>
      <c r="F507" s="17"/>
      <c r="G507" s="17"/>
      <c r="H507" s="17"/>
      <c r="I507" s="17"/>
      <c r="J507" s="18" t="str">
        <f aca="false">IF(COUNT(E507:I507)&lt;5,"",SUM(E507:I507))</f>
        <v/>
      </c>
      <c r="K507" s="18" t="str">
        <f aca="false">IF(J507="","",IF(M507&lt;설정!$B$3,"",ROUND(AVERAGEIFS($J$2:$J$1001,$B$2:$B$1001,B507,$A$2:$A$1001,"&lt;"&amp;A507,$A$2:$A$1001,"&gt;="&amp;(A507-설정!$B$2)),2)))</f>
        <v/>
      </c>
      <c r="L507" s="18" t="str">
        <f aca="false">IF(K507="","",ROUND(SQRT(MAX(0,(SUMIFS($R$2:$R$1001,$B$2:$B$1001,B507,$A$2:$A$1001,"&lt;"&amp;A507,$A$2:$A$1001,"&gt;="&amp;(A507-설정!$B$2))-M507*AVERAGEIFS($J$2:$J$1001,$B$2:$B$1001,B507,$A$2:$A$1001,"&lt;"&amp;A507,$A$2:$A$1001,"&gt;="&amp;(A507-설정!$B$2))^2)/(M507-1))),2))</f>
        <v/>
      </c>
      <c r="M507" s="18" t="str">
        <f aca="false">IF(J507="","",COUNTIFS($B$2:$B$1001,B507,$A$2:$A$1001,"&lt;"&amp;A507,$A$2:$A$1001,"&gt;="&amp;(A507-설정!$B$2),$J$2:$J$1001,"&gt;=0"))</f>
        <v/>
      </c>
      <c r="N507" s="18" t="str">
        <f aca="false">IF(K507="","",IF(L507=0,"",ROUND((J507-K507)/L507,2)))</f>
        <v/>
      </c>
      <c r="O507" s="19" t="str">
        <f aca="false">IF(J507="","",IF(MIN(F507,G507)&lt;=설정!$B$5,"예",""))</f>
        <v/>
      </c>
      <c r="P507" s="19" t="str">
        <f aca="false">IF(J507="","",IF(M507&lt;설정!$B$3,"baseline 수집 중",IF(N507="","정상",IF(N507&lt;=설정!$B$4,"낮음","정상"))))</f>
        <v/>
      </c>
      <c r="Q507" s="20"/>
      <c r="R507" s="18" t="str">
        <f aca="false">IF(J507="","",J507^2)</f>
        <v/>
      </c>
    </row>
    <row r="508" customFormat="false" ht="15" hidden="false" customHeight="false" outlineLevel="0" collapsed="false">
      <c r="A508" s="16"/>
      <c r="B508" s="17"/>
      <c r="C508" s="17"/>
      <c r="D508" s="17"/>
      <c r="E508" s="17"/>
      <c r="F508" s="17"/>
      <c r="G508" s="17"/>
      <c r="H508" s="17"/>
      <c r="I508" s="17"/>
      <c r="J508" s="18" t="str">
        <f aca="false">IF(COUNT(E508:I508)&lt;5,"",SUM(E508:I508))</f>
        <v/>
      </c>
      <c r="K508" s="18" t="str">
        <f aca="false">IF(J508="","",IF(M508&lt;설정!$B$3,"",ROUND(AVERAGEIFS($J$2:$J$1001,$B$2:$B$1001,B508,$A$2:$A$1001,"&lt;"&amp;A508,$A$2:$A$1001,"&gt;="&amp;(A508-설정!$B$2)),2)))</f>
        <v/>
      </c>
      <c r="L508" s="18" t="str">
        <f aca="false">IF(K508="","",ROUND(SQRT(MAX(0,(SUMIFS($R$2:$R$1001,$B$2:$B$1001,B508,$A$2:$A$1001,"&lt;"&amp;A508,$A$2:$A$1001,"&gt;="&amp;(A508-설정!$B$2))-M508*AVERAGEIFS($J$2:$J$1001,$B$2:$B$1001,B508,$A$2:$A$1001,"&lt;"&amp;A508,$A$2:$A$1001,"&gt;="&amp;(A508-설정!$B$2))^2)/(M508-1))),2))</f>
        <v/>
      </c>
      <c r="M508" s="18" t="str">
        <f aca="false">IF(J508="","",COUNTIFS($B$2:$B$1001,B508,$A$2:$A$1001,"&lt;"&amp;A508,$A$2:$A$1001,"&gt;="&amp;(A508-설정!$B$2),$J$2:$J$1001,"&gt;=0"))</f>
        <v/>
      </c>
      <c r="N508" s="18" t="str">
        <f aca="false">IF(K508="","",IF(L508=0,"",ROUND((J508-K508)/L508,2)))</f>
        <v/>
      </c>
      <c r="O508" s="19" t="str">
        <f aca="false">IF(J508="","",IF(MIN(F508,G508)&lt;=설정!$B$5,"예",""))</f>
        <v/>
      </c>
      <c r="P508" s="19" t="str">
        <f aca="false">IF(J508="","",IF(M508&lt;설정!$B$3,"baseline 수집 중",IF(N508="","정상",IF(N508&lt;=설정!$B$4,"낮음","정상"))))</f>
        <v/>
      </c>
      <c r="Q508" s="20"/>
      <c r="R508" s="18" t="str">
        <f aca="false">IF(J508="","",J508^2)</f>
        <v/>
      </c>
    </row>
    <row r="509" customFormat="false" ht="15" hidden="false" customHeight="false" outlineLevel="0" collapsed="false">
      <c r="A509" s="16"/>
      <c r="B509" s="17"/>
      <c r="C509" s="17"/>
      <c r="D509" s="17"/>
      <c r="E509" s="17"/>
      <c r="F509" s="17"/>
      <c r="G509" s="17"/>
      <c r="H509" s="17"/>
      <c r="I509" s="17"/>
      <c r="J509" s="18" t="str">
        <f aca="false">IF(COUNT(E509:I509)&lt;5,"",SUM(E509:I509))</f>
        <v/>
      </c>
      <c r="K509" s="18" t="str">
        <f aca="false">IF(J509="","",IF(M509&lt;설정!$B$3,"",ROUND(AVERAGEIFS($J$2:$J$1001,$B$2:$B$1001,B509,$A$2:$A$1001,"&lt;"&amp;A509,$A$2:$A$1001,"&gt;="&amp;(A509-설정!$B$2)),2)))</f>
        <v/>
      </c>
      <c r="L509" s="18" t="str">
        <f aca="false">IF(K509="","",ROUND(SQRT(MAX(0,(SUMIFS($R$2:$R$1001,$B$2:$B$1001,B509,$A$2:$A$1001,"&lt;"&amp;A509,$A$2:$A$1001,"&gt;="&amp;(A509-설정!$B$2))-M509*AVERAGEIFS($J$2:$J$1001,$B$2:$B$1001,B509,$A$2:$A$1001,"&lt;"&amp;A509,$A$2:$A$1001,"&gt;="&amp;(A509-설정!$B$2))^2)/(M509-1))),2))</f>
        <v/>
      </c>
      <c r="M509" s="18" t="str">
        <f aca="false">IF(J509="","",COUNTIFS($B$2:$B$1001,B509,$A$2:$A$1001,"&lt;"&amp;A509,$A$2:$A$1001,"&gt;="&amp;(A509-설정!$B$2),$J$2:$J$1001,"&gt;=0"))</f>
        <v/>
      </c>
      <c r="N509" s="18" t="str">
        <f aca="false">IF(K509="","",IF(L509=0,"",ROUND((J509-K509)/L509,2)))</f>
        <v/>
      </c>
      <c r="O509" s="19" t="str">
        <f aca="false">IF(J509="","",IF(MIN(F509,G509)&lt;=설정!$B$5,"예",""))</f>
        <v/>
      </c>
      <c r="P509" s="19" t="str">
        <f aca="false">IF(J509="","",IF(M509&lt;설정!$B$3,"baseline 수집 중",IF(N509="","정상",IF(N509&lt;=설정!$B$4,"낮음","정상"))))</f>
        <v/>
      </c>
      <c r="Q509" s="20"/>
      <c r="R509" s="18" t="str">
        <f aca="false">IF(J509="","",J509^2)</f>
        <v/>
      </c>
    </row>
    <row r="510" customFormat="false" ht="15" hidden="false" customHeight="false" outlineLevel="0" collapsed="false">
      <c r="A510" s="16"/>
      <c r="B510" s="17"/>
      <c r="C510" s="17"/>
      <c r="D510" s="17"/>
      <c r="E510" s="17"/>
      <c r="F510" s="17"/>
      <c r="G510" s="17"/>
      <c r="H510" s="17"/>
      <c r="I510" s="17"/>
      <c r="J510" s="18" t="str">
        <f aca="false">IF(COUNT(E510:I510)&lt;5,"",SUM(E510:I510))</f>
        <v/>
      </c>
      <c r="K510" s="18" t="str">
        <f aca="false">IF(J510="","",IF(M510&lt;설정!$B$3,"",ROUND(AVERAGEIFS($J$2:$J$1001,$B$2:$B$1001,B510,$A$2:$A$1001,"&lt;"&amp;A510,$A$2:$A$1001,"&gt;="&amp;(A510-설정!$B$2)),2)))</f>
        <v/>
      </c>
      <c r="L510" s="18" t="str">
        <f aca="false">IF(K510="","",ROUND(SQRT(MAX(0,(SUMIFS($R$2:$R$1001,$B$2:$B$1001,B510,$A$2:$A$1001,"&lt;"&amp;A510,$A$2:$A$1001,"&gt;="&amp;(A510-설정!$B$2))-M510*AVERAGEIFS($J$2:$J$1001,$B$2:$B$1001,B510,$A$2:$A$1001,"&lt;"&amp;A510,$A$2:$A$1001,"&gt;="&amp;(A510-설정!$B$2))^2)/(M510-1))),2))</f>
        <v/>
      </c>
      <c r="M510" s="18" t="str">
        <f aca="false">IF(J510="","",COUNTIFS($B$2:$B$1001,B510,$A$2:$A$1001,"&lt;"&amp;A510,$A$2:$A$1001,"&gt;="&amp;(A510-설정!$B$2),$J$2:$J$1001,"&gt;=0"))</f>
        <v/>
      </c>
      <c r="N510" s="18" t="str">
        <f aca="false">IF(K510="","",IF(L510=0,"",ROUND((J510-K510)/L510,2)))</f>
        <v/>
      </c>
      <c r="O510" s="19" t="str">
        <f aca="false">IF(J510="","",IF(MIN(F510,G510)&lt;=설정!$B$5,"예",""))</f>
        <v/>
      </c>
      <c r="P510" s="19" t="str">
        <f aca="false">IF(J510="","",IF(M510&lt;설정!$B$3,"baseline 수집 중",IF(N510="","정상",IF(N510&lt;=설정!$B$4,"낮음","정상"))))</f>
        <v/>
      </c>
      <c r="Q510" s="20"/>
      <c r="R510" s="18" t="str">
        <f aca="false">IF(J510="","",J510^2)</f>
        <v/>
      </c>
    </row>
    <row r="511" customFormat="false" ht="15" hidden="false" customHeight="false" outlineLevel="0" collapsed="false">
      <c r="A511" s="16"/>
      <c r="B511" s="17"/>
      <c r="C511" s="17"/>
      <c r="D511" s="17"/>
      <c r="E511" s="17"/>
      <c r="F511" s="17"/>
      <c r="G511" s="17"/>
      <c r="H511" s="17"/>
      <c r="I511" s="17"/>
      <c r="J511" s="18" t="str">
        <f aca="false">IF(COUNT(E511:I511)&lt;5,"",SUM(E511:I511))</f>
        <v/>
      </c>
      <c r="K511" s="18" t="str">
        <f aca="false">IF(J511="","",IF(M511&lt;설정!$B$3,"",ROUND(AVERAGEIFS($J$2:$J$1001,$B$2:$B$1001,B511,$A$2:$A$1001,"&lt;"&amp;A511,$A$2:$A$1001,"&gt;="&amp;(A511-설정!$B$2)),2)))</f>
        <v/>
      </c>
      <c r="L511" s="18" t="str">
        <f aca="false">IF(K511="","",ROUND(SQRT(MAX(0,(SUMIFS($R$2:$R$1001,$B$2:$B$1001,B511,$A$2:$A$1001,"&lt;"&amp;A511,$A$2:$A$1001,"&gt;="&amp;(A511-설정!$B$2))-M511*AVERAGEIFS($J$2:$J$1001,$B$2:$B$1001,B511,$A$2:$A$1001,"&lt;"&amp;A511,$A$2:$A$1001,"&gt;="&amp;(A511-설정!$B$2))^2)/(M511-1))),2))</f>
        <v/>
      </c>
      <c r="M511" s="18" t="str">
        <f aca="false">IF(J511="","",COUNTIFS($B$2:$B$1001,B511,$A$2:$A$1001,"&lt;"&amp;A511,$A$2:$A$1001,"&gt;="&amp;(A511-설정!$B$2),$J$2:$J$1001,"&gt;=0"))</f>
        <v/>
      </c>
      <c r="N511" s="18" t="str">
        <f aca="false">IF(K511="","",IF(L511=0,"",ROUND((J511-K511)/L511,2)))</f>
        <v/>
      </c>
      <c r="O511" s="19" t="str">
        <f aca="false">IF(J511="","",IF(MIN(F511,G511)&lt;=설정!$B$5,"예",""))</f>
        <v/>
      </c>
      <c r="P511" s="19" t="str">
        <f aca="false">IF(J511="","",IF(M511&lt;설정!$B$3,"baseline 수집 중",IF(N511="","정상",IF(N511&lt;=설정!$B$4,"낮음","정상"))))</f>
        <v/>
      </c>
      <c r="Q511" s="20"/>
      <c r="R511" s="18" t="str">
        <f aca="false">IF(J511="","",J511^2)</f>
        <v/>
      </c>
    </row>
    <row r="512" customFormat="false" ht="15" hidden="false" customHeight="false" outlineLevel="0" collapsed="false">
      <c r="A512" s="16"/>
      <c r="B512" s="17"/>
      <c r="C512" s="17"/>
      <c r="D512" s="17"/>
      <c r="E512" s="17"/>
      <c r="F512" s="17"/>
      <c r="G512" s="17"/>
      <c r="H512" s="17"/>
      <c r="I512" s="17"/>
      <c r="J512" s="18" t="str">
        <f aca="false">IF(COUNT(E512:I512)&lt;5,"",SUM(E512:I512))</f>
        <v/>
      </c>
      <c r="K512" s="18" t="str">
        <f aca="false">IF(J512="","",IF(M512&lt;설정!$B$3,"",ROUND(AVERAGEIFS($J$2:$J$1001,$B$2:$B$1001,B512,$A$2:$A$1001,"&lt;"&amp;A512,$A$2:$A$1001,"&gt;="&amp;(A512-설정!$B$2)),2)))</f>
        <v/>
      </c>
      <c r="L512" s="18" t="str">
        <f aca="false">IF(K512="","",ROUND(SQRT(MAX(0,(SUMIFS($R$2:$R$1001,$B$2:$B$1001,B512,$A$2:$A$1001,"&lt;"&amp;A512,$A$2:$A$1001,"&gt;="&amp;(A512-설정!$B$2))-M512*AVERAGEIFS($J$2:$J$1001,$B$2:$B$1001,B512,$A$2:$A$1001,"&lt;"&amp;A512,$A$2:$A$1001,"&gt;="&amp;(A512-설정!$B$2))^2)/(M512-1))),2))</f>
        <v/>
      </c>
      <c r="M512" s="18" t="str">
        <f aca="false">IF(J512="","",COUNTIFS($B$2:$B$1001,B512,$A$2:$A$1001,"&lt;"&amp;A512,$A$2:$A$1001,"&gt;="&amp;(A512-설정!$B$2),$J$2:$J$1001,"&gt;=0"))</f>
        <v/>
      </c>
      <c r="N512" s="18" t="str">
        <f aca="false">IF(K512="","",IF(L512=0,"",ROUND((J512-K512)/L512,2)))</f>
        <v/>
      </c>
      <c r="O512" s="19" t="str">
        <f aca="false">IF(J512="","",IF(MIN(F512,G512)&lt;=설정!$B$5,"예",""))</f>
        <v/>
      </c>
      <c r="P512" s="19" t="str">
        <f aca="false">IF(J512="","",IF(M512&lt;설정!$B$3,"baseline 수집 중",IF(N512="","정상",IF(N512&lt;=설정!$B$4,"낮음","정상"))))</f>
        <v/>
      </c>
      <c r="Q512" s="20"/>
      <c r="R512" s="18" t="str">
        <f aca="false">IF(J512="","",J512^2)</f>
        <v/>
      </c>
    </row>
    <row r="513" customFormat="false" ht="15" hidden="false" customHeight="false" outlineLevel="0" collapsed="false">
      <c r="A513" s="16"/>
      <c r="B513" s="17"/>
      <c r="C513" s="17"/>
      <c r="D513" s="17"/>
      <c r="E513" s="17"/>
      <c r="F513" s="17"/>
      <c r="G513" s="17"/>
      <c r="H513" s="17"/>
      <c r="I513" s="17"/>
      <c r="J513" s="18" t="str">
        <f aca="false">IF(COUNT(E513:I513)&lt;5,"",SUM(E513:I513))</f>
        <v/>
      </c>
      <c r="K513" s="18" t="str">
        <f aca="false">IF(J513="","",IF(M513&lt;설정!$B$3,"",ROUND(AVERAGEIFS($J$2:$J$1001,$B$2:$B$1001,B513,$A$2:$A$1001,"&lt;"&amp;A513,$A$2:$A$1001,"&gt;="&amp;(A513-설정!$B$2)),2)))</f>
        <v/>
      </c>
      <c r="L513" s="18" t="str">
        <f aca="false">IF(K513="","",ROUND(SQRT(MAX(0,(SUMIFS($R$2:$R$1001,$B$2:$B$1001,B513,$A$2:$A$1001,"&lt;"&amp;A513,$A$2:$A$1001,"&gt;="&amp;(A513-설정!$B$2))-M513*AVERAGEIFS($J$2:$J$1001,$B$2:$B$1001,B513,$A$2:$A$1001,"&lt;"&amp;A513,$A$2:$A$1001,"&gt;="&amp;(A513-설정!$B$2))^2)/(M513-1))),2))</f>
        <v/>
      </c>
      <c r="M513" s="18" t="str">
        <f aca="false">IF(J513="","",COUNTIFS($B$2:$B$1001,B513,$A$2:$A$1001,"&lt;"&amp;A513,$A$2:$A$1001,"&gt;="&amp;(A513-설정!$B$2),$J$2:$J$1001,"&gt;=0"))</f>
        <v/>
      </c>
      <c r="N513" s="18" t="str">
        <f aca="false">IF(K513="","",IF(L513=0,"",ROUND((J513-K513)/L513,2)))</f>
        <v/>
      </c>
      <c r="O513" s="19" t="str">
        <f aca="false">IF(J513="","",IF(MIN(F513,G513)&lt;=설정!$B$5,"예",""))</f>
        <v/>
      </c>
      <c r="P513" s="19" t="str">
        <f aca="false">IF(J513="","",IF(M513&lt;설정!$B$3,"baseline 수집 중",IF(N513="","정상",IF(N513&lt;=설정!$B$4,"낮음","정상"))))</f>
        <v/>
      </c>
      <c r="Q513" s="20"/>
      <c r="R513" s="18" t="str">
        <f aca="false">IF(J513="","",J513^2)</f>
        <v/>
      </c>
    </row>
    <row r="514" customFormat="false" ht="15" hidden="false" customHeight="false" outlineLevel="0" collapsed="false">
      <c r="A514" s="16"/>
      <c r="B514" s="17"/>
      <c r="C514" s="17"/>
      <c r="D514" s="17"/>
      <c r="E514" s="17"/>
      <c r="F514" s="17"/>
      <c r="G514" s="17"/>
      <c r="H514" s="17"/>
      <c r="I514" s="17"/>
      <c r="J514" s="18" t="str">
        <f aca="false">IF(COUNT(E514:I514)&lt;5,"",SUM(E514:I514))</f>
        <v/>
      </c>
      <c r="K514" s="18" t="str">
        <f aca="false">IF(J514="","",IF(M514&lt;설정!$B$3,"",ROUND(AVERAGEIFS($J$2:$J$1001,$B$2:$B$1001,B514,$A$2:$A$1001,"&lt;"&amp;A514,$A$2:$A$1001,"&gt;="&amp;(A514-설정!$B$2)),2)))</f>
        <v/>
      </c>
      <c r="L514" s="18" t="str">
        <f aca="false">IF(K514="","",ROUND(SQRT(MAX(0,(SUMIFS($R$2:$R$1001,$B$2:$B$1001,B514,$A$2:$A$1001,"&lt;"&amp;A514,$A$2:$A$1001,"&gt;="&amp;(A514-설정!$B$2))-M514*AVERAGEIFS($J$2:$J$1001,$B$2:$B$1001,B514,$A$2:$A$1001,"&lt;"&amp;A514,$A$2:$A$1001,"&gt;="&amp;(A514-설정!$B$2))^2)/(M514-1))),2))</f>
        <v/>
      </c>
      <c r="M514" s="18" t="str">
        <f aca="false">IF(J514="","",COUNTIFS($B$2:$B$1001,B514,$A$2:$A$1001,"&lt;"&amp;A514,$A$2:$A$1001,"&gt;="&amp;(A514-설정!$B$2),$J$2:$J$1001,"&gt;=0"))</f>
        <v/>
      </c>
      <c r="N514" s="18" t="str">
        <f aca="false">IF(K514="","",IF(L514=0,"",ROUND((J514-K514)/L514,2)))</f>
        <v/>
      </c>
      <c r="O514" s="19" t="str">
        <f aca="false">IF(J514="","",IF(MIN(F514,G514)&lt;=설정!$B$5,"예",""))</f>
        <v/>
      </c>
      <c r="P514" s="19" t="str">
        <f aca="false">IF(J514="","",IF(M514&lt;설정!$B$3,"baseline 수집 중",IF(N514="","정상",IF(N514&lt;=설정!$B$4,"낮음","정상"))))</f>
        <v/>
      </c>
      <c r="Q514" s="20"/>
      <c r="R514" s="18" t="str">
        <f aca="false">IF(J514="","",J514^2)</f>
        <v/>
      </c>
    </row>
    <row r="515" customFormat="false" ht="15" hidden="false" customHeight="false" outlineLevel="0" collapsed="false">
      <c r="A515" s="16"/>
      <c r="B515" s="17"/>
      <c r="C515" s="17"/>
      <c r="D515" s="17"/>
      <c r="E515" s="17"/>
      <c r="F515" s="17"/>
      <c r="G515" s="17"/>
      <c r="H515" s="17"/>
      <c r="I515" s="17"/>
      <c r="J515" s="18" t="str">
        <f aca="false">IF(COUNT(E515:I515)&lt;5,"",SUM(E515:I515))</f>
        <v/>
      </c>
      <c r="K515" s="18" t="str">
        <f aca="false">IF(J515="","",IF(M515&lt;설정!$B$3,"",ROUND(AVERAGEIFS($J$2:$J$1001,$B$2:$B$1001,B515,$A$2:$A$1001,"&lt;"&amp;A515,$A$2:$A$1001,"&gt;="&amp;(A515-설정!$B$2)),2)))</f>
        <v/>
      </c>
      <c r="L515" s="18" t="str">
        <f aca="false">IF(K515="","",ROUND(SQRT(MAX(0,(SUMIFS($R$2:$R$1001,$B$2:$B$1001,B515,$A$2:$A$1001,"&lt;"&amp;A515,$A$2:$A$1001,"&gt;="&amp;(A515-설정!$B$2))-M515*AVERAGEIFS($J$2:$J$1001,$B$2:$B$1001,B515,$A$2:$A$1001,"&lt;"&amp;A515,$A$2:$A$1001,"&gt;="&amp;(A515-설정!$B$2))^2)/(M515-1))),2))</f>
        <v/>
      </c>
      <c r="M515" s="18" t="str">
        <f aca="false">IF(J515="","",COUNTIFS($B$2:$B$1001,B515,$A$2:$A$1001,"&lt;"&amp;A515,$A$2:$A$1001,"&gt;="&amp;(A515-설정!$B$2),$J$2:$J$1001,"&gt;=0"))</f>
        <v/>
      </c>
      <c r="N515" s="18" t="str">
        <f aca="false">IF(K515="","",IF(L515=0,"",ROUND((J515-K515)/L515,2)))</f>
        <v/>
      </c>
      <c r="O515" s="19" t="str">
        <f aca="false">IF(J515="","",IF(MIN(F515,G515)&lt;=설정!$B$5,"예",""))</f>
        <v/>
      </c>
      <c r="P515" s="19" t="str">
        <f aca="false">IF(J515="","",IF(M515&lt;설정!$B$3,"baseline 수집 중",IF(N515="","정상",IF(N515&lt;=설정!$B$4,"낮음","정상"))))</f>
        <v/>
      </c>
      <c r="Q515" s="20"/>
      <c r="R515" s="18" t="str">
        <f aca="false">IF(J515="","",J515^2)</f>
        <v/>
      </c>
    </row>
    <row r="516" customFormat="false" ht="15" hidden="false" customHeight="false" outlineLevel="0" collapsed="false">
      <c r="A516" s="16"/>
      <c r="B516" s="17"/>
      <c r="C516" s="17"/>
      <c r="D516" s="17"/>
      <c r="E516" s="17"/>
      <c r="F516" s="17"/>
      <c r="G516" s="17"/>
      <c r="H516" s="17"/>
      <c r="I516" s="17"/>
      <c r="J516" s="18" t="str">
        <f aca="false">IF(COUNT(E516:I516)&lt;5,"",SUM(E516:I516))</f>
        <v/>
      </c>
      <c r="K516" s="18" t="str">
        <f aca="false">IF(J516="","",IF(M516&lt;설정!$B$3,"",ROUND(AVERAGEIFS($J$2:$J$1001,$B$2:$B$1001,B516,$A$2:$A$1001,"&lt;"&amp;A516,$A$2:$A$1001,"&gt;="&amp;(A516-설정!$B$2)),2)))</f>
        <v/>
      </c>
      <c r="L516" s="18" t="str">
        <f aca="false">IF(K516="","",ROUND(SQRT(MAX(0,(SUMIFS($R$2:$R$1001,$B$2:$B$1001,B516,$A$2:$A$1001,"&lt;"&amp;A516,$A$2:$A$1001,"&gt;="&amp;(A516-설정!$B$2))-M516*AVERAGEIFS($J$2:$J$1001,$B$2:$B$1001,B516,$A$2:$A$1001,"&lt;"&amp;A516,$A$2:$A$1001,"&gt;="&amp;(A516-설정!$B$2))^2)/(M516-1))),2))</f>
        <v/>
      </c>
      <c r="M516" s="18" t="str">
        <f aca="false">IF(J516="","",COUNTIFS($B$2:$B$1001,B516,$A$2:$A$1001,"&lt;"&amp;A516,$A$2:$A$1001,"&gt;="&amp;(A516-설정!$B$2),$J$2:$J$1001,"&gt;=0"))</f>
        <v/>
      </c>
      <c r="N516" s="18" t="str">
        <f aca="false">IF(K516="","",IF(L516=0,"",ROUND((J516-K516)/L516,2)))</f>
        <v/>
      </c>
      <c r="O516" s="19" t="str">
        <f aca="false">IF(J516="","",IF(MIN(F516,G516)&lt;=설정!$B$5,"예",""))</f>
        <v/>
      </c>
      <c r="P516" s="19" t="str">
        <f aca="false">IF(J516="","",IF(M516&lt;설정!$B$3,"baseline 수집 중",IF(N516="","정상",IF(N516&lt;=설정!$B$4,"낮음","정상"))))</f>
        <v/>
      </c>
      <c r="Q516" s="20"/>
      <c r="R516" s="18" t="str">
        <f aca="false">IF(J516="","",J516^2)</f>
        <v/>
      </c>
    </row>
    <row r="517" customFormat="false" ht="15" hidden="false" customHeight="false" outlineLevel="0" collapsed="false">
      <c r="A517" s="16"/>
      <c r="B517" s="17"/>
      <c r="C517" s="17"/>
      <c r="D517" s="17"/>
      <c r="E517" s="17"/>
      <c r="F517" s="17"/>
      <c r="G517" s="17"/>
      <c r="H517" s="17"/>
      <c r="I517" s="17"/>
      <c r="J517" s="18" t="str">
        <f aca="false">IF(COUNT(E517:I517)&lt;5,"",SUM(E517:I517))</f>
        <v/>
      </c>
      <c r="K517" s="18" t="str">
        <f aca="false">IF(J517="","",IF(M517&lt;설정!$B$3,"",ROUND(AVERAGEIFS($J$2:$J$1001,$B$2:$B$1001,B517,$A$2:$A$1001,"&lt;"&amp;A517,$A$2:$A$1001,"&gt;="&amp;(A517-설정!$B$2)),2)))</f>
        <v/>
      </c>
      <c r="L517" s="18" t="str">
        <f aca="false">IF(K517="","",ROUND(SQRT(MAX(0,(SUMIFS($R$2:$R$1001,$B$2:$B$1001,B517,$A$2:$A$1001,"&lt;"&amp;A517,$A$2:$A$1001,"&gt;="&amp;(A517-설정!$B$2))-M517*AVERAGEIFS($J$2:$J$1001,$B$2:$B$1001,B517,$A$2:$A$1001,"&lt;"&amp;A517,$A$2:$A$1001,"&gt;="&amp;(A517-설정!$B$2))^2)/(M517-1))),2))</f>
        <v/>
      </c>
      <c r="M517" s="18" t="str">
        <f aca="false">IF(J517="","",COUNTIFS($B$2:$B$1001,B517,$A$2:$A$1001,"&lt;"&amp;A517,$A$2:$A$1001,"&gt;="&amp;(A517-설정!$B$2),$J$2:$J$1001,"&gt;=0"))</f>
        <v/>
      </c>
      <c r="N517" s="18" t="str">
        <f aca="false">IF(K517="","",IF(L517=0,"",ROUND((J517-K517)/L517,2)))</f>
        <v/>
      </c>
      <c r="O517" s="19" t="str">
        <f aca="false">IF(J517="","",IF(MIN(F517,G517)&lt;=설정!$B$5,"예",""))</f>
        <v/>
      </c>
      <c r="P517" s="19" t="str">
        <f aca="false">IF(J517="","",IF(M517&lt;설정!$B$3,"baseline 수집 중",IF(N517="","정상",IF(N517&lt;=설정!$B$4,"낮음","정상"))))</f>
        <v/>
      </c>
      <c r="Q517" s="20"/>
      <c r="R517" s="18" t="str">
        <f aca="false">IF(J517="","",J517^2)</f>
        <v/>
      </c>
    </row>
    <row r="518" customFormat="false" ht="15" hidden="false" customHeight="false" outlineLevel="0" collapsed="false">
      <c r="A518" s="16"/>
      <c r="B518" s="17"/>
      <c r="C518" s="17"/>
      <c r="D518" s="17"/>
      <c r="E518" s="17"/>
      <c r="F518" s="17"/>
      <c r="G518" s="17"/>
      <c r="H518" s="17"/>
      <c r="I518" s="17"/>
      <c r="J518" s="18" t="str">
        <f aca="false">IF(COUNT(E518:I518)&lt;5,"",SUM(E518:I518))</f>
        <v/>
      </c>
      <c r="K518" s="18" t="str">
        <f aca="false">IF(J518="","",IF(M518&lt;설정!$B$3,"",ROUND(AVERAGEIFS($J$2:$J$1001,$B$2:$B$1001,B518,$A$2:$A$1001,"&lt;"&amp;A518,$A$2:$A$1001,"&gt;="&amp;(A518-설정!$B$2)),2)))</f>
        <v/>
      </c>
      <c r="L518" s="18" t="str">
        <f aca="false">IF(K518="","",ROUND(SQRT(MAX(0,(SUMIFS($R$2:$R$1001,$B$2:$B$1001,B518,$A$2:$A$1001,"&lt;"&amp;A518,$A$2:$A$1001,"&gt;="&amp;(A518-설정!$B$2))-M518*AVERAGEIFS($J$2:$J$1001,$B$2:$B$1001,B518,$A$2:$A$1001,"&lt;"&amp;A518,$A$2:$A$1001,"&gt;="&amp;(A518-설정!$B$2))^2)/(M518-1))),2))</f>
        <v/>
      </c>
      <c r="M518" s="18" t="str">
        <f aca="false">IF(J518="","",COUNTIFS($B$2:$B$1001,B518,$A$2:$A$1001,"&lt;"&amp;A518,$A$2:$A$1001,"&gt;="&amp;(A518-설정!$B$2),$J$2:$J$1001,"&gt;=0"))</f>
        <v/>
      </c>
      <c r="N518" s="18" t="str">
        <f aca="false">IF(K518="","",IF(L518=0,"",ROUND((J518-K518)/L518,2)))</f>
        <v/>
      </c>
      <c r="O518" s="19" t="str">
        <f aca="false">IF(J518="","",IF(MIN(F518,G518)&lt;=설정!$B$5,"예",""))</f>
        <v/>
      </c>
      <c r="P518" s="19" t="str">
        <f aca="false">IF(J518="","",IF(M518&lt;설정!$B$3,"baseline 수집 중",IF(N518="","정상",IF(N518&lt;=설정!$B$4,"낮음","정상"))))</f>
        <v/>
      </c>
      <c r="Q518" s="20"/>
      <c r="R518" s="18" t="str">
        <f aca="false">IF(J518="","",J518^2)</f>
        <v/>
      </c>
    </row>
    <row r="519" customFormat="false" ht="15" hidden="false" customHeight="false" outlineLevel="0" collapsed="false">
      <c r="A519" s="16"/>
      <c r="B519" s="17"/>
      <c r="C519" s="17"/>
      <c r="D519" s="17"/>
      <c r="E519" s="17"/>
      <c r="F519" s="17"/>
      <c r="G519" s="17"/>
      <c r="H519" s="17"/>
      <c r="I519" s="17"/>
      <c r="J519" s="18" t="str">
        <f aca="false">IF(COUNT(E519:I519)&lt;5,"",SUM(E519:I519))</f>
        <v/>
      </c>
      <c r="K519" s="18" t="str">
        <f aca="false">IF(J519="","",IF(M519&lt;설정!$B$3,"",ROUND(AVERAGEIFS($J$2:$J$1001,$B$2:$B$1001,B519,$A$2:$A$1001,"&lt;"&amp;A519,$A$2:$A$1001,"&gt;="&amp;(A519-설정!$B$2)),2)))</f>
        <v/>
      </c>
      <c r="L519" s="18" t="str">
        <f aca="false">IF(K519="","",ROUND(SQRT(MAX(0,(SUMIFS($R$2:$R$1001,$B$2:$B$1001,B519,$A$2:$A$1001,"&lt;"&amp;A519,$A$2:$A$1001,"&gt;="&amp;(A519-설정!$B$2))-M519*AVERAGEIFS($J$2:$J$1001,$B$2:$B$1001,B519,$A$2:$A$1001,"&lt;"&amp;A519,$A$2:$A$1001,"&gt;="&amp;(A519-설정!$B$2))^2)/(M519-1))),2))</f>
        <v/>
      </c>
      <c r="M519" s="18" t="str">
        <f aca="false">IF(J519="","",COUNTIFS($B$2:$B$1001,B519,$A$2:$A$1001,"&lt;"&amp;A519,$A$2:$A$1001,"&gt;="&amp;(A519-설정!$B$2),$J$2:$J$1001,"&gt;=0"))</f>
        <v/>
      </c>
      <c r="N519" s="18" t="str">
        <f aca="false">IF(K519="","",IF(L519=0,"",ROUND((J519-K519)/L519,2)))</f>
        <v/>
      </c>
      <c r="O519" s="19" t="str">
        <f aca="false">IF(J519="","",IF(MIN(F519,G519)&lt;=설정!$B$5,"예",""))</f>
        <v/>
      </c>
      <c r="P519" s="19" t="str">
        <f aca="false">IF(J519="","",IF(M519&lt;설정!$B$3,"baseline 수집 중",IF(N519="","정상",IF(N519&lt;=설정!$B$4,"낮음","정상"))))</f>
        <v/>
      </c>
      <c r="Q519" s="20"/>
      <c r="R519" s="18" t="str">
        <f aca="false">IF(J519="","",J519^2)</f>
        <v/>
      </c>
    </row>
    <row r="520" customFormat="false" ht="15" hidden="false" customHeight="false" outlineLevel="0" collapsed="false">
      <c r="A520" s="16"/>
      <c r="B520" s="17"/>
      <c r="C520" s="17"/>
      <c r="D520" s="17"/>
      <c r="E520" s="17"/>
      <c r="F520" s="17"/>
      <c r="G520" s="17"/>
      <c r="H520" s="17"/>
      <c r="I520" s="17"/>
      <c r="J520" s="18" t="str">
        <f aca="false">IF(COUNT(E520:I520)&lt;5,"",SUM(E520:I520))</f>
        <v/>
      </c>
      <c r="K520" s="18" t="str">
        <f aca="false">IF(J520="","",IF(M520&lt;설정!$B$3,"",ROUND(AVERAGEIFS($J$2:$J$1001,$B$2:$B$1001,B520,$A$2:$A$1001,"&lt;"&amp;A520,$A$2:$A$1001,"&gt;="&amp;(A520-설정!$B$2)),2)))</f>
        <v/>
      </c>
      <c r="L520" s="18" t="str">
        <f aca="false">IF(K520="","",ROUND(SQRT(MAX(0,(SUMIFS($R$2:$R$1001,$B$2:$B$1001,B520,$A$2:$A$1001,"&lt;"&amp;A520,$A$2:$A$1001,"&gt;="&amp;(A520-설정!$B$2))-M520*AVERAGEIFS($J$2:$J$1001,$B$2:$B$1001,B520,$A$2:$A$1001,"&lt;"&amp;A520,$A$2:$A$1001,"&gt;="&amp;(A520-설정!$B$2))^2)/(M520-1))),2))</f>
        <v/>
      </c>
      <c r="M520" s="18" t="str">
        <f aca="false">IF(J520="","",COUNTIFS($B$2:$B$1001,B520,$A$2:$A$1001,"&lt;"&amp;A520,$A$2:$A$1001,"&gt;="&amp;(A520-설정!$B$2),$J$2:$J$1001,"&gt;=0"))</f>
        <v/>
      </c>
      <c r="N520" s="18" t="str">
        <f aca="false">IF(K520="","",IF(L520=0,"",ROUND((J520-K520)/L520,2)))</f>
        <v/>
      </c>
      <c r="O520" s="19" t="str">
        <f aca="false">IF(J520="","",IF(MIN(F520,G520)&lt;=설정!$B$5,"예",""))</f>
        <v/>
      </c>
      <c r="P520" s="19" t="str">
        <f aca="false">IF(J520="","",IF(M520&lt;설정!$B$3,"baseline 수집 중",IF(N520="","정상",IF(N520&lt;=설정!$B$4,"낮음","정상"))))</f>
        <v/>
      </c>
      <c r="Q520" s="20"/>
      <c r="R520" s="18" t="str">
        <f aca="false">IF(J520="","",J520^2)</f>
        <v/>
      </c>
    </row>
    <row r="521" customFormat="false" ht="15" hidden="false" customHeight="false" outlineLevel="0" collapsed="false">
      <c r="A521" s="16"/>
      <c r="B521" s="17"/>
      <c r="C521" s="17"/>
      <c r="D521" s="17"/>
      <c r="E521" s="17"/>
      <c r="F521" s="17"/>
      <c r="G521" s="17"/>
      <c r="H521" s="17"/>
      <c r="I521" s="17"/>
      <c r="J521" s="18" t="str">
        <f aca="false">IF(COUNT(E521:I521)&lt;5,"",SUM(E521:I521))</f>
        <v/>
      </c>
      <c r="K521" s="18" t="str">
        <f aca="false">IF(J521="","",IF(M521&lt;설정!$B$3,"",ROUND(AVERAGEIFS($J$2:$J$1001,$B$2:$B$1001,B521,$A$2:$A$1001,"&lt;"&amp;A521,$A$2:$A$1001,"&gt;="&amp;(A521-설정!$B$2)),2)))</f>
        <v/>
      </c>
      <c r="L521" s="18" t="str">
        <f aca="false">IF(K521="","",ROUND(SQRT(MAX(0,(SUMIFS($R$2:$R$1001,$B$2:$B$1001,B521,$A$2:$A$1001,"&lt;"&amp;A521,$A$2:$A$1001,"&gt;="&amp;(A521-설정!$B$2))-M521*AVERAGEIFS($J$2:$J$1001,$B$2:$B$1001,B521,$A$2:$A$1001,"&lt;"&amp;A521,$A$2:$A$1001,"&gt;="&amp;(A521-설정!$B$2))^2)/(M521-1))),2))</f>
        <v/>
      </c>
      <c r="M521" s="18" t="str">
        <f aca="false">IF(J521="","",COUNTIFS($B$2:$B$1001,B521,$A$2:$A$1001,"&lt;"&amp;A521,$A$2:$A$1001,"&gt;="&amp;(A521-설정!$B$2),$J$2:$J$1001,"&gt;=0"))</f>
        <v/>
      </c>
      <c r="N521" s="18" t="str">
        <f aca="false">IF(K521="","",IF(L521=0,"",ROUND((J521-K521)/L521,2)))</f>
        <v/>
      </c>
      <c r="O521" s="19" t="str">
        <f aca="false">IF(J521="","",IF(MIN(F521,G521)&lt;=설정!$B$5,"예",""))</f>
        <v/>
      </c>
      <c r="P521" s="19" t="str">
        <f aca="false">IF(J521="","",IF(M521&lt;설정!$B$3,"baseline 수집 중",IF(N521="","정상",IF(N521&lt;=설정!$B$4,"낮음","정상"))))</f>
        <v/>
      </c>
      <c r="Q521" s="20"/>
      <c r="R521" s="18" t="str">
        <f aca="false">IF(J521="","",J521^2)</f>
        <v/>
      </c>
    </row>
    <row r="522" customFormat="false" ht="15" hidden="false" customHeight="false" outlineLevel="0" collapsed="false">
      <c r="A522" s="16"/>
      <c r="B522" s="17"/>
      <c r="C522" s="17"/>
      <c r="D522" s="17"/>
      <c r="E522" s="17"/>
      <c r="F522" s="17"/>
      <c r="G522" s="17"/>
      <c r="H522" s="17"/>
      <c r="I522" s="17"/>
      <c r="J522" s="18" t="str">
        <f aca="false">IF(COUNT(E522:I522)&lt;5,"",SUM(E522:I522))</f>
        <v/>
      </c>
      <c r="K522" s="18" t="str">
        <f aca="false">IF(J522="","",IF(M522&lt;설정!$B$3,"",ROUND(AVERAGEIFS($J$2:$J$1001,$B$2:$B$1001,B522,$A$2:$A$1001,"&lt;"&amp;A522,$A$2:$A$1001,"&gt;="&amp;(A522-설정!$B$2)),2)))</f>
        <v/>
      </c>
      <c r="L522" s="18" t="str">
        <f aca="false">IF(K522="","",ROUND(SQRT(MAX(0,(SUMIFS($R$2:$R$1001,$B$2:$B$1001,B522,$A$2:$A$1001,"&lt;"&amp;A522,$A$2:$A$1001,"&gt;="&amp;(A522-설정!$B$2))-M522*AVERAGEIFS($J$2:$J$1001,$B$2:$B$1001,B522,$A$2:$A$1001,"&lt;"&amp;A522,$A$2:$A$1001,"&gt;="&amp;(A522-설정!$B$2))^2)/(M522-1))),2))</f>
        <v/>
      </c>
      <c r="M522" s="18" t="str">
        <f aca="false">IF(J522="","",COUNTIFS($B$2:$B$1001,B522,$A$2:$A$1001,"&lt;"&amp;A522,$A$2:$A$1001,"&gt;="&amp;(A522-설정!$B$2),$J$2:$J$1001,"&gt;=0"))</f>
        <v/>
      </c>
      <c r="N522" s="18" t="str">
        <f aca="false">IF(K522="","",IF(L522=0,"",ROUND((J522-K522)/L522,2)))</f>
        <v/>
      </c>
      <c r="O522" s="19" t="str">
        <f aca="false">IF(J522="","",IF(MIN(F522,G522)&lt;=설정!$B$5,"예",""))</f>
        <v/>
      </c>
      <c r="P522" s="19" t="str">
        <f aca="false">IF(J522="","",IF(M522&lt;설정!$B$3,"baseline 수집 중",IF(N522="","정상",IF(N522&lt;=설정!$B$4,"낮음","정상"))))</f>
        <v/>
      </c>
      <c r="Q522" s="20"/>
      <c r="R522" s="18" t="str">
        <f aca="false">IF(J522="","",J522^2)</f>
        <v/>
      </c>
    </row>
    <row r="523" customFormat="false" ht="15" hidden="false" customHeight="false" outlineLevel="0" collapsed="false">
      <c r="A523" s="16"/>
      <c r="B523" s="17"/>
      <c r="C523" s="17"/>
      <c r="D523" s="17"/>
      <c r="E523" s="17"/>
      <c r="F523" s="17"/>
      <c r="G523" s="17"/>
      <c r="H523" s="17"/>
      <c r="I523" s="17"/>
      <c r="J523" s="18" t="str">
        <f aca="false">IF(COUNT(E523:I523)&lt;5,"",SUM(E523:I523))</f>
        <v/>
      </c>
      <c r="K523" s="18" t="str">
        <f aca="false">IF(J523="","",IF(M523&lt;설정!$B$3,"",ROUND(AVERAGEIFS($J$2:$J$1001,$B$2:$B$1001,B523,$A$2:$A$1001,"&lt;"&amp;A523,$A$2:$A$1001,"&gt;="&amp;(A523-설정!$B$2)),2)))</f>
        <v/>
      </c>
      <c r="L523" s="18" t="str">
        <f aca="false">IF(K523="","",ROUND(SQRT(MAX(0,(SUMIFS($R$2:$R$1001,$B$2:$B$1001,B523,$A$2:$A$1001,"&lt;"&amp;A523,$A$2:$A$1001,"&gt;="&amp;(A523-설정!$B$2))-M523*AVERAGEIFS($J$2:$J$1001,$B$2:$B$1001,B523,$A$2:$A$1001,"&lt;"&amp;A523,$A$2:$A$1001,"&gt;="&amp;(A523-설정!$B$2))^2)/(M523-1))),2))</f>
        <v/>
      </c>
      <c r="M523" s="18" t="str">
        <f aca="false">IF(J523="","",COUNTIFS($B$2:$B$1001,B523,$A$2:$A$1001,"&lt;"&amp;A523,$A$2:$A$1001,"&gt;="&amp;(A523-설정!$B$2),$J$2:$J$1001,"&gt;=0"))</f>
        <v/>
      </c>
      <c r="N523" s="18" t="str">
        <f aca="false">IF(K523="","",IF(L523=0,"",ROUND((J523-K523)/L523,2)))</f>
        <v/>
      </c>
      <c r="O523" s="19" t="str">
        <f aca="false">IF(J523="","",IF(MIN(F523,G523)&lt;=설정!$B$5,"예",""))</f>
        <v/>
      </c>
      <c r="P523" s="19" t="str">
        <f aca="false">IF(J523="","",IF(M523&lt;설정!$B$3,"baseline 수집 중",IF(N523="","정상",IF(N523&lt;=설정!$B$4,"낮음","정상"))))</f>
        <v/>
      </c>
      <c r="Q523" s="20"/>
      <c r="R523" s="18" t="str">
        <f aca="false">IF(J523="","",J523^2)</f>
        <v/>
      </c>
    </row>
    <row r="524" customFormat="false" ht="15" hidden="false" customHeight="false" outlineLevel="0" collapsed="false">
      <c r="A524" s="16"/>
      <c r="B524" s="17"/>
      <c r="C524" s="17"/>
      <c r="D524" s="17"/>
      <c r="E524" s="17"/>
      <c r="F524" s="17"/>
      <c r="G524" s="17"/>
      <c r="H524" s="17"/>
      <c r="I524" s="17"/>
      <c r="J524" s="18" t="str">
        <f aca="false">IF(COUNT(E524:I524)&lt;5,"",SUM(E524:I524))</f>
        <v/>
      </c>
      <c r="K524" s="18" t="str">
        <f aca="false">IF(J524="","",IF(M524&lt;설정!$B$3,"",ROUND(AVERAGEIFS($J$2:$J$1001,$B$2:$B$1001,B524,$A$2:$A$1001,"&lt;"&amp;A524,$A$2:$A$1001,"&gt;="&amp;(A524-설정!$B$2)),2)))</f>
        <v/>
      </c>
      <c r="L524" s="18" t="str">
        <f aca="false">IF(K524="","",ROUND(SQRT(MAX(0,(SUMIFS($R$2:$R$1001,$B$2:$B$1001,B524,$A$2:$A$1001,"&lt;"&amp;A524,$A$2:$A$1001,"&gt;="&amp;(A524-설정!$B$2))-M524*AVERAGEIFS($J$2:$J$1001,$B$2:$B$1001,B524,$A$2:$A$1001,"&lt;"&amp;A524,$A$2:$A$1001,"&gt;="&amp;(A524-설정!$B$2))^2)/(M524-1))),2))</f>
        <v/>
      </c>
      <c r="M524" s="18" t="str">
        <f aca="false">IF(J524="","",COUNTIFS($B$2:$B$1001,B524,$A$2:$A$1001,"&lt;"&amp;A524,$A$2:$A$1001,"&gt;="&amp;(A524-설정!$B$2),$J$2:$J$1001,"&gt;=0"))</f>
        <v/>
      </c>
      <c r="N524" s="18" t="str">
        <f aca="false">IF(K524="","",IF(L524=0,"",ROUND((J524-K524)/L524,2)))</f>
        <v/>
      </c>
      <c r="O524" s="19" t="str">
        <f aca="false">IF(J524="","",IF(MIN(F524,G524)&lt;=설정!$B$5,"예",""))</f>
        <v/>
      </c>
      <c r="P524" s="19" t="str">
        <f aca="false">IF(J524="","",IF(M524&lt;설정!$B$3,"baseline 수집 중",IF(N524="","정상",IF(N524&lt;=설정!$B$4,"낮음","정상"))))</f>
        <v/>
      </c>
      <c r="Q524" s="20"/>
      <c r="R524" s="18" t="str">
        <f aca="false">IF(J524="","",J524^2)</f>
        <v/>
      </c>
    </row>
    <row r="525" customFormat="false" ht="15" hidden="false" customHeight="false" outlineLevel="0" collapsed="false">
      <c r="A525" s="16"/>
      <c r="B525" s="17"/>
      <c r="C525" s="17"/>
      <c r="D525" s="17"/>
      <c r="E525" s="17"/>
      <c r="F525" s="17"/>
      <c r="G525" s="17"/>
      <c r="H525" s="17"/>
      <c r="I525" s="17"/>
      <c r="J525" s="18" t="str">
        <f aca="false">IF(COUNT(E525:I525)&lt;5,"",SUM(E525:I525))</f>
        <v/>
      </c>
      <c r="K525" s="18" t="str">
        <f aca="false">IF(J525="","",IF(M525&lt;설정!$B$3,"",ROUND(AVERAGEIFS($J$2:$J$1001,$B$2:$B$1001,B525,$A$2:$A$1001,"&lt;"&amp;A525,$A$2:$A$1001,"&gt;="&amp;(A525-설정!$B$2)),2)))</f>
        <v/>
      </c>
      <c r="L525" s="18" t="str">
        <f aca="false">IF(K525="","",ROUND(SQRT(MAX(0,(SUMIFS($R$2:$R$1001,$B$2:$B$1001,B525,$A$2:$A$1001,"&lt;"&amp;A525,$A$2:$A$1001,"&gt;="&amp;(A525-설정!$B$2))-M525*AVERAGEIFS($J$2:$J$1001,$B$2:$B$1001,B525,$A$2:$A$1001,"&lt;"&amp;A525,$A$2:$A$1001,"&gt;="&amp;(A525-설정!$B$2))^2)/(M525-1))),2))</f>
        <v/>
      </c>
      <c r="M525" s="18" t="str">
        <f aca="false">IF(J525="","",COUNTIFS($B$2:$B$1001,B525,$A$2:$A$1001,"&lt;"&amp;A525,$A$2:$A$1001,"&gt;="&amp;(A525-설정!$B$2),$J$2:$J$1001,"&gt;=0"))</f>
        <v/>
      </c>
      <c r="N525" s="18" t="str">
        <f aca="false">IF(K525="","",IF(L525=0,"",ROUND((J525-K525)/L525,2)))</f>
        <v/>
      </c>
      <c r="O525" s="19" t="str">
        <f aca="false">IF(J525="","",IF(MIN(F525,G525)&lt;=설정!$B$5,"예",""))</f>
        <v/>
      </c>
      <c r="P525" s="19" t="str">
        <f aca="false">IF(J525="","",IF(M525&lt;설정!$B$3,"baseline 수집 중",IF(N525="","정상",IF(N525&lt;=설정!$B$4,"낮음","정상"))))</f>
        <v/>
      </c>
      <c r="Q525" s="20"/>
      <c r="R525" s="18" t="str">
        <f aca="false">IF(J525="","",J525^2)</f>
        <v/>
      </c>
    </row>
    <row r="526" customFormat="false" ht="15" hidden="false" customHeight="false" outlineLevel="0" collapsed="false">
      <c r="A526" s="16"/>
      <c r="B526" s="17"/>
      <c r="C526" s="17"/>
      <c r="D526" s="17"/>
      <c r="E526" s="17"/>
      <c r="F526" s="17"/>
      <c r="G526" s="17"/>
      <c r="H526" s="17"/>
      <c r="I526" s="17"/>
      <c r="J526" s="18" t="str">
        <f aca="false">IF(COUNT(E526:I526)&lt;5,"",SUM(E526:I526))</f>
        <v/>
      </c>
      <c r="K526" s="18" t="str">
        <f aca="false">IF(J526="","",IF(M526&lt;설정!$B$3,"",ROUND(AVERAGEIFS($J$2:$J$1001,$B$2:$B$1001,B526,$A$2:$A$1001,"&lt;"&amp;A526,$A$2:$A$1001,"&gt;="&amp;(A526-설정!$B$2)),2)))</f>
        <v/>
      </c>
      <c r="L526" s="18" t="str">
        <f aca="false">IF(K526="","",ROUND(SQRT(MAX(0,(SUMIFS($R$2:$R$1001,$B$2:$B$1001,B526,$A$2:$A$1001,"&lt;"&amp;A526,$A$2:$A$1001,"&gt;="&amp;(A526-설정!$B$2))-M526*AVERAGEIFS($J$2:$J$1001,$B$2:$B$1001,B526,$A$2:$A$1001,"&lt;"&amp;A526,$A$2:$A$1001,"&gt;="&amp;(A526-설정!$B$2))^2)/(M526-1))),2))</f>
        <v/>
      </c>
      <c r="M526" s="18" t="str">
        <f aca="false">IF(J526="","",COUNTIFS($B$2:$B$1001,B526,$A$2:$A$1001,"&lt;"&amp;A526,$A$2:$A$1001,"&gt;="&amp;(A526-설정!$B$2),$J$2:$J$1001,"&gt;=0"))</f>
        <v/>
      </c>
      <c r="N526" s="18" t="str">
        <f aca="false">IF(K526="","",IF(L526=0,"",ROUND((J526-K526)/L526,2)))</f>
        <v/>
      </c>
      <c r="O526" s="19" t="str">
        <f aca="false">IF(J526="","",IF(MIN(F526,G526)&lt;=설정!$B$5,"예",""))</f>
        <v/>
      </c>
      <c r="P526" s="19" t="str">
        <f aca="false">IF(J526="","",IF(M526&lt;설정!$B$3,"baseline 수집 중",IF(N526="","정상",IF(N526&lt;=설정!$B$4,"낮음","정상"))))</f>
        <v/>
      </c>
      <c r="Q526" s="20"/>
      <c r="R526" s="18" t="str">
        <f aca="false">IF(J526="","",J526^2)</f>
        <v/>
      </c>
    </row>
    <row r="527" customFormat="false" ht="15" hidden="false" customHeight="false" outlineLevel="0" collapsed="false">
      <c r="A527" s="16"/>
      <c r="B527" s="17"/>
      <c r="C527" s="17"/>
      <c r="D527" s="17"/>
      <c r="E527" s="17"/>
      <c r="F527" s="17"/>
      <c r="G527" s="17"/>
      <c r="H527" s="17"/>
      <c r="I527" s="17"/>
      <c r="J527" s="18" t="str">
        <f aca="false">IF(COUNT(E527:I527)&lt;5,"",SUM(E527:I527))</f>
        <v/>
      </c>
      <c r="K527" s="18" t="str">
        <f aca="false">IF(J527="","",IF(M527&lt;설정!$B$3,"",ROUND(AVERAGEIFS($J$2:$J$1001,$B$2:$B$1001,B527,$A$2:$A$1001,"&lt;"&amp;A527,$A$2:$A$1001,"&gt;="&amp;(A527-설정!$B$2)),2)))</f>
        <v/>
      </c>
      <c r="L527" s="18" t="str">
        <f aca="false">IF(K527="","",ROUND(SQRT(MAX(0,(SUMIFS($R$2:$R$1001,$B$2:$B$1001,B527,$A$2:$A$1001,"&lt;"&amp;A527,$A$2:$A$1001,"&gt;="&amp;(A527-설정!$B$2))-M527*AVERAGEIFS($J$2:$J$1001,$B$2:$B$1001,B527,$A$2:$A$1001,"&lt;"&amp;A527,$A$2:$A$1001,"&gt;="&amp;(A527-설정!$B$2))^2)/(M527-1))),2))</f>
        <v/>
      </c>
      <c r="M527" s="18" t="str">
        <f aca="false">IF(J527="","",COUNTIFS($B$2:$B$1001,B527,$A$2:$A$1001,"&lt;"&amp;A527,$A$2:$A$1001,"&gt;="&amp;(A527-설정!$B$2),$J$2:$J$1001,"&gt;=0"))</f>
        <v/>
      </c>
      <c r="N527" s="18" t="str">
        <f aca="false">IF(K527="","",IF(L527=0,"",ROUND((J527-K527)/L527,2)))</f>
        <v/>
      </c>
      <c r="O527" s="19" t="str">
        <f aca="false">IF(J527="","",IF(MIN(F527,G527)&lt;=설정!$B$5,"예",""))</f>
        <v/>
      </c>
      <c r="P527" s="19" t="str">
        <f aca="false">IF(J527="","",IF(M527&lt;설정!$B$3,"baseline 수집 중",IF(N527="","정상",IF(N527&lt;=설정!$B$4,"낮음","정상"))))</f>
        <v/>
      </c>
      <c r="Q527" s="20"/>
      <c r="R527" s="18" t="str">
        <f aca="false">IF(J527="","",J527^2)</f>
        <v/>
      </c>
    </row>
    <row r="528" customFormat="false" ht="15" hidden="false" customHeight="false" outlineLevel="0" collapsed="false">
      <c r="A528" s="16"/>
      <c r="B528" s="17"/>
      <c r="C528" s="17"/>
      <c r="D528" s="17"/>
      <c r="E528" s="17"/>
      <c r="F528" s="17"/>
      <c r="G528" s="17"/>
      <c r="H528" s="17"/>
      <c r="I528" s="17"/>
      <c r="J528" s="18" t="str">
        <f aca="false">IF(COUNT(E528:I528)&lt;5,"",SUM(E528:I528))</f>
        <v/>
      </c>
      <c r="K528" s="18" t="str">
        <f aca="false">IF(J528="","",IF(M528&lt;설정!$B$3,"",ROUND(AVERAGEIFS($J$2:$J$1001,$B$2:$B$1001,B528,$A$2:$A$1001,"&lt;"&amp;A528,$A$2:$A$1001,"&gt;="&amp;(A528-설정!$B$2)),2)))</f>
        <v/>
      </c>
      <c r="L528" s="18" t="str">
        <f aca="false">IF(K528="","",ROUND(SQRT(MAX(0,(SUMIFS($R$2:$R$1001,$B$2:$B$1001,B528,$A$2:$A$1001,"&lt;"&amp;A528,$A$2:$A$1001,"&gt;="&amp;(A528-설정!$B$2))-M528*AVERAGEIFS($J$2:$J$1001,$B$2:$B$1001,B528,$A$2:$A$1001,"&lt;"&amp;A528,$A$2:$A$1001,"&gt;="&amp;(A528-설정!$B$2))^2)/(M528-1))),2))</f>
        <v/>
      </c>
      <c r="M528" s="18" t="str">
        <f aca="false">IF(J528="","",COUNTIFS($B$2:$B$1001,B528,$A$2:$A$1001,"&lt;"&amp;A528,$A$2:$A$1001,"&gt;="&amp;(A528-설정!$B$2),$J$2:$J$1001,"&gt;=0"))</f>
        <v/>
      </c>
      <c r="N528" s="18" t="str">
        <f aca="false">IF(K528="","",IF(L528=0,"",ROUND((J528-K528)/L528,2)))</f>
        <v/>
      </c>
      <c r="O528" s="19" t="str">
        <f aca="false">IF(J528="","",IF(MIN(F528,G528)&lt;=설정!$B$5,"예",""))</f>
        <v/>
      </c>
      <c r="P528" s="19" t="str">
        <f aca="false">IF(J528="","",IF(M528&lt;설정!$B$3,"baseline 수집 중",IF(N528="","정상",IF(N528&lt;=설정!$B$4,"낮음","정상"))))</f>
        <v/>
      </c>
      <c r="Q528" s="20"/>
      <c r="R528" s="18" t="str">
        <f aca="false">IF(J528="","",J528^2)</f>
        <v/>
      </c>
    </row>
    <row r="529" customFormat="false" ht="15" hidden="false" customHeight="false" outlineLevel="0" collapsed="false">
      <c r="A529" s="16"/>
      <c r="B529" s="17"/>
      <c r="C529" s="17"/>
      <c r="D529" s="17"/>
      <c r="E529" s="17"/>
      <c r="F529" s="17"/>
      <c r="G529" s="17"/>
      <c r="H529" s="17"/>
      <c r="I529" s="17"/>
      <c r="J529" s="18" t="str">
        <f aca="false">IF(COUNT(E529:I529)&lt;5,"",SUM(E529:I529))</f>
        <v/>
      </c>
      <c r="K529" s="18" t="str">
        <f aca="false">IF(J529="","",IF(M529&lt;설정!$B$3,"",ROUND(AVERAGEIFS($J$2:$J$1001,$B$2:$B$1001,B529,$A$2:$A$1001,"&lt;"&amp;A529,$A$2:$A$1001,"&gt;="&amp;(A529-설정!$B$2)),2)))</f>
        <v/>
      </c>
      <c r="L529" s="18" t="str">
        <f aca="false">IF(K529="","",ROUND(SQRT(MAX(0,(SUMIFS($R$2:$R$1001,$B$2:$B$1001,B529,$A$2:$A$1001,"&lt;"&amp;A529,$A$2:$A$1001,"&gt;="&amp;(A529-설정!$B$2))-M529*AVERAGEIFS($J$2:$J$1001,$B$2:$B$1001,B529,$A$2:$A$1001,"&lt;"&amp;A529,$A$2:$A$1001,"&gt;="&amp;(A529-설정!$B$2))^2)/(M529-1))),2))</f>
        <v/>
      </c>
      <c r="M529" s="18" t="str">
        <f aca="false">IF(J529="","",COUNTIFS($B$2:$B$1001,B529,$A$2:$A$1001,"&lt;"&amp;A529,$A$2:$A$1001,"&gt;="&amp;(A529-설정!$B$2),$J$2:$J$1001,"&gt;=0"))</f>
        <v/>
      </c>
      <c r="N529" s="18" t="str">
        <f aca="false">IF(K529="","",IF(L529=0,"",ROUND((J529-K529)/L529,2)))</f>
        <v/>
      </c>
      <c r="O529" s="19" t="str">
        <f aca="false">IF(J529="","",IF(MIN(F529,G529)&lt;=설정!$B$5,"예",""))</f>
        <v/>
      </c>
      <c r="P529" s="19" t="str">
        <f aca="false">IF(J529="","",IF(M529&lt;설정!$B$3,"baseline 수집 중",IF(N529="","정상",IF(N529&lt;=설정!$B$4,"낮음","정상"))))</f>
        <v/>
      </c>
      <c r="Q529" s="20"/>
      <c r="R529" s="18" t="str">
        <f aca="false">IF(J529="","",J529^2)</f>
        <v/>
      </c>
    </row>
    <row r="530" customFormat="false" ht="15" hidden="false" customHeight="false" outlineLevel="0" collapsed="false">
      <c r="A530" s="16"/>
      <c r="B530" s="17"/>
      <c r="C530" s="17"/>
      <c r="D530" s="17"/>
      <c r="E530" s="17"/>
      <c r="F530" s="17"/>
      <c r="G530" s="17"/>
      <c r="H530" s="17"/>
      <c r="I530" s="17"/>
      <c r="J530" s="18" t="str">
        <f aca="false">IF(COUNT(E530:I530)&lt;5,"",SUM(E530:I530))</f>
        <v/>
      </c>
      <c r="K530" s="18" t="str">
        <f aca="false">IF(J530="","",IF(M530&lt;설정!$B$3,"",ROUND(AVERAGEIFS($J$2:$J$1001,$B$2:$B$1001,B530,$A$2:$A$1001,"&lt;"&amp;A530,$A$2:$A$1001,"&gt;="&amp;(A530-설정!$B$2)),2)))</f>
        <v/>
      </c>
      <c r="L530" s="18" t="str">
        <f aca="false">IF(K530="","",ROUND(SQRT(MAX(0,(SUMIFS($R$2:$R$1001,$B$2:$B$1001,B530,$A$2:$A$1001,"&lt;"&amp;A530,$A$2:$A$1001,"&gt;="&amp;(A530-설정!$B$2))-M530*AVERAGEIFS($J$2:$J$1001,$B$2:$B$1001,B530,$A$2:$A$1001,"&lt;"&amp;A530,$A$2:$A$1001,"&gt;="&amp;(A530-설정!$B$2))^2)/(M530-1))),2))</f>
        <v/>
      </c>
      <c r="M530" s="18" t="str">
        <f aca="false">IF(J530="","",COUNTIFS($B$2:$B$1001,B530,$A$2:$A$1001,"&lt;"&amp;A530,$A$2:$A$1001,"&gt;="&amp;(A530-설정!$B$2),$J$2:$J$1001,"&gt;=0"))</f>
        <v/>
      </c>
      <c r="N530" s="18" t="str">
        <f aca="false">IF(K530="","",IF(L530=0,"",ROUND((J530-K530)/L530,2)))</f>
        <v/>
      </c>
      <c r="O530" s="19" t="str">
        <f aca="false">IF(J530="","",IF(MIN(F530,G530)&lt;=설정!$B$5,"예",""))</f>
        <v/>
      </c>
      <c r="P530" s="19" t="str">
        <f aca="false">IF(J530="","",IF(M530&lt;설정!$B$3,"baseline 수집 중",IF(N530="","정상",IF(N530&lt;=설정!$B$4,"낮음","정상"))))</f>
        <v/>
      </c>
      <c r="Q530" s="20"/>
      <c r="R530" s="18" t="str">
        <f aca="false">IF(J530="","",J530^2)</f>
        <v/>
      </c>
    </row>
    <row r="531" customFormat="false" ht="15" hidden="false" customHeight="false" outlineLevel="0" collapsed="false">
      <c r="A531" s="16"/>
      <c r="B531" s="17"/>
      <c r="C531" s="17"/>
      <c r="D531" s="17"/>
      <c r="E531" s="17"/>
      <c r="F531" s="17"/>
      <c r="G531" s="17"/>
      <c r="H531" s="17"/>
      <c r="I531" s="17"/>
      <c r="J531" s="18" t="str">
        <f aca="false">IF(COUNT(E531:I531)&lt;5,"",SUM(E531:I531))</f>
        <v/>
      </c>
      <c r="K531" s="18" t="str">
        <f aca="false">IF(J531="","",IF(M531&lt;설정!$B$3,"",ROUND(AVERAGEIFS($J$2:$J$1001,$B$2:$B$1001,B531,$A$2:$A$1001,"&lt;"&amp;A531,$A$2:$A$1001,"&gt;="&amp;(A531-설정!$B$2)),2)))</f>
        <v/>
      </c>
      <c r="L531" s="18" t="str">
        <f aca="false">IF(K531="","",ROUND(SQRT(MAX(0,(SUMIFS($R$2:$R$1001,$B$2:$B$1001,B531,$A$2:$A$1001,"&lt;"&amp;A531,$A$2:$A$1001,"&gt;="&amp;(A531-설정!$B$2))-M531*AVERAGEIFS($J$2:$J$1001,$B$2:$B$1001,B531,$A$2:$A$1001,"&lt;"&amp;A531,$A$2:$A$1001,"&gt;="&amp;(A531-설정!$B$2))^2)/(M531-1))),2))</f>
        <v/>
      </c>
      <c r="M531" s="18" t="str">
        <f aca="false">IF(J531="","",COUNTIFS($B$2:$B$1001,B531,$A$2:$A$1001,"&lt;"&amp;A531,$A$2:$A$1001,"&gt;="&amp;(A531-설정!$B$2),$J$2:$J$1001,"&gt;=0"))</f>
        <v/>
      </c>
      <c r="N531" s="18" t="str">
        <f aca="false">IF(K531="","",IF(L531=0,"",ROUND((J531-K531)/L531,2)))</f>
        <v/>
      </c>
      <c r="O531" s="19" t="str">
        <f aca="false">IF(J531="","",IF(MIN(F531,G531)&lt;=설정!$B$5,"예",""))</f>
        <v/>
      </c>
      <c r="P531" s="19" t="str">
        <f aca="false">IF(J531="","",IF(M531&lt;설정!$B$3,"baseline 수집 중",IF(N531="","정상",IF(N531&lt;=설정!$B$4,"낮음","정상"))))</f>
        <v/>
      </c>
      <c r="Q531" s="20"/>
      <c r="R531" s="18" t="str">
        <f aca="false">IF(J531="","",J531^2)</f>
        <v/>
      </c>
    </row>
    <row r="532" customFormat="false" ht="15" hidden="false" customHeight="false" outlineLevel="0" collapsed="false">
      <c r="A532" s="16"/>
      <c r="B532" s="17"/>
      <c r="C532" s="17"/>
      <c r="D532" s="17"/>
      <c r="E532" s="17"/>
      <c r="F532" s="17"/>
      <c r="G532" s="17"/>
      <c r="H532" s="17"/>
      <c r="I532" s="17"/>
      <c r="J532" s="18" t="str">
        <f aca="false">IF(COUNT(E532:I532)&lt;5,"",SUM(E532:I532))</f>
        <v/>
      </c>
      <c r="K532" s="18" t="str">
        <f aca="false">IF(J532="","",IF(M532&lt;설정!$B$3,"",ROUND(AVERAGEIFS($J$2:$J$1001,$B$2:$B$1001,B532,$A$2:$A$1001,"&lt;"&amp;A532,$A$2:$A$1001,"&gt;="&amp;(A532-설정!$B$2)),2)))</f>
        <v/>
      </c>
      <c r="L532" s="18" t="str">
        <f aca="false">IF(K532="","",ROUND(SQRT(MAX(0,(SUMIFS($R$2:$R$1001,$B$2:$B$1001,B532,$A$2:$A$1001,"&lt;"&amp;A532,$A$2:$A$1001,"&gt;="&amp;(A532-설정!$B$2))-M532*AVERAGEIFS($J$2:$J$1001,$B$2:$B$1001,B532,$A$2:$A$1001,"&lt;"&amp;A532,$A$2:$A$1001,"&gt;="&amp;(A532-설정!$B$2))^2)/(M532-1))),2))</f>
        <v/>
      </c>
      <c r="M532" s="18" t="str">
        <f aca="false">IF(J532="","",COUNTIFS($B$2:$B$1001,B532,$A$2:$A$1001,"&lt;"&amp;A532,$A$2:$A$1001,"&gt;="&amp;(A532-설정!$B$2),$J$2:$J$1001,"&gt;=0"))</f>
        <v/>
      </c>
      <c r="N532" s="18" t="str">
        <f aca="false">IF(K532="","",IF(L532=0,"",ROUND((J532-K532)/L532,2)))</f>
        <v/>
      </c>
      <c r="O532" s="19" t="str">
        <f aca="false">IF(J532="","",IF(MIN(F532,G532)&lt;=설정!$B$5,"예",""))</f>
        <v/>
      </c>
      <c r="P532" s="19" t="str">
        <f aca="false">IF(J532="","",IF(M532&lt;설정!$B$3,"baseline 수집 중",IF(N532="","정상",IF(N532&lt;=설정!$B$4,"낮음","정상"))))</f>
        <v/>
      </c>
      <c r="Q532" s="20"/>
      <c r="R532" s="18" t="str">
        <f aca="false">IF(J532="","",J532^2)</f>
        <v/>
      </c>
    </row>
    <row r="533" customFormat="false" ht="15" hidden="false" customHeight="false" outlineLevel="0" collapsed="false">
      <c r="A533" s="16"/>
      <c r="B533" s="17"/>
      <c r="C533" s="17"/>
      <c r="D533" s="17"/>
      <c r="E533" s="17"/>
      <c r="F533" s="17"/>
      <c r="G533" s="17"/>
      <c r="H533" s="17"/>
      <c r="I533" s="17"/>
      <c r="J533" s="18" t="str">
        <f aca="false">IF(COUNT(E533:I533)&lt;5,"",SUM(E533:I533))</f>
        <v/>
      </c>
      <c r="K533" s="18" t="str">
        <f aca="false">IF(J533="","",IF(M533&lt;설정!$B$3,"",ROUND(AVERAGEIFS($J$2:$J$1001,$B$2:$B$1001,B533,$A$2:$A$1001,"&lt;"&amp;A533,$A$2:$A$1001,"&gt;="&amp;(A533-설정!$B$2)),2)))</f>
        <v/>
      </c>
      <c r="L533" s="18" t="str">
        <f aca="false">IF(K533="","",ROUND(SQRT(MAX(0,(SUMIFS($R$2:$R$1001,$B$2:$B$1001,B533,$A$2:$A$1001,"&lt;"&amp;A533,$A$2:$A$1001,"&gt;="&amp;(A533-설정!$B$2))-M533*AVERAGEIFS($J$2:$J$1001,$B$2:$B$1001,B533,$A$2:$A$1001,"&lt;"&amp;A533,$A$2:$A$1001,"&gt;="&amp;(A533-설정!$B$2))^2)/(M533-1))),2))</f>
        <v/>
      </c>
      <c r="M533" s="18" t="str">
        <f aca="false">IF(J533="","",COUNTIFS($B$2:$B$1001,B533,$A$2:$A$1001,"&lt;"&amp;A533,$A$2:$A$1001,"&gt;="&amp;(A533-설정!$B$2),$J$2:$J$1001,"&gt;=0"))</f>
        <v/>
      </c>
      <c r="N533" s="18" t="str">
        <f aca="false">IF(K533="","",IF(L533=0,"",ROUND((J533-K533)/L533,2)))</f>
        <v/>
      </c>
      <c r="O533" s="19" t="str">
        <f aca="false">IF(J533="","",IF(MIN(F533,G533)&lt;=설정!$B$5,"예",""))</f>
        <v/>
      </c>
      <c r="P533" s="19" t="str">
        <f aca="false">IF(J533="","",IF(M533&lt;설정!$B$3,"baseline 수집 중",IF(N533="","정상",IF(N533&lt;=설정!$B$4,"낮음","정상"))))</f>
        <v/>
      </c>
      <c r="Q533" s="20"/>
      <c r="R533" s="18" t="str">
        <f aca="false">IF(J533="","",J533^2)</f>
        <v/>
      </c>
    </row>
    <row r="534" customFormat="false" ht="15" hidden="false" customHeight="false" outlineLevel="0" collapsed="false">
      <c r="A534" s="16"/>
      <c r="B534" s="17"/>
      <c r="C534" s="17"/>
      <c r="D534" s="17"/>
      <c r="E534" s="17"/>
      <c r="F534" s="17"/>
      <c r="G534" s="17"/>
      <c r="H534" s="17"/>
      <c r="I534" s="17"/>
      <c r="J534" s="18" t="str">
        <f aca="false">IF(COUNT(E534:I534)&lt;5,"",SUM(E534:I534))</f>
        <v/>
      </c>
      <c r="K534" s="18" t="str">
        <f aca="false">IF(J534="","",IF(M534&lt;설정!$B$3,"",ROUND(AVERAGEIFS($J$2:$J$1001,$B$2:$B$1001,B534,$A$2:$A$1001,"&lt;"&amp;A534,$A$2:$A$1001,"&gt;="&amp;(A534-설정!$B$2)),2)))</f>
        <v/>
      </c>
      <c r="L534" s="18" t="str">
        <f aca="false">IF(K534="","",ROUND(SQRT(MAX(0,(SUMIFS($R$2:$R$1001,$B$2:$B$1001,B534,$A$2:$A$1001,"&lt;"&amp;A534,$A$2:$A$1001,"&gt;="&amp;(A534-설정!$B$2))-M534*AVERAGEIFS($J$2:$J$1001,$B$2:$B$1001,B534,$A$2:$A$1001,"&lt;"&amp;A534,$A$2:$A$1001,"&gt;="&amp;(A534-설정!$B$2))^2)/(M534-1))),2))</f>
        <v/>
      </c>
      <c r="M534" s="18" t="str">
        <f aca="false">IF(J534="","",COUNTIFS($B$2:$B$1001,B534,$A$2:$A$1001,"&lt;"&amp;A534,$A$2:$A$1001,"&gt;="&amp;(A534-설정!$B$2),$J$2:$J$1001,"&gt;=0"))</f>
        <v/>
      </c>
      <c r="N534" s="18" t="str">
        <f aca="false">IF(K534="","",IF(L534=0,"",ROUND((J534-K534)/L534,2)))</f>
        <v/>
      </c>
      <c r="O534" s="19" t="str">
        <f aca="false">IF(J534="","",IF(MIN(F534,G534)&lt;=설정!$B$5,"예",""))</f>
        <v/>
      </c>
      <c r="P534" s="19" t="str">
        <f aca="false">IF(J534="","",IF(M534&lt;설정!$B$3,"baseline 수집 중",IF(N534="","정상",IF(N534&lt;=설정!$B$4,"낮음","정상"))))</f>
        <v/>
      </c>
      <c r="Q534" s="20"/>
      <c r="R534" s="18" t="str">
        <f aca="false">IF(J534="","",J534^2)</f>
        <v/>
      </c>
    </row>
    <row r="535" customFormat="false" ht="15" hidden="false" customHeight="false" outlineLevel="0" collapsed="false">
      <c r="A535" s="16"/>
      <c r="B535" s="17"/>
      <c r="C535" s="17"/>
      <c r="D535" s="17"/>
      <c r="E535" s="17"/>
      <c r="F535" s="17"/>
      <c r="G535" s="17"/>
      <c r="H535" s="17"/>
      <c r="I535" s="17"/>
      <c r="J535" s="18" t="str">
        <f aca="false">IF(COUNT(E535:I535)&lt;5,"",SUM(E535:I535))</f>
        <v/>
      </c>
      <c r="K535" s="18" t="str">
        <f aca="false">IF(J535="","",IF(M535&lt;설정!$B$3,"",ROUND(AVERAGEIFS($J$2:$J$1001,$B$2:$B$1001,B535,$A$2:$A$1001,"&lt;"&amp;A535,$A$2:$A$1001,"&gt;="&amp;(A535-설정!$B$2)),2)))</f>
        <v/>
      </c>
      <c r="L535" s="18" t="str">
        <f aca="false">IF(K535="","",ROUND(SQRT(MAX(0,(SUMIFS($R$2:$R$1001,$B$2:$B$1001,B535,$A$2:$A$1001,"&lt;"&amp;A535,$A$2:$A$1001,"&gt;="&amp;(A535-설정!$B$2))-M535*AVERAGEIFS($J$2:$J$1001,$B$2:$B$1001,B535,$A$2:$A$1001,"&lt;"&amp;A535,$A$2:$A$1001,"&gt;="&amp;(A535-설정!$B$2))^2)/(M535-1))),2))</f>
        <v/>
      </c>
      <c r="M535" s="18" t="str">
        <f aca="false">IF(J535="","",COUNTIFS($B$2:$B$1001,B535,$A$2:$A$1001,"&lt;"&amp;A535,$A$2:$A$1001,"&gt;="&amp;(A535-설정!$B$2),$J$2:$J$1001,"&gt;=0"))</f>
        <v/>
      </c>
      <c r="N535" s="18" t="str">
        <f aca="false">IF(K535="","",IF(L535=0,"",ROUND((J535-K535)/L535,2)))</f>
        <v/>
      </c>
      <c r="O535" s="19" t="str">
        <f aca="false">IF(J535="","",IF(MIN(F535,G535)&lt;=설정!$B$5,"예",""))</f>
        <v/>
      </c>
      <c r="P535" s="19" t="str">
        <f aca="false">IF(J535="","",IF(M535&lt;설정!$B$3,"baseline 수집 중",IF(N535="","정상",IF(N535&lt;=설정!$B$4,"낮음","정상"))))</f>
        <v/>
      </c>
      <c r="Q535" s="20"/>
      <c r="R535" s="18" t="str">
        <f aca="false">IF(J535="","",J535^2)</f>
        <v/>
      </c>
    </row>
    <row r="536" customFormat="false" ht="15" hidden="false" customHeight="false" outlineLevel="0" collapsed="false">
      <c r="A536" s="16"/>
      <c r="B536" s="17"/>
      <c r="C536" s="17"/>
      <c r="D536" s="17"/>
      <c r="E536" s="17"/>
      <c r="F536" s="17"/>
      <c r="G536" s="17"/>
      <c r="H536" s="17"/>
      <c r="I536" s="17"/>
      <c r="J536" s="18" t="str">
        <f aca="false">IF(COUNT(E536:I536)&lt;5,"",SUM(E536:I536))</f>
        <v/>
      </c>
      <c r="K536" s="18" t="str">
        <f aca="false">IF(J536="","",IF(M536&lt;설정!$B$3,"",ROUND(AVERAGEIFS($J$2:$J$1001,$B$2:$B$1001,B536,$A$2:$A$1001,"&lt;"&amp;A536,$A$2:$A$1001,"&gt;="&amp;(A536-설정!$B$2)),2)))</f>
        <v/>
      </c>
      <c r="L536" s="18" t="str">
        <f aca="false">IF(K536="","",ROUND(SQRT(MAX(0,(SUMIFS($R$2:$R$1001,$B$2:$B$1001,B536,$A$2:$A$1001,"&lt;"&amp;A536,$A$2:$A$1001,"&gt;="&amp;(A536-설정!$B$2))-M536*AVERAGEIFS($J$2:$J$1001,$B$2:$B$1001,B536,$A$2:$A$1001,"&lt;"&amp;A536,$A$2:$A$1001,"&gt;="&amp;(A536-설정!$B$2))^2)/(M536-1))),2))</f>
        <v/>
      </c>
      <c r="M536" s="18" t="str">
        <f aca="false">IF(J536="","",COUNTIFS($B$2:$B$1001,B536,$A$2:$A$1001,"&lt;"&amp;A536,$A$2:$A$1001,"&gt;="&amp;(A536-설정!$B$2),$J$2:$J$1001,"&gt;=0"))</f>
        <v/>
      </c>
      <c r="N536" s="18" t="str">
        <f aca="false">IF(K536="","",IF(L536=0,"",ROUND((J536-K536)/L536,2)))</f>
        <v/>
      </c>
      <c r="O536" s="19" t="str">
        <f aca="false">IF(J536="","",IF(MIN(F536,G536)&lt;=설정!$B$5,"예",""))</f>
        <v/>
      </c>
      <c r="P536" s="19" t="str">
        <f aca="false">IF(J536="","",IF(M536&lt;설정!$B$3,"baseline 수집 중",IF(N536="","정상",IF(N536&lt;=설정!$B$4,"낮음","정상"))))</f>
        <v/>
      </c>
      <c r="Q536" s="20"/>
      <c r="R536" s="18" t="str">
        <f aca="false">IF(J536="","",J536^2)</f>
        <v/>
      </c>
    </row>
    <row r="537" customFormat="false" ht="15" hidden="false" customHeight="false" outlineLevel="0" collapsed="false">
      <c r="A537" s="16"/>
      <c r="B537" s="17"/>
      <c r="C537" s="17"/>
      <c r="D537" s="17"/>
      <c r="E537" s="17"/>
      <c r="F537" s="17"/>
      <c r="G537" s="17"/>
      <c r="H537" s="17"/>
      <c r="I537" s="17"/>
      <c r="J537" s="18" t="str">
        <f aca="false">IF(COUNT(E537:I537)&lt;5,"",SUM(E537:I537))</f>
        <v/>
      </c>
      <c r="K537" s="18" t="str">
        <f aca="false">IF(J537="","",IF(M537&lt;설정!$B$3,"",ROUND(AVERAGEIFS($J$2:$J$1001,$B$2:$B$1001,B537,$A$2:$A$1001,"&lt;"&amp;A537,$A$2:$A$1001,"&gt;="&amp;(A537-설정!$B$2)),2)))</f>
        <v/>
      </c>
      <c r="L537" s="18" t="str">
        <f aca="false">IF(K537="","",ROUND(SQRT(MAX(0,(SUMIFS($R$2:$R$1001,$B$2:$B$1001,B537,$A$2:$A$1001,"&lt;"&amp;A537,$A$2:$A$1001,"&gt;="&amp;(A537-설정!$B$2))-M537*AVERAGEIFS($J$2:$J$1001,$B$2:$B$1001,B537,$A$2:$A$1001,"&lt;"&amp;A537,$A$2:$A$1001,"&gt;="&amp;(A537-설정!$B$2))^2)/(M537-1))),2))</f>
        <v/>
      </c>
      <c r="M537" s="18" t="str">
        <f aca="false">IF(J537="","",COUNTIFS($B$2:$B$1001,B537,$A$2:$A$1001,"&lt;"&amp;A537,$A$2:$A$1001,"&gt;="&amp;(A537-설정!$B$2),$J$2:$J$1001,"&gt;=0"))</f>
        <v/>
      </c>
      <c r="N537" s="18" t="str">
        <f aca="false">IF(K537="","",IF(L537=0,"",ROUND((J537-K537)/L537,2)))</f>
        <v/>
      </c>
      <c r="O537" s="19" t="str">
        <f aca="false">IF(J537="","",IF(MIN(F537,G537)&lt;=설정!$B$5,"예",""))</f>
        <v/>
      </c>
      <c r="P537" s="19" t="str">
        <f aca="false">IF(J537="","",IF(M537&lt;설정!$B$3,"baseline 수집 중",IF(N537="","정상",IF(N537&lt;=설정!$B$4,"낮음","정상"))))</f>
        <v/>
      </c>
      <c r="Q537" s="20"/>
      <c r="R537" s="18" t="str">
        <f aca="false">IF(J537="","",J537^2)</f>
        <v/>
      </c>
    </row>
    <row r="538" customFormat="false" ht="15" hidden="false" customHeight="false" outlineLevel="0" collapsed="false">
      <c r="A538" s="16"/>
      <c r="B538" s="17"/>
      <c r="C538" s="17"/>
      <c r="D538" s="17"/>
      <c r="E538" s="17"/>
      <c r="F538" s="17"/>
      <c r="G538" s="17"/>
      <c r="H538" s="17"/>
      <c r="I538" s="17"/>
      <c r="J538" s="18" t="str">
        <f aca="false">IF(COUNT(E538:I538)&lt;5,"",SUM(E538:I538))</f>
        <v/>
      </c>
      <c r="K538" s="18" t="str">
        <f aca="false">IF(J538="","",IF(M538&lt;설정!$B$3,"",ROUND(AVERAGEIFS($J$2:$J$1001,$B$2:$B$1001,B538,$A$2:$A$1001,"&lt;"&amp;A538,$A$2:$A$1001,"&gt;="&amp;(A538-설정!$B$2)),2)))</f>
        <v/>
      </c>
      <c r="L538" s="18" t="str">
        <f aca="false">IF(K538="","",ROUND(SQRT(MAX(0,(SUMIFS($R$2:$R$1001,$B$2:$B$1001,B538,$A$2:$A$1001,"&lt;"&amp;A538,$A$2:$A$1001,"&gt;="&amp;(A538-설정!$B$2))-M538*AVERAGEIFS($J$2:$J$1001,$B$2:$B$1001,B538,$A$2:$A$1001,"&lt;"&amp;A538,$A$2:$A$1001,"&gt;="&amp;(A538-설정!$B$2))^2)/(M538-1))),2))</f>
        <v/>
      </c>
      <c r="M538" s="18" t="str">
        <f aca="false">IF(J538="","",COUNTIFS($B$2:$B$1001,B538,$A$2:$A$1001,"&lt;"&amp;A538,$A$2:$A$1001,"&gt;="&amp;(A538-설정!$B$2),$J$2:$J$1001,"&gt;=0"))</f>
        <v/>
      </c>
      <c r="N538" s="18" t="str">
        <f aca="false">IF(K538="","",IF(L538=0,"",ROUND((J538-K538)/L538,2)))</f>
        <v/>
      </c>
      <c r="O538" s="19" t="str">
        <f aca="false">IF(J538="","",IF(MIN(F538,G538)&lt;=설정!$B$5,"예",""))</f>
        <v/>
      </c>
      <c r="P538" s="19" t="str">
        <f aca="false">IF(J538="","",IF(M538&lt;설정!$B$3,"baseline 수집 중",IF(N538="","정상",IF(N538&lt;=설정!$B$4,"낮음","정상"))))</f>
        <v/>
      </c>
      <c r="Q538" s="20"/>
      <c r="R538" s="18" t="str">
        <f aca="false">IF(J538="","",J538^2)</f>
        <v/>
      </c>
    </row>
    <row r="539" customFormat="false" ht="15" hidden="false" customHeight="false" outlineLevel="0" collapsed="false">
      <c r="A539" s="16"/>
      <c r="B539" s="17"/>
      <c r="C539" s="17"/>
      <c r="D539" s="17"/>
      <c r="E539" s="17"/>
      <c r="F539" s="17"/>
      <c r="G539" s="17"/>
      <c r="H539" s="17"/>
      <c r="I539" s="17"/>
      <c r="J539" s="18" t="str">
        <f aca="false">IF(COUNT(E539:I539)&lt;5,"",SUM(E539:I539))</f>
        <v/>
      </c>
      <c r="K539" s="18" t="str">
        <f aca="false">IF(J539="","",IF(M539&lt;설정!$B$3,"",ROUND(AVERAGEIFS($J$2:$J$1001,$B$2:$B$1001,B539,$A$2:$A$1001,"&lt;"&amp;A539,$A$2:$A$1001,"&gt;="&amp;(A539-설정!$B$2)),2)))</f>
        <v/>
      </c>
      <c r="L539" s="18" t="str">
        <f aca="false">IF(K539="","",ROUND(SQRT(MAX(0,(SUMIFS($R$2:$R$1001,$B$2:$B$1001,B539,$A$2:$A$1001,"&lt;"&amp;A539,$A$2:$A$1001,"&gt;="&amp;(A539-설정!$B$2))-M539*AVERAGEIFS($J$2:$J$1001,$B$2:$B$1001,B539,$A$2:$A$1001,"&lt;"&amp;A539,$A$2:$A$1001,"&gt;="&amp;(A539-설정!$B$2))^2)/(M539-1))),2))</f>
        <v/>
      </c>
      <c r="M539" s="18" t="str">
        <f aca="false">IF(J539="","",COUNTIFS($B$2:$B$1001,B539,$A$2:$A$1001,"&lt;"&amp;A539,$A$2:$A$1001,"&gt;="&amp;(A539-설정!$B$2),$J$2:$J$1001,"&gt;=0"))</f>
        <v/>
      </c>
      <c r="N539" s="18" t="str">
        <f aca="false">IF(K539="","",IF(L539=0,"",ROUND((J539-K539)/L539,2)))</f>
        <v/>
      </c>
      <c r="O539" s="19" t="str">
        <f aca="false">IF(J539="","",IF(MIN(F539,G539)&lt;=설정!$B$5,"예",""))</f>
        <v/>
      </c>
      <c r="P539" s="19" t="str">
        <f aca="false">IF(J539="","",IF(M539&lt;설정!$B$3,"baseline 수집 중",IF(N539="","정상",IF(N539&lt;=설정!$B$4,"낮음","정상"))))</f>
        <v/>
      </c>
      <c r="Q539" s="20"/>
      <c r="R539" s="18" t="str">
        <f aca="false">IF(J539="","",J539^2)</f>
        <v/>
      </c>
    </row>
    <row r="540" customFormat="false" ht="15" hidden="false" customHeight="false" outlineLevel="0" collapsed="false">
      <c r="A540" s="16"/>
      <c r="B540" s="17"/>
      <c r="C540" s="17"/>
      <c r="D540" s="17"/>
      <c r="E540" s="17"/>
      <c r="F540" s="17"/>
      <c r="G540" s="17"/>
      <c r="H540" s="17"/>
      <c r="I540" s="17"/>
      <c r="J540" s="18" t="str">
        <f aca="false">IF(COUNT(E540:I540)&lt;5,"",SUM(E540:I540))</f>
        <v/>
      </c>
      <c r="K540" s="18" t="str">
        <f aca="false">IF(J540="","",IF(M540&lt;설정!$B$3,"",ROUND(AVERAGEIFS($J$2:$J$1001,$B$2:$B$1001,B540,$A$2:$A$1001,"&lt;"&amp;A540,$A$2:$A$1001,"&gt;="&amp;(A540-설정!$B$2)),2)))</f>
        <v/>
      </c>
      <c r="L540" s="18" t="str">
        <f aca="false">IF(K540="","",ROUND(SQRT(MAX(0,(SUMIFS($R$2:$R$1001,$B$2:$B$1001,B540,$A$2:$A$1001,"&lt;"&amp;A540,$A$2:$A$1001,"&gt;="&amp;(A540-설정!$B$2))-M540*AVERAGEIFS($J$2:$J$1001,$B$2:$B$1001,B540,$A$2:$A$1001,"&lt;"&amp;A540,$A$2:$A$1001,"&gt;="&amp;(A540-설정!$B$2))^2)/(M540-1))),2))</f>
        <v/>
      </c>
      <c r="M540" s="18" t="str">
        <f aca="false">IF(J540="","",COUNTIFS($B$2:$B$1001,B540,$A$2:$A$1001,"&lt;"&amp;A540,$A$2:$A$1001,"&gt;="&amp;(A540-설정!$B$2),$J$2:$J$1001,"&gt;=0"))</f>
        <v/>
      </c>
      <c r="N540" s="18" t="str">
        <f aca="false">IF(K540="","",IF(L540=0,"",ROUND((J540-K540)/L540,2)))</f>
        <v/>
      </c>
      <c r="O540" s="19" t="str">
        <f aca="false">IF(J540="","",IF(MIN(F540,G540)&lt;=설정!$B$5,"예",""))</f>
        <v/>
      </c>
      <c r="P540" s="19" t="str">
        <f aca="false">IF(J540="","",IF(M540&lt;설정!$B$3,"baseline 수집 중",IF(N540="","정상",IF(N540&lt;=설정!$B$4,"낮음","정상"))))</f>
        <v/>
      </c>
      <c r="Q540" s="20"/>
      <c r="R540" s="18" t="str">
        <f aca="false">IF(J540="","",J540^2)</f>
        <v/>
      </c>
    </row>
    <row r="541" customFormat="false" ht="15" hidden="false" customHeight="false" outlineLevel="0" collapsed="false">
      <c r="A541" s="16"/>
      <c r="B541" s="17"/>
      <c r="C541" s="17"/>
      <c r="D541" s="17"/>
      <c r="E541" s="17"/>
      <c r="F541" s="17"/>
      <c r="G541" s="17"/>
      <c r="H541" s="17"/>
      <c r="I541" s="17"/>
      <c r="J541" s="18" t="str">
        <f aca="false">IF(COUNT(E541:I541)&lt;5,"",SUM(E541:I541))</f>
        <v/>
      </c>
      <c r="K541" s="18" t="str">
        <f aca="false">IF(J541="","",IF(M541&lt;설정!$B$3,"",ROUND(AVERAGEIFS($J$2:$J$1001,$B$2:$B$1001,B541,$A$2:$A$1001,"&lt;"&amp;A541,$A$2:$A$1001,"&gt;="&amp;(A541-설정!$B$2)),2)))</f>
        <v/>
      </c>
      <c r="L541" s="18" t="str">
        <f aca="false">IF(K541="","",ROUND(SQRT(MAX(0,(SUMIFS($R$2:$R$1001,$B$2:$B$1001,B541,$A$2:$A$1001,"&lt;"&amp;A541,$A$2:$A$1001,"&gt;="&amp;(A541-설정!$B$2))-M541*AVERAGEIFS($J$2:$J$1001,$B$2:$B$1001,B541,$A$2:$A$1001,"&lt;"&amp;A541,$A$2:$A$1001,"&gt;="&amp;(A541-설정!$B$2))^2)/(M541-1))),2))</f>
        <v/>
      </c>
      <c r="M541" s="18" t="str">
        <f aca="false">IF(J541="","",COUNTIFS($B$2:$B$1001,B541,$A$2:$A$1001,"&lt;"&amp;A541,$A$2:$A$1001,"&gt;="&amp;(A541-설정!$B$2),$J$2:$J$1001,"&gt;=0"))</f>
        <v/>
      </c>
      <c r="N541" s="18" t="str">
        <f aca="false">IF(K541="","",IF(L541=0,"",ROUND((J541-K541)/L541,2)))</f>
        <v/>
      </c>
      <c r="O541" s="19" t="str">
        <f aca="false">IF(J541="","",IF(MIN(F541,G541)&lt;=설정!$B$5,"예",""))</f>
        <v/>
      </c>
      <c r="P541" s="19" t="str">
        <f aca="false">IF(J541="","",IF(M541&lt;설정!$B$3,"baseline 수집 중",IF(N541="","정상",IF(N541&lt;=설정!$B$4,"낮음","정상"))))</f>
        <v/>
      </c>
      <c r="Q541" s="20"/>
      <c r="R541" s="18" t="str">
        <f aca="false">IF(J541="","",J541^2)</f>
        <v/>
      </c>
    </row>
    <row r="542" customFormat="false" ht="15" hidden="false" customHeight="false" outlineLevel="0" collapsed="false">
      <c r="A542" s="16"/>
      <c r="B542" s="17"/>
      <c r="C542" s="17"/>
      <c r="D542" s="17"/>
      <c r="E542" s="17"/>
      <c r="F542" s="17"/>
      <c r="G542" s="17"/>
      <c r="H542" s="17"/>
      <c r="I542" s="17"/>
      <c r="J542" s="18" t="str">
        <f aca="false">IF(COUNT(E542:I542)&lt;5,"",SUM(E542:I542))</f>
        <v/>
      </c>
      <c r="K542" s="18" t="str">
        <f aca="false">IF(J542="","",IF(M542&lt;설정!$B$3,"",ROUND(AVERAGEIFS($J$2:$J$1001,$B$2:$B$1001,B542,$A$2:$A$1001,"&lt;"&amp;A542,$A$2:$A$1001,"&gt;="&amp;(A542-설정!$B$2)),2)))</f>
        <v/>
      </c>
      <c r="L542" s="18" t="str">
        <f aca="false">IF(K542="","",ROUND(SQRT(MAX(0,(SUMIFS($R$2:$R$1001,$B$2:$B$1001,B542,$A$2:$A$1001,"&lt;"&amp;A542,$A$2:$A$1001,"&gt;="&amp;(A542-설정!$B$2))-M542*AVERAGEIFS($J$2:$J$1001,$B$2:$B$1001,B542,$A$2:$A$1001,"&lt;"&amp;A542,$A$2:$A$1001,"&gt;="&amp;(A542-설정!$B$2))^2)/(M542-1))),2))</f>
        <v/>
      </c>
      <c r="M542" s="18" t="str">
        <f aca="false">IF(J542="","",COUNTIFS($B$2:$B$1001,B542,$A$2:$A$1001,"&lt;"&amp;A542,$A$2:$A$1001,"&gt;="&amp;(A542-설정!$B$2),$J$2:$J$1001,"&gt;=0"))</f>
        <v/>
      </c>
      <c r="N542" s="18" t="str">
        <f aca="false">IF(K542="","",IF(L542=0,"",ROUND((J542-K542)/L542,2)))</f>
        <v/>
      </c>
      <c r="O542" s="19" t="str">
        <f aca="false">IF(J542="","",IF(MIN(F542,G542)&lt;=설정!$B$5,"예",""))</f>
        <v/>
      </c>
      <c r="P542" s="19" t="str">
        <f aca="false">IF(J542="","",IF(M542&lt;설정!$B$3,"baseline 수집 중",IF(N542="","정상",IF(N542&lt;=설정!$B$4,"낮음","정상"))))</f>
        <v/>
      </c>
      <c r="Q542" s="20"/>
      <c r="R542" s="18" t="str">
        <f aca="false">IF(J542="","",J542^2)</f>
        <v/>
      </c>
    </row>
    <row r="543" customFormat="false" ht="15" hidden="false" customHeight="false" outlineLevel="0" collapsed="false">
      <c r="A543" s="16"/>
      <c r="B543" s="17"/>
      <c r="C543" s="17"/>
      <c r="D543" s="17"/>
      <c r="E543" s="17"/>
      <c r="F543" s="17"/>
      <c r="G543" s="17"/>
      <c r="H543" s="17"/>
      <c r="I543" s="17"/>
      <c r="J543" s="18" t="str">
        <f aca="false">IF(COUNT(E543:I543)&lt;5,"",SUM(E543:I543))</f>
        <v/>
      </c>
      <c r="K543" s="18" t="str">
        <f aca="false">IF(J543="","",IF(M543&lt;설정!$B$3,"",ROUND(AVERAGEIFS($J$2:$J$1001,$B$2:$B$1001,B543,$A$2:$A$1001,"&lt;"&amp;A543,$A$2:$A$1001,"&gt;="&amp;(A543-설정!$B$2)),2)))</f>
        <v/>
      </c>
      <c r="L543" s="18" t="str">
        <f aca="false">IF(K543="","",ROUND(SQRT(MAX(0,(SUMIFS($R$2:$R$1001,$B$2:$B$1001,B543,$A$2:$A$1001,"&lt;"&amp;A543,$A$2:$A$1001,"&gt;="&amp;(A543-설정!$B$2))-M543*AVERAGEIFS($J$2:$J$1001,$B$2:$B$1001,B543,$A$2:$A$1001,"&lt;"&amp;A543,$A$2:$A$1001,"&gt;="&amp;(A543-설정!$B$2))^2)/(M543-1))),2))</f>
        <v/>
      </c>
      <c r="M543" s="18" t="str">
        <f aca="false">IF(J543="","",COUNTIFS($B$2:$B$1001,B543,$A$2:$A$1001,"&lt;"&amp;A543,$A$2:$A$1001,"&gt;="&amp;(A543-설정!$B$2),$J$2:$J$1001,"&gt;=0"))</f>
        <v/>
      </c>
      <c r="N543" s="18" t="str">
        <f aca="false">IF(K543="","",IF(L543=0,"",ROUND((J543-K543)/L543,2)))</f>
        <v/>
      </c>
      <c r="O543" s="19" t="str">
        <f aca="false">IF(J543="","",IF(MIN(F543,G543)&lt;=설정!$B$5,"예",""))</f>
        <v/>
      </c>
      <c r="P543" s="19" t="str">
        <f aca="false">IF(J543="","",IF(M543&lt;설정!$B$3,"baseline 수집 중",IF(N543="","정상",IF(N543&lt;=설정!$B$4,"낮음","정상"))))</f>
        <v/>
      </c>
      <c r="Q543" s="20"/>
      <c r="R543" s="18" t="str">
        <f aca="false">IF(J543="","",J543^2)</f>
        <v/>
      </c>
    </row>
    <row r="544" customFormat="false" ht="15" hidden="false" customHeight="false" outlineLevel="0" collapsed="false">
      <c r="A544" s="16"/>
      <c r="B544" s="17"/>
      <c r="C544" s="17"/>
      <c r="D544" s="17"/>
      <c r="E544" s="17"/>
      <c r="F544" s="17"/>
      <c r="G544" s="17"/>
      <c r="H544" s="17"/>
      <c r="I544" s="17"/>
      <c r="J544" s="18" t="str">
        <f aca="false">IF(COUNT(E544:I544)&lt;5,"",SUM(E544:I544))</f>
        <v/>
      </c>
      <c r="K544" s="18" t="str">
        <f aca="false">IF(J544="","",IF(M544&lt;설정!$B$3,"",ROUND(AVERAGEIFS($J$2:$J$1001,$B$2:$B$1001,B544,$A$2:$A$1001,"&lt;"&amp;A544,$A$2:$A$1001,"&gt;="&amp;(A544-설정!$B$2)),2)))</f>
        <v/>
      </c>
      <c r="L544" s="18" t="str">
        <f aca="false">IF(K544="","",ROUND(SQRT(MAX(0,(SUMIFS($R$2:$R$1001,$B$2:$B$1001,B544,$A$2:$A$1001,"&lt;"&amp;A544,$A$2:$A$1001,"&gt;="&amp;(A544-설정!$B$2))-M544*AVERAGEIFS($J$2:$J$1001,$B$2:$B$1001,B544,$A$2:$A$1001,"&lt;"&amp;A544,$A$2:$A$1001,"&gt;="&amp;(A544-설정!$B$2))^2)/(M544-1))),2))</f>
        <v/>
      </c>
      <c r="M544" s="18" t="str">
        <f aca="false">IF(J544="","",COUNTIFS($B$2:$B$1001,B544,$A$2:$A$1001,"&lt;"&amp;A544,$A$2:$A$1001,"&gt;="&amp;(A544-설정!$B$2),$J$2:$J$1001,"&gt;=0"))</f>
        <v/>
      </c>
      <c r="N544" s="18" t="str">
        <f aca="false">IF(K544="","",IF(L544=0,"",ROUND((J544-K544)/L544,2)))</f>
        <v/>
      </c>
      <c r="O544" s="19" t="str">
        <f aca="false">IF(J544="","",IF(MIN(F544,G544)&lt;=설정!$B$5,"예",""))</f>
        <v/>
      </c>
      <c r="P544" s="19" t="str">
        <f aca="false">IF(J544="","",IF(M544&lt;설정!$B$3,"baseline 수집 중",IF(N544="","정상",IF(N544&lt;=설정!$B$4,"낮음","정상"))))</f>
        <v/>
      </c>
      <c r="Q544" s="20"/>
      <c r="R544" s="18" t="str">
        <f aca="false">IF(J544="","",J544^2)</f>
        <v/>
      </c>
    </row>
    <row r="545" customFormat="false" ht="15" hidden="false" customHeight="false" outlineLevel="0" collapsed="false">
      <c r="A545" s="16"/>
      <c r="B545" s="17"/>
      <c r="C545" s="17"/>
      <c r="D545" s="17"/>
      <c r="E545" s="17"/>
      <c r="F545" s="17"/>
      <c r="G545" s="17"/>
      <c r="H545" s="17"/>
      <c r="I545" s="17"/>
      <c r="J545" s="18" t="str">
        <f aca="false">IF(COUNT(E545:I545)&lt;5,"",SUM(E545:I545))</f>
        <v/>
      </c>
      <c r="K545" s="18" t="str">
        <f aca="false">IF(J545="","",IF(M545&lt;설정!$B$3,"",ROUND(AVERAGEIFS($J$2:$J$1001,$B$2:$B$1001,B545,$A$2:$A$1001,"&lt;"&amp;A545,$A$2:$A$1001,"&gt;="&amp;(A545-설정!$B$2)),2)))</f>
        <v/>
      </c>
      <c r="L545" s="18" t="str">
        <f aca="false">IF(K545="","",ROUND(SQRT(MAX(0,(SUMIFS($R$2:$R$1001,$B$2:$B$1001,B545,$A$2:$A$1001,"&lt;"&amp;A545,$A$2:$A$1001,"&gt;="&amp;(A545-설정!$B$2))-M545*AVERAGEIFS($J$2:$J$1001,$B$2:$B$1001,B545,$A$2:$A$1001,"&lt;"&amp;A545,$A$2:$A$1001,"&gt;="&amp;(A545-설정!$B$2))^2)/(M545-1))),2))</f>
        <v/>
      </c>
      <c r="M545" s="18" t="str">
        <f aca="false">IF(J545="","",COUNTIFS($B$2:$B$1001,B545,$A$2:$A$1001,"&lt;"&amp;A545,$A$2:$A$1001,"&gt;="&amp;(A545-설정!$B$2),$J$2:$J$1001,"&gt;=0"))</f>
        <v/>
      </c>
      <c r="N545" s="18" t="str">
        <f aca="false">IF(K545="","",IF(L545=0,"",ROUND((J545-K545)/L545,2)))</f>
        <v/>
      </c>
      <c r="O545" s="19" t="str">
        <f aca="false">IF(J545="","",IF(MIN(F545,G545)&lt;=설정!$B$5,"예",""))</f>
        <v/>
      </c>
      <c r="P545" s="19" t="str">
        <f aca="false">IF(J545="","",IF(M545&lt;설정!$B$3,"baseline 수집 중",IF(N545="","정상",IF(N545&lt;=설정!$B$4,"낮음","정상"))))</f>
        <v/>
      </c>
      <c r="Q545" s="20"/>
      <c r="R545" s="18" t="str">
        <f aca="false">IF(J545="","",J545^2)</f>
        <v/>
      </c>
    </row>
    <row r="546" customFormat="false" ht="15" hidden="false" customHeight="false" outlineLevel="0" collapsed="false">
      <c r="A546" s="16"/>
      <c r="B546" s="17"/>
      <c r="C546" s="17"/>
      <c r="D546" s="17"/>
      <c r="E546" s="17"/>
      <c r="F546" s="17"/>
      <c r="G546" s="17"/>
      <c r="H546" s="17"/>
      <c r="I546" s="17"/>
      <c r="J546" s="18" t="str">
        <f aca="false">IF(COUNT(E546:I546)&lt;5,"",SUM(E546:I546))</f>
        <v/>
      </c>
      <c r="K546" s="18" t="str">
        <f aca="false">IF(J546="","",IF(M546&lt;설정!$B$3,"",ROUND(AVERAGEIFS($J$2:$J$1001,$B$2:$B$1001,B546,$A$2:$A$1001,"&lt;"&amp;A546,$A$2:$A$1001,"&gt;="&amp;(A546-설정!$B$2)),2)))</f>
        <v/>
      </c>
      <c r="L546" s="18" t="str">
        <f aca="false">IF(K546="","",ROUND(SQRT(MAX(0,(SUMIFS($R$2:$R$1001,$B$2:$B$1001,B546,$A$2:$A$1001,"&lt;"&amp;A546,$A$2:$A$1001,"&gt;="&amp;(A546-설정!$B$2))-M546*AVERAGEIFS($J$2:$J$1001,$B$2:$B$1001,B546,$A$2:$A$1001,"&lt;"&amp;A546,$A$2:$A$1001,"&gt;="&amp;(A546-설정!$B$2))^2)/(M546-1))),2))</f>
        <v/>
      </c>
      <c r="M546" s="18" t="str">
        <f aca="false">IF(J546="","",COUNTIFS($B$2:$B$1001,B546,$A$2:$A$1001,"&lt;"&amp;A546,$A$2:$A$1001,"&gt;="&amp;(A546-설정!$B$2),$J$2:$J$1001,"&gt;=0"))</f>
        <v/>
      </c>
      <c r="N546" s="18" t="str">
        <f aca="false">IF(K546="","",IF(L546=0,"",ROUND((J546-K546)/L546,2)))</f>
        <v/>
      </c>
      <c r="O546" s="19" t="str">
        <f aca="false">IF(J546="","",IF(MIN(F546,G546)&lt;=설정!$B$5,"예",""))</f>
        <v/>
      </c>
      <c r="P546" s="19" t="str">
        <f aca="false">IF(J546="","",IF(M546&lt;설정!$B$3,"baseline 수집 중",IF(N546="","정상",IF(N546&lt;=설정!$B$4,"낮음","정상"))))</f>
        <v/>
      </c>
      <c r="Q546" s="20"/>
      <c r="R546" s="18" t="str">
        <f aca="false">IF(J546="","",J546^2)</f>
        <v/>
      </c>
    </row>
    <row r="547" customFormat="false" ht="15" hidden="false" customHeight="false" outlineLevel="0" collapsed="false">
      <c r="A547" s="16"/>
      <c r="B547" s="17"/>
      <c r="C547" s="17"/>
      <c r="D547" s="17"/>
      <c r="E547" s="17"/>
      <c r="F547" s="17"/>
      <c r="G547" s="17"/>
      <c r="H547" s="17"/>
      <c r="I547" s="17"/>
      <c r="J547" s="18" t="str">
        <f aca="false">IF(COUNT(E547:I547)&lt;5,"",SUM(E547:I547))</f>
        <v/>
      </c>
      <c r="K547" s="18" t="str">
        <f aca="false">IF(J547="","",IF(M547&lt;설정!$B$3,"",ROUND(AVERAGEIFS($J$2:$J$1001,$B$2:$B$1001,B547,$A$2:$A$1001,"&lt;"&amp;A547,$A$2:$A$1001,"&gt;="&amp;(A547-설정!$B$2)),2)))</f>
        <v/>
      </c>
      <c r="L547" s="18" t="str">
        <f aca="false">IF(K547="","",ROUND(SQRT(MAX(0,(SUMIFS($R$2:$R$1001,$B$2:$B$1001,B547,$A$2:$A$1001,"&lt;"&amp;A547,$A$2:$A$1001,"&gt;="&amp;(A547-설정!$B$2))-M547*AVERAGEIFS($J$2:$J$1001,$B$2:$B$1001,B547,$A$2:$A$1001,"&lt;"&amp;A547,$A$2:$A$1001,"&gt;="&amp;(A547-설정!$B$2))^2)/(M547-1))),2))</f>
        <v/>
      </c>
      <c r="M547" s="18" t="str">
        <f aca="false">IF(J547="","",COUNTIFS($B$2:$B$1001,B547,$A$2:$A$1001,"&lt;"&amp;A547,$A$2:$A$1001,"&gt;="&amp;(A547-설정!$B$2),$J$2:$J$1001,"&gt;=0"))</f>
        <v/>
      </c>
      <c r="N547" s="18" t="str">
        <f aca="false">IF(K547="","",IF(L547=0,"",ROUND((J547-K547)/L547,2)))</f>
        <v/>
      </c>
      <c r="O547" s="19" t="str">
        <f aca="false">IF(J547="","",IF(MIN(F547,G547)&lt;=설정!$B$5,"예",""))</f>
        <v/>
      </c>
      <c r="P547" s="19" t="str">
        <f aca="false">IF(J547="","",IF(M547&lt;설정!$B$3,"baseline 수집 중",IF(N547="","정상",IF(N547&lt;=설정!$B$4,"낮음","정상"))))</f>
        <v/>
      </c>
      <c r="Q547" s="20"/>
      <c r="R547" s="18" t="str">
        <f aca="false">IF(J547="","",J547^2)</f>
        <v/>
      </c>
    </row>
    <row r="548" customFormat="false" ht="15" hidden="false" customHeight="false" outlineLevel="0" collapsed="false">
      <c r="A548" s="16"/>
      <c r="B548" s="17"/>
      <c r="C548" s="17"/>
      <c r="D548" s="17"/>
      <c r="E548" s="17"/>
      <c r="F548" s="17"/>
      <c r="G548" s="17"/>
      <c r="H548" s="17"/>
      <c r="I548" s="17"/>
      <c r="J548" s="18" t="str">
        <f aca="false">IF(COUNT(E548:I548)&lt;5,"",SUM(E548:I548))</f>
        <v/>
      </c>
      <c r="K548" s="18" t="str">
        <f aca="false">IF(J548="","",IF(M548&lt;설정!$B$3,"",ROUND(AVERAGEIFS($J$2:$J$1001,$B$2:$B$1001,B548,$A$2:$A$1001,"&lt;"&amp;A548,$A$2:$A$1001,"&gt;="&amp;(A548-설정!$B$2)),2)))</f>
        <v/>
      </c>
      <c r="L548" s="18" t="str">
        <f aca="false">IF(K548="","",ROUND(SQRT(MAX(0,(SUMIFS($R$2:$R$1001,$B$2:$B$1001,B548,$A$2:$A$1001,"&lt;"&amp;A548,$A$2:$A$1001,"&gt;="&amp;(A548-설정!$B$2))-M548*AVERAGEIFS($J$2:$J$1001,$B$2:$B$1001,B548,$A$2:$A$1001,"&lt;"&amp;A548,$A$2:$A$1001,"&gt;="&amp;(A548-설정!$B$2))^2)/(M548-1))),2))</f>
        <v/>
      </c>
      <c r="M548" s="18" t="str">
        <f aca="false">IF(J548="","",COUNTIFS($B$2:$B$1001,B548,$A$2:$A$1001,"&lt;"&amp;A548,$A$2:$A$1001,"&gt;="&amp;(A548-설정!$B$2),$J$2:$J$1001,"&gt;=0"))</f>
        <v/>
      </c>
      <c r="N548" s="18" t="str">
        <f aca="false">IF(K548="","",IF(L548=0,"",ROUND((J548-K548)/L548,2)))</f>
        <v/>
      </c>
      <c r="O548" s="19" t="str">
        <f aca="false">IF(J548="","",IF(MIN(F548,G548)&lt;=설정!$B$5,"예",""))</f>
        <v/>
      </c>
      <c r="P548" s="19" t="str">
        <f aca="false">IF(J548="","",IF(M548&lt;설정!$B$3,"baseline 수집 중",IF(N548="","정상",IF(N548&lt;=설정!$B$4,"낮음","정상"))))</f>
        <v/>
      </c>
      <c r="Q548" s="20"/>
      <c r="R548" s="18" t="str">
        <f aca="false">IF(J548="","",J548^2)</f>
        <v/>
      </c>
    </row>
    <row r="549" customFormat="false" ht="15" hidden="false" customHeight="false" outlineLevel="0" collapsed="false">
      <c r="A549" s="16"/>
      <c r="B549" s="17"/>
      <c r="C549" s="17"/>
      <c r="D549" s="17"/>
      <c r="E549" s="17"/>
      <c r="F549" s="17"/>
      <c r="G549" s="17"/>
      <c r="H549" s="17"/>
      <c r="I549" s="17"/>
      <c r="J549" s="18" t="str">
        <f aca="false">IF(COUNT(E549:I549)&lt;5,"",SUM(E549:I549))</f>
        <v/>
      </c>
      <c r="K549" s="18" t="str">
        <f aca="false">IF(J549="","",IF(M549&lt;설정!$B$3,"",ROUND(AVERAGEIFS($J$2:$J$1001,$B$2:$B$1001,B549,$A$2:$A$1001,"&lt;"&amp;A549,$A$2:$A$1001,"&gt;="&amp;(A549-설정!$B$2)),2)))</f>
        <v/>
      </c>
      <c r="L549" s="18" t="str">
        <f aca="false">IF(K549="","",ROUND(SQRT(MAX(0,(SUMIFS($R$2:$R$1001,$B$2:$B$1001,B549,$A$2:$A$1001,"&lt;"&amp;A549,$A$2:$A$1001,"&gt;="&amp;(A549-설정!$B$2))-M549*AVERAGEIFS($J$2:$J$1001,$B$2:$B$1001,B549,$A$2:$A$1001,"&lt;"&amp;A549,$A$2:$A$1001,"&gt;="&amp;(A549-설정!$B$2))^2)/(M549-1))),2))</f>
        <v/>
      </c>
      <c r="M549" s="18" t="str">
        <f aca="false">IF(J549="","",COUNTIFS($B$2:$B$1001,B549,$A$2:$A$1001,"&lt;"&amp;A549,$A$2:$A$1001,"&gt;="&amp;(A549-설정!$B$2),$J$2:$J$1001,"&gt;=0"))</f>
        <v/>
      </c>
      <c r="N549" s="18" t="str">
        <f aca="false">IF(K549="","",IF(L549=0,"",ROUND((J549-K549)/L549,2)))</f>
        <v/>
      </c>
      <c r="O549" s="19" t="str">
        <f aca="false">IF(J549="","",IF(MIN(F549,G549)&lt;=설정!$B$5,"예",""))</f>
        <v/>
      </c>
      <c r="P549" s="19" t="str">
        <f aca="false">IF(J549="","",IF(M549&lt;설정!$B$3,"baseline 수집 중",IF(N549="","정상",IF(N549&lt;=설정!$B$4,"낮음","정상"))))</f>
        <v/>
      </c>
      <c r="Q549" s="20"/>
      <c r="R549" s="18" t="str">
        <f aca="false">IF(J549="","",J549^2)</f>
        <v/>
      </c>
    </row>
    <row r="550" customFormat="false" ht="15" hidden="false" customHeight="false" outlineLevel="0" collapsed="false">
      <c r="A550" s="16"/>
      <c r="B550" s="17"/>
      <c r="C550" s="17"/>
      <c r="D550" s="17"/>
      <c r="E550" s="17"/>
      <c r="F550" s="17"/>
      <c r="G550" s="17"/>
      <c r="H550" s="17"/>
      <c r="I550" s="17"/>
      <c r="J550" s="18" t="str">
        <f aca="false">IF(COUNT(E550:I550)&lt;5,"",SUM(E550:I550))</f>
        <v/>
      </c>
      <c r="K550" s="18" t="str">
        <f aca="false">IF(J550="","",IF(M550&lt;설정!$B$3,"",ROUND(AVERAGEIFS($J$2:$J$1001,$B$2:$B$1001,B550,$A$2:$A$1001,"&lt;"&amp;A550,$A$2:$A$1001,"&gt;="&amp;(A550-설정!$B$2)),2)))</f>
        <v/>
      </c>
      <c r="L550" s="18" t="str">
        <f aca="false">IF(K550="","",ROUND(SQRT(MAX(0,(SUMIFS($R$2:$R$1001,$B$2:$B$1001,B550,$A$2:$A$1001,"&lt;"&amp;A550,$A$2:$A$1001,"&gt;="&amp;(A550-설정!$B$2))-M550*AVERAGEIFS($J$2:$J$1001,$B$2:$B$1001,B550,$A$2:$A$1001,"&lt;"&amp;A550,$A$2:$A$1001,"&gt;="&amp;(A550-설정!$B$2))^2)/(M550-1))),2))</f>
        <v/>
      </c>
      <c r="M550" s="18" t="str">
        <f aca="false">IF(J550="","",COUNTIFS($B$2:$B$1001,B550,$A$2:$A$1001,"&lt;"&amp;A550,$A$2:$A$1001,"&gt;="&amp;(A550-설정!$B$2),$J$2:$J$1001,"&gt;=0"))</f>
        <v/>
      </c>
      <c r="N550" s="18" t="str">
        <f aca="false">IF(K550="","",IF(L550=0,"",ROUND((J550-K550)/L550,2)))</f>
        <v/>
      </c>
      <c r="O550" s="19" t="str">
        <f aca="false">IF(J550="","",IF(MIN(F550,G550)&lt;=설정!$B$5,"예",""))</f>
        <v/>
      </c>
      <c r="P550" s="19" t="str">
        <f aca="false">IF(J550="","",IF(M550&lt;설정!$B$3,"baseline 수집 중",IF(N550="","정상",IF(N550&lt;=설정!$B$4,"낮음","정상"))))</f>
        <v/>
      </c>
      <c r="Q550" s="20"/>
      <c r="R550" s="18" t="str">
        <f aca="false">IF(J550="","",J550^2)</f>
        <v/>
      </c>
    </row>
    <row r="551" customFormat="false" ht="15" hidden="false" customHeight="false" outlineLevel="0" collapsed="false">
      <c r="A551" s="16"/>
      <c r="B551" s="17"/>
      <c r="C551" s="17"/>
      <c r="D551" s="17"/>
      <c r="E551" s="17"/>
      <c r="F551" s="17"/>
      <c r="G551" s="17"/>
      <c r="H551" s="17"/>
      <c r="I551" s="17"/>
      <c r="J551" s="18" t="str">
        <f aca="false">IF(COUNT(E551:I551)&lt;5,"",SUM(E551:I551))</f>
        <v/>
      </c>
      <c r="K551" s="18" t="str">
        <f aca="false">IF(J551="","",IF(M551&lt;설정!$B$3,"",ROUND(AVERAGEIFS($J$2:$J$1001,$B$2:$B$1001,B551,$A$2:$A$1001,"&lt;"&amp;A551,$A$2:$A$1001,"&gt;="&amp;(A551-설정!$B$2)),2)))</f>
        <v/>
      </c>
      <c r="L551" s="18" t="str">
        <f aca="false">IF(K551="","",ROUND(SQRT(MAX(0,(SUMIFS($R$2:$R$1001,$B$2:$B$1001,B551,$A$2:$A$1001,"&lt;"&amp;A551,$A$2:$A$1001,"&gt;="&amp;(A551-설정!$B$2))-M551*AVERAGEIFS($J$2:$J$1001,$B$2:$B$1001,B551,$A$2:$A$1001,"&lt;"&amp;A551,$A$2:$A$1001,"&gt;="&amp;(A551-설정!$B$2))^2)/(M551-1))),2))</f>
        <v/>
      </c>
      <c r="M551" s="18" t="str">
        <f aca="false">IF(J551="","",COUNTIFS($B$2:$B$1001,B551,$A$2:$A$1001,"&lt;"&amp;A551,$A$2:$A$1001,"&gt;="&amp;(A551-설정!$B$2),$J$2:$J$1001,"&gt;=0"))</f>
        <v/>
      </c>
      <c r="N551" s="18" t="str">
        <f aca="false">IF(K551="","",IF(L551=0,"",ROUND((J551-K551)/L551,2)))</f>
        <v/>
      </c>
      <c r="O551" s="19" t="str">
        <f aca="false">IF(J551="","",IF(MIN(F551,G551)&lt;=설정!$B$5,"예",""))</f>
        <v/>
      </c>
      <c r="P551" s="19" t="str">
        <f aca="false">IF(J551="","",IF(M551&lt;설정!$B$3,"baseline 수집 중",IF(N551="","정상",IF(N551&lt;=설정!$B$4,"낮음","정상"))))</f>
        <v/>
      </c>
      <c r="Q551" s="20"/>
      <c r="R551" s="18" t="str">
        <f aca="false">IF(J551="","",J551^2)</f>
        <v/>
      </c>
    </row>
    <row r="552" customFormat="false" ht="15" hidden="false" customHeight="false" outlineLevel="0" collapsed="false">
      <c r="A552" s="16"/>
      <c r="B552" s="17"/>
      <c r="C552" s="17"/>
      <c r="D552" s="17"/>
      <c r="E552" s="17"/>
      <c r="F552" s="17"/>
      <c r="G552" s="17"/>
      <c r="H552" s="17"/>
      <c r="I552" s="17"/>
      <c r="J552" s="18" t="str">
        <f aca="false">IF(COUNT(E552:I552)&lt;5,"",SUM(E552:I552))</f>
        <v/>
      </c>
      <c r="K552" s="18" t="str">
        <f aca="false">IF(J552="","",IF(M552&lt;설정!$B$3,"",ROUND(AVERAGEIFS($J$2:$J$1001,$B$2:$B$1001,B552,$A$2:$A$1001,"&lt;"&amp;A552,$A$2:$A$1001,"&gt;="&amp;(A552-설정!$B$2)),2)))</f>
        <v/>
      </c>
      <c r="L552" s="18" t="str">
        <f aca="false">IF(K552="","",ROUND(SQRT(MAX(0,(SUMIFS($R$2:$R$1001,$B$2:$B$1001,B552,$A$2:$A$1001,"&lt;"&amp;A552,$A$2:$A$1001,"&gt;="&amp;(A552-설정!$B$2))-M552*AVERAGEIFS($J$2:$J$1001,$B$2:$B$1001,B552,$A$2:$A$1001,"&lt;"&amp;A552,$A$2:$A$1001,"&gt;="&amp;(A552-설정!$B$2))^2)/(M552-1))),2))</f>
        <v/>
      </c>
      <c r="M552" s="18" t="str">
        <f aca="false">IF(J552="","",COUNTIFS($B$2:$B$1001,B552,$A$2:$A$1001,"&lt;"&amp;A552,$A$2:$A$1001,"&gt;="&amp;(A552-설정!$B$2),$J$2:$J$1001,"&gt;=0"))</f>
        <v/>
      </c>
      <c r="N552" s="18" t="str">
        <f aca="false">IF(K552="","",IF(L552=0,"",ROUND((J552-K552)/L552,2)))</f>
        <v/>
      </c>
      <c r="O552" s="19" t="str">
        <f aca="false">IF(J552="","",IF(MIN(F552,G552)&lt;=설정!$B$5,"예",""))</f>
        <v/>
      </c>
      <c r="P552" s="19" t="str">
        <f aca="false">IF(J552="","",IF(M552&lt;설정!$B$3,"baseline 수집 중",IF(N552="","정상",IF(N552&lt;=설정!$B$4,"낮음","정상"))))</f>
        <v/>
      </c>
      <c r="Q552" s="20"/>
      <c r="R552" s="18" t="str">
        <f aca="false">IF(J552="","",J552^2)</f>
        <v/>
      </c>
    </row>
    <row r="553" customFormat="false" ht="15" hidden="false" customHeight="false" outlineLevel="0" collapsed="false">
      <c r="A553" s="16"/>
      <c r="B553" s="17"/>
      <c r="C553" s="17"/>
      <c r="D553" s="17"/>
      <c r="E553" s="17"/>
      <c r="F553" s="17"/>
      <c r="G553" s="17"/>
      <c r="H553" s="17"/>
      <c r="I553" s="17"/>
      <c r="J553" s="18" t="str">
        <f aca="false">IF(COUNT(E553:I553)&lt;5,"",SUM(E553:I553))</f>
        <v/>
      </c>
      <c r="K553" s="18" t="str">
        <f aca="false">IF(J553="","",IF(M553&lt;설정!$B$3,"",ROUND(AVERAGEIFS($J$2:$J$1001,$B$2:$B$1001,B553,$A$2:$A$1001,"&lt;"&amp;A553,$A$2:$A$1001,"&gt;="&amp;(A553-설정!$B$2)),2)))</f>
        <v/>
      </c>
      <c r="L553" s="18" t="str">
        <f aca="false">IF(K553="","",ROUND(SQRT(MAX(0,(SUMIFS($R$2:$R$1001,$B$2:$B$1001,B553,$A$2:$A$1001,"&lt;"&amp;A553,$A$2:$A$1001,"&gt;="&amp;(A553-설정!$B$2))-M553*AVERAGEIFS($J$2:$J$1001,$B$2:$B$1001,B553,$A$2:$A$1001,"&lt;"&amp;A553,$A$2:$A$1001,"&gt;="&amp;(A553-설정!$B$2))^2)/(M553-1))),2))</f>
        <v/>
      </c>
      <c r="M553" s="18" t="str">
        <f aca="false">IF(J553="","",COUNTIFS($B$2:$B$1001,B553,$A$2:$A$1001,"&lt;"&amp;A553,$A$2:$A$1001,"&gt;="&amp;(A553-설정!$B$2),$J$2:$J$1001,"&gt;=0"))</f>
        <v/>
      </c>
      <c r="N553" s="18" t="str">
        <f aca="false">IF(K553="","",IF(L553=0,"",ROUND((J553-K553)/L553,2)))</f>
        <v/>
      </c>
      <c r="O553" s="19" t="str">
        <f aca="false">IF(J553="","",IF(MIN(F553,G553)&lt;=설정!$B$5,"예",""))</f>
        <v/>
      </c>
      <c r="P553" s="19" t="str">
        <f aca="false">IF(J553="","",IF(M553&lt;설정!$B$3,"baseline 수집 중",IF(N553="","정상",IF(N553&lt;=설정!$B$4,"낮음","정상"))))</f>
        <v/>
      </c>
      <c r="Q553" s="20"/>
      <c r="R553" s="18" t="str">
        <f aca="false">IF(J553="","",J553^2)</f>
        <v/>
      </c>
    </row>
    <row r="554" customFormat="false" ht="15" hidden="false" customHeight="false" outlineLevel="0" collapsed="false">
      <c r="A554" s="16"/>
      <c r="B554" s="17"/>
      <c r="C554" s="17"/>
      <c r="D554" s="17"/>
      <c r="E554" s="17"/>
      <c r="F554" s="17"/>
      <c r="G554" s="17"/>
      <c r="H554" s="17"/>
      <c r="I554" s="17"/>
      <c r="J554" s="18" t="str">
        <f aca="false">IF(COUNT(E554:I554)&lt;5,"",SUM(E554:I554))</f>
        <v/>
      </c>
      <c r="K554" s="18" t="str">
        <f aca="false">IF(J554="","",IF(M554&lt;설정!$B$3,"",ROUND(AVERAGEIFS($J$2:$J$1001,$B$2:$B$1001,B554,$A$2:$A$1001,"&lt;"&amp;A554,$A$2:$A$1001,"&gt;="&amp;(A554-설정!$B$2)),2)))</f>
        <v/>
      </c>
      <c r="L554" s="18" t="str">
        <f aca="false">IF(K554="","",ROUND(SQRT(MAX(0,(SUMIFS($R$2:$R$1001,$B$2:$B$1001,B554,$A$2:$A$1001,"&lt;"&amp;A554,$A$2:$A$1001,"&gt;="&amp;(A554-설정!$B$2))-M554*AVERAGEIFS($J$2:$J$1001,$B$2:$B$1001,B554,$A$2:$A$1001,"&lt;"&amp;A554,$A$2:$A$1001,"&gt;="&amp;(A554-설정!$B$2))^2)/(M554-1))),2))</f>
        <v/>
      </c>
      <c r="M554" s="18" t="str">
        <f aca="false">IF(J554="","",COUNTIFS($B$2:$B$1001,B554,$A$2:$A$1001,"&lt;"&amp;A554,$A$2:$A$1001,"&gt;="&amp;(A554-설정!$B$2),$J$2:$J$1001,"&gt;=0"))</f>
        <v/>
      </c>
      <c r="N554" s="18" t="str">
        <f aca="false">IF(K554="","",IF(L554=0,"",ROUND((J554-K554)/L554,2)))</f>
        <v/>
      </c>
      <c r="O554" s="19" t="str">
        <f aca="false">IF(J554="","",IF(MIN(F554,G554)&lt;=설정!$B$5,"예",""))</f>
        <v/>
      </c>
      <c r="P554" s="19" t="str">
        <f aca="false">IF(J554="","",IF(M554&lt;설정!$B$3,"baseline 수집 중",IF(N554="","정상",IF(N554&lt;=설정!$B$4,"낮음","정상"))))</f>
        <v/>
      </c>
      <c r="Q554" s="20"/>
      <c r="R554" s="18" t="str">
        <f aca="false">IF(J554="","",J554^2)</f>
        <v/>
      </c>
    </row>
    <row r="555" customFormat="false" ht="15" hidden="false" customHeight="false" outlineLevel="0" collapsed="false">
      <c r="A555" s="16"/>
      <c r="B555" s="17"/>
      <c r="C555" s="17"/>
      <c r="D555" s="17"/>
      <c r="E555" s="17"/>
      <c r="F555" s="17"/>
      <c r="G555" s="17"/>
      <c r="H555" s="17"/>
      <c r="I555" s="17"/>
      <c r="J555" s="18" t="str">
        <f aca="false">IF(COUNT(E555:I555)&lt;5,"",SUM(E555:I555))</f>
        <v/>
      </c>
      <c r="K555" s="18" t="str">
        <f aca="false">IF(J555="","",IF(M555&lt;설정!$B$3,"",ROUND(AVERAGEIFS($J$2:$J$1001,$B$2:$B$1001,B555,$A$2:$A$1001,"&lt;"&amp;A555,$A$2:$A$1001,"&gt;="&amp;(A555-설정!$B$2)),2)))</f>
        <v/>
      </c>
      <c r="L555" s="18" t="str">
        <f aca="false">IF(K555="","",ROUND(SQRT(MAX(0,(SUMIFS($R$2:$R$1001,$B$2:$B$1001,B555,$A$2:$A$1001,"&lt;"&amp;A555,$A$2:$A$1001,"&gt;="&amp;(A555-설정!$B$2))-M555*AVERAGEIFS($J$2:$J$1001,$B$2:$B$1001,B555,$A$2:$A$1001,"&lt;"&amp;A555,$A$2:$A$1001,"&gt;="&amp;(A555-설정!$B$2))^2)/(M555-1))),2))</f>
        <v/>
      </c>
      <c r="M555" s="18" t="str">
        <f aca="false">IF(J555="","",COUNTIFS($B$2:$B$1001,B555,$A$2:$A$1001,"&lt;"&amp;A555,$A$2:$A$1001,"&gt;="&amp;(A555-설정!$B$2),$J$2:$J$1001,"&gt;=0"))</f>
        <v/>
      </c>
      <c r="N555" s="18" t="str">
        <f aca="false">IF(K555="","",IF(L555=0,"",ROUND((J555-K555)/L555,2)))</f>
        <v/>
      </c>
      <c r="O555" s="19" t="str">
        <f aca="false">IF(J555="","",IF(MIN(F555,G555)&lt;=설정!$B$5,"예",""))</f>
        <v/>
      </c>
      <c r="P555" s="19" t="str">
        <f aca="false">IF(J555="","",IF(M555&lt;설정!$B$3,"baseline 수집 중",IF(N555="","정상",IF(N555&lt;=설정!$B$4,"낮음","정상"))))</f>
        <v/>
      </c>
      <c r="Q555" s="20"/>
      <c r="R555" s="18" t="str">
        <f aca="false">IF(J555="","",J555^2)</f>
        <v/>
      </c>
    </row>
    <row r="556" customFormat="false" ht="15" hidden="false" customHeight="false" outlineLevel="0" collapsed="false">
      <c r="A556" s="16"/>
      <c r="B556" s="17"/>
      <c r="C556" s="17"/>
      <c r="D556" s="17"/>
      <c r="E556" s="17"/>
      <c r="F556" s="17"/>
      <c r="G556" s="17"/>
      <c r="H556" s="17"/>
      <c r="I556" s="17"/>
      <c r="J556" s="18" t="str">
        <f aca="false">IF(COUNT(E556:I556)&lt;5,"",SUM(E556:I556))</f>
        <v/>
      </c>
      <c r="K556" s="18" t="str">
        <f aca="false">IF(J556="","",IF(M556&lt;설정!$B$3,"",ROUND(AVERAGEIFS($J$2:$J$1001,$B$2:$B$1001,B556,$A$2:$A$1001,"&lt;"&amp;A556,$A$2:$A$1001,"&gt;="&amp;(A556-설정!$B$2)),2)))</f>
        <v/>
      </c>
      <c r="L556" s="18" t="str">
        <f aca="false">IF(K556="","",ROUND(SQRT(MAX(0,(SUMIFS($R$2:$R$1001,$B$2:$B$1001,B556,$A$2:$A$1001,"&lt;"&amp;A556,$A$2:$A$1001,"&gt;="&amp;(A556-설정!$B$2))-M556*AVERAGEIFS($J$2:$J$1001,$B$2:$B$1001,B556,$A$2:$A$1001,"&lt;"&amp;A556,$A$2:$A$1001,"&gt;="&amp;(A556-설정!$B$2))^2)/(M556-1))),2))</f>
        <v/>
      </c>
      <c r="M556" s="18" t="str">
        <f aca="false">IF(J556="","",COUNTIFS($B$2:$B$1001,B556,$A$2:$A$1001,"&lt;"&amp;A556,$A$2:$A$1001,"&gt;="&amp;(A556-설정!$B$2),$J$2:$J$1001,"&gt;=0"))</f>
        <v/>
      </c>
      <c r="N556" s="18" t="str">
        <f aca="false">IF(K556="","",IF(L556=0,"",ROUND((J556-K556)/L556,2)))</f>
        <v/>
      </c>
      <c r="O556" s="19" t="str">
        <f aca="false">IF(J556="","",IF(MIN(F556,G556)&lt;=설정!$B$5,"예",""))</f>
        <v/>
      </c>
      <c r="P556" s="19" t="str">
        <f aca="false">IF(J556="","",IF(M556&lt;설정!$B$3,"baseline 수집 중",IF(N556="","정상",IF(N556&lt;=설정!$B$4,"낮음","정상"))))</f>
        <v/>
      </c>
      <c r="Q556" s="20"/>
      <c r="R556" s="18" t="str">
        <f aca="false">IF(J556="","",J556^2)</f>
        <v/>
      </c>
    </row>
    <row r="557" customFormat="false" ht="15" hidden="false" customHeight="false" outlineLevel="0" collapsed="false">
      <c r="A557" s="16"/>
      <c r="B557" s="17"/>
      <c r="C557" s="17"/>
      <c r="D557" s="17"/>
      <c r="E557" s="17"/>
      <c r="F557" s="17"/>
      <c r="G557" s="17"/>
      <c r="H557" s="17"/>
      <c r="I557" s="17"/>
      <c r="J557" s="18" t="str">
        <f aca="false">IF(COUNT(E557:I557)&lt;5,"",SUM(E557:I557))</f>
        <v/>
      </c>
      <c r="K557" s="18" t="str">
        <f aca="false">IF(J557="","",IF(M557&lt;설정!$B$3,"",ROUND(AVERAGEIFS($J$2:$J$1001,$B$2:$B$1001,B557,$A$2:$A$1001,"&lt;"&amp;A557,$A$2:$A$1001,"&gt;="&amp;(A557-설정!$B$2)),2)))</f>
        <v/>
      </c>
      <c r="L557" s="18" t="str">
        <f aca="false">IF(K557="","",ROUND(SQRT(MAX(0,(SUMIFS($R$2:$R$1001,$B$2:$B$1001,B557,$A$2:$A$1001,"&lt;"&amp;A557,$A$2:$A$1001,"&gt;="&amp;(A557-설정!$B$2))-M557*AVERAGEIFS($J$2:$J$1001,$B$2:$B$1001,B557,$A$2:$A$1001,"&lt;"&amp;A557,$A$2:$A$1001,"&gt;="&amp;(A557-설정!$B$2))^2)/(M557-1))),2))</f>
        <v/>
      </c>
      <c r="M557" s="18" t="str">
        <f aca="false">IF(J557="","",COUNTIFS($B$2:$B$1001,B557,$A$2:$A$1001,"&lt;"&amp;A557,$A$2:$A$1001,"&gt;="&amp;(A557-설정!$B$2),$J$2:$J$1001,"&gt;=0"))</f>
        <v/>
      </c>
      <c r="N557" s="18" t="str">
        <f aca="false">IF(K557="","",IF(L557=0,"",ROUND((J557-K557)/L557,2)))</f>
        <v/>
      </c>
      <c r="O557" s="19" t="str">
        <f aca="false">IF(J557="","",IF(MIN(F557,G557)&lt;=설정!$B$5,"예",""))</f>
        <v/>
      </c>
      <c r="P557" s="19" t="str">
        <f aca="false">IF(J557="","",IF(M557&lt;설정!$B$3,"baseline 수집 중",IF(N557="","정상",IF(N557&lt;=설정!$B$4,"낮음","정상"))))</f>
        <v/>
      </c>
      <c r="Q557" s="20"/>
      <c r="R557" s="18" t="str">
        <f aca="false">IF(J557="","",J557^2)</f>
        <v/>
      </c>
    </row>
    <row r="558" customFormat="false" ht="15" hidden="false" customHeight="false" outlineLevel="0" collapsed="false">
      <c r="A558" s="16"/>
      <c r="B558" s="17"/>
      <c r="C558" s="17"/>
      <c r="D558" s="17"/>
      <c r="E558" s="17"/>
      <c r="F558" s="17"/>
      <c r="G558" s="17"/>
      <c r="H558" s="17"/>
      <c r="I558" s="17"/>
      <c r="J558" s="18" t="str">
        <f aca="false">IF(COUNT(E558:I558)&lt;5,"",SUM(E558:I558))</f>
        <v/>
      </c>
      <c r="K558" s="18" t="str">
        <f aca="false">IF(J558="","",IF(M558&lt;설정!$B$3,"",ROUND(AVERAGEIFS($J$2:$J$1001,$B$2:$B$1001,B558,$A$2:$A$1001,"&lt;"&amp;A558,$A$2:$A$1001,"&gt;="&amp;(A558-설정!$B$2)),2)))</f>
        <v/>
      </c>
      <c r="L558" s="18" t="str">
        <f aca="false">IF(K558="","",ROUND(SQRT(MAX(0,(SUMIFS($R$2:$R$1001,$B$2:$B$1001,B558,$A$2:$A$1001,"&lt;"&amp;A558,$A$2:$A$1001,"&gt;="&amp;(A558-설정!$B$2))-M558*AVERAGEIFS($J$2:$J$1001,$B$2:$B$1001,B558,$A$2:$A$1001,"&lt;"&amp;A558,$A$2:$A$1001,"&gt;="&amp;(A558-설정!$B$2))^2)/(M558-1))),2))</f>
        <v/>
      </c>
      <c r="M558" s="18" t="str">
        <f aca="false">IF(J558="","",COUNTIFS($B$2:$B$1001,B558,$A$2:$A$1001,"&lt;"&amp;A558,$A$2:$A$1001,"&gt;="&amp;(A558-설정!$B$2),$J$2:$J$1001,"&gt;=0"))</f>
        <v/>
      </c>
      <c r="N558" s="18" t="str">
        <f aca="false">IF(K558="","",IF(L558=0,"",ROUND((J558-K558)/L558,2)))</f>
        <v/>
      </c>
      <c r="O558" s="19" t="str">
        <f aca="false">IF(J558="","",IF(MIN(F558,G558)&lt;=설정!$B$5,"예",""))</f>
        <v/>
      </c>
      <c r="P558" s="19" t="str">
        <f aca="false">IF(J558="","",IF(M558&lt;설정!$B$3,"baseline 수집 중",IF(N558="","정상",IF(N558&lt;=설정!$B$4,"낮음","정상"))))</f>
        <v/>
      </c>
      <c r="Q558" s="20"/>
      <c r="R558" s="18" t="str">
        <f aca="false">IF(J558="","",J558^2)</f>
        <v/>
      </c>
    </row>
    <row r="559" customFormat="false" ht="15" hidden="false" customHeight="false" outlineLevel="0" collapsed="false">
      <c r="A559" s="16"/>
      <c r="B559" s="17"/>
      <c r="C559" s="17"/>
      <c r="D559" s="17"/>
      <c r="E559" s="17"/>
      <c r="F559" s="17"/>
      <c r="G559" s="17"/>
      <c r="H559" s="17"/>
      <c r="I559" s="17"/>
      <c r="J559" s="18" t="str">
        <f aca="false">IF(COUNT(E559:I559)&lt;5,"",SUM(E559:I559))</f>
        <v/>
      </c>
      <c r="K559" s="18" t="str">
        <f aca="false">IF(J559="","",IF(M559&lt;설정!$B$3,"",ROUND(AVERAGEIFS($J$2:$J$1001,$B$2:$B$1001,B559,$A$2:$A$1001,"&lt;"&amp;A559,$A$2:$A$1001,"&gt;="&amp;(A559-설정!$B$2)),2)))</f>
        <v/>
      </c>
      <c r="L559" s="18" t="str">
        <f aca="false">IF(K559="","",ROUND(SQRT(MAX(0,(SUMIFS($R$2:$R$1001,$B$2:$B$1001,B559,$A$2:$A$1001,"&lt;"&amp;A559,$A$2:$A$1001,"&gt;="&amp;(A559-설정!$B$2))-M559*AVERAGEIFS($J$2:$J$1001,$B$2:$B$1001,B559,$A$2:$A$1001,"&lt;"&amp;A559,$A$2:$A$1001,"&gt;="&amp;(A559-설정!$B$2))^2)/(M559-1))),2))</f>
        <v/>
      </c>
      <c r="M559" s="18" t="str">
        <f aca="false">IF(J559="","",COUNTIFS($B$2:$B$1001,B559,$A$2:$A$1001,"&lt;"&amp;A559,$A$2:$A$1001,"&gt;="&amp;(A559-설정!$B$2),$J$2:$J$1001,"&gt;=0"))</f>
        <v/>
      </c>
      <c r="N559" s="18" t="str">
        <f aca="false">IF(K559="","",IF(L559=0,"",ROUND((J559-K559)/L559,2)))</f>
        <v/>
      </c>
      <c r="O559" s="19" t="str">
        <f aca="false">IF(J559="","",IF(MIN(F559,G559)&lt;=설정!$B$5,"예",""))</f>
        <v/>
      </c>
      <c r="P559" s="19" t="str">
        <f aca="false">IF(J559="","",IF(M559&lt;설정!$B$3,"baseline 수집 중",IF(N559="","정상",IF(N559&lt;=설정!$B$4,"낮음","정상"))))</f>
        <v/>
      </c>
      <c r="Q559" s="20"/>
      <c r="R559" s="18" t="str">
        <f aca="false">IF(J559="","",J559^2)</f>
        <v/>
      </c>
    </row>
    <row r="560" customFormat="false" ht="15" hidden="false" customHeight="false" outlineLevel="0" collapsed="false">
      <c r="A560" s="16"/>
      <c r="B560" s="17"/>
      <c r="C560" s="17"/>
      <c r="D560" s="17"/>
      <c r="E560" s="17"/>
      <c r="F560" s="17"/>
      <c r="G560" s="17"/>
      <c r="H560" s="17"/>
      <c r="I560" s="17"/>
      <c r="J560" s="18" t="str">
        <f aca="false">IF(COUNT(E560:I560)&lt;5,"",SUM(E560:I560))</f>
        <v/>
      </c>
      <c r="K560" s="18" t="str">
        <f aca="false">IF(J560="","",IF(M560&lt;설정!$B$3,"",ROUND(AVERAGEIFS($J$2:$J$1001,$B$2:$B$1001,B560,$A$2:$A$1001,"&lt;"&amp;A560,$A$2:$A$1001,"&gt;="&amp;(A560-설정!$B$2)),2)))</f>
        <v/>
      </c>
      <c r="L560" s="18" t="str">
        <f aca="false">IF(K560="","",ROUND(SQRT(MAX(0,(SUMIFS($R$2:$R$1001,$B$2:$B$1001,B560,$A$2:$A$1001,"&lt;"&amp;A560,$A$2:$A$1001,"&gt;="&amp;(A560-설정!$B$2))-M560*AVERAGEIFS($J$2:$J$1001,$B$2:$B$1001,B560,$A$2:$A$1001,"&lt;"&amp;A560,$A$2:$A$1001,"&gt;="&amp;(A560-설정!$B$2))^2)/(M560-1))),2))</f>
        <v/>
      </c>
      <c r="M560" s="18" t="str">
        <f aca="false">IF(J560="","",COUNTIFS($B$2:$B$1001,B560,$A$2:$A$1001,"&lt;"&amp;A560,$A$2:$A$1001,"&gt;="&amp;(A560-설정!$B$2),$J$2:$J$1001,"&gt;=0"))</f>
        <v/>
      </c>
      <c r="N560" s="18" t="str">
        <f aca="false">IF(K560="","",IF(L560=0,"",ROUND((J560-K560)/L560,2)))</f>
        <v/>
      </c>
      <c r="O560" s="19" t="str">
        <f aca="false">IF(J560="","",IF(MIN(F560,G560)&lt;=설정!$B$5,"예",""))</f>
        <v/>
      </c>
      <c r="P560" s="19" t="str">
        <f aca="false">IF(J560="","",IF(M560&lt;설정!$B$3,"baseline 수집 중",IF(N560="","정상",IF(N560&lt;=설정!$B$4,"낮음","정상"))))</f>
        <v/>
      </c>
      <c r="Q560" s="20"/>
      <c r="R560" s="18" t="str">
        <f aca="false">IF(J560="","",J560^2)</f>
        <v/>
      </c>
    </row>
    <row r="561" customFormat="false" ht="15" hidden="false" customHeight="false" outlineLevel="0" collapsed="false">
      <c r="A561" s="16"/>
      <c r="B561" s="17"/>
      <c r="C561" s="17"/>
      <c r="D561" s="17"/>
      <c r="E561" s="17"/>
      <c r="F561" s="17"/>
      <c r="G561" s="17"/>
      <c r="H561" s="17"/>
      <c r="I561" s="17"/>
      <c r="J561" s="18" t="str">
        <f aca="false">IF(COUNT(E561:I561)&lt;5,"",SUM(E561:I561))</f>
        <v/>
      </c>
      <c r="K561" s="18" t="str">
        <f aca="false">IF(J561="","",IF(M561&lt;설정!$B$3,"",ROUND(AVERAGEIFS($J$2:$J$1001,$B$2:$B$1001,B561,$A$2:$A$1001,"&lt;"&amp;A561,$A$2:$A$1001,"&gt;="&amp;(A561-설정!$B$2)),2)))</f>
        <v/>
      </c>
      <c r="L561" s="18" t="str">
        <f aca="false">IF(K561="","",ROUND(SQRT(MAX(0,(SUMIFS($R$2:$R$1001,$B$2:$B$1001,B561,$A$2:$A$1001,"&lt;"&amp;A561,$A$2:$A$1001,"&gt;="&amp;(A561-설정!$B$2))-M561*AVERAGEIFS($J$2:$J$1001,$B$2:$B$1001,B561,$A$2:$A$1001,"&lt;"&amp;A561,$A$2:$A$1001,"&gt;="&amp;(A561-설정!$B$2))^2)/(M561-1))),2))</f>
        <v/>
      </c>
      <c r="M561" s="18" t="str">
        <f aca="false">IF(J561="","",COUNTIFS($B$2:$B$1001,B561,$A$2:$A$1001,"&lt;"&amp;A561,$A$2:$A$1001,"&gt;="&amp;(A561-설정!$B$2),$J$2:$J$1001,"&gt;=0"))</f>
        <v/>
      </c>
      <c r="N561" s="18" t="str">
        <f aca="false">IF(K561="","",IF(L561=0,"",ROUND((J561-K561)/L561,2)))</f>
        <v/>
      </c>
      <c r="O561" s="19" t="str">
        <f aca="false">IF(J561="","",IF(MIN(F561,G561)&lt;=설정!$B$5,"예",""))</f>
        <v/>
      </c>
      <c r="P561" s="19" t="str">
        <f aca="false">IF(J561="","",IF(M561&lt;설정!$B$3,"baseline 수집 중",IF(N561="","정상",IF(N561&lt;=설정!$B$4,"낮음","정상"))))</f>
        <v/>
      </c>
      <c r="Q561" s="20"/>
      <c r="R561" s="18" t="str">
        <f aca="false">IF(J561="","",J561^2)</f>
        <v/>
      </c>
    </row>
    <row r="562" customFormat="false" ht="15" hidden="false" customHeight="false" outlineLevel="0" collapsed="false">
      <c r="A562" s="16"/>
      <c r="B562" s="17"/>
      <c r="C562" s="17"/>
      <c r="D562" s="17"/>
      <c r="E562" s="17"/>
      <c r="F562" s="17"/>
      <c r="G562" s="17"/>
      <c r="H562" s="17"/>
      <c r="I562" s="17"/>
      <c r="J562" s="18" t="str">
        <f aca="false">IF(COUNT(E562:I562)&lt;5,"",SUM(E562:I562))</f>
        <v/>
      </c>
      <c r="K562" s="18" t="str">
        <f aca="false">IF(J562="","",IF(M562&lt;설정!$B$3,"",ROUND(AVERAGEIFS($J$2:$J$1001,$B$2:$B$1001,B562,$A$2:$A$1001,"&lt;"&amp;A562,$A$2:$A$1001,"&gt;="&amp;(A562-설정!$B$2)),2)))</f>
        <v/>
      </c>
      <c r="L562" s="18" t="str">
        <f aca="false">IF(K562="","",ROUND(SQRT(MAX(0,(SUMIFS($R$2:$R$1001,$B$2:$B$1001,B562,$A$2:$A$1001,"&lt;"&amp;A562,$A$2:$A$1001,"&gt;="&amp;(A562-설정!$B$2))-M562*AVERAGEIFS($J$2:$J$1001,$B$2:$B$1001,B562,$A$2:$A$1001,"&lt;"&amp;A562,$A$2:$A$1001,"&gt;="&amp;(A562-설정!$B$2))^2)/(M562-1))),2))</f>
        <v/>
      </c>
      <c r="M562" s="18" t="str">
        <f aca="false">IF(J562="","",COUNTIFS($B$2:$B$1001,B562,$A$2:$A$1001,"&lt;"&amp;A562,$A$2:$A$1001,"&gt;="&amp;(A562-설정!$B$2),$J$2:$J$1001,"&gt;=0"))</f>
        <v/>
      </c>
      <c r="N562" s="18" t="str">
        <f aca="false">IF(K562="","",IF(L562=0,"",ROUND((J562-K562)/L562,2)))</f>
        <v/>
      </c>
      <c r="O562" s="19" t="str">
        <f aca="false">IF(J562="","",IF(MIN(F562,G562)&lt;=설정!$B$5,"예",""))</f>
        <v/>
      </c>
      <c r="P562" s="19" t="str">
        <f aca="false">IF(J562="","",IF(M562&lt;설정!$B$3,"baseline 수집 중",IF(N562="","정상",IF(N562&lt;=설정!$B$4,"낮음","정상"))))</f>
        <v/>
      </c>
      <c r="Q562" s="20"/>
      <c r="R562" s="18" t="str">
        <f aca="false">IF(J562="","",J562^2)</f>
        <v/>
      </c>
    </row>
    <row r="563" customFormat="false" ht="15" hidden="false" customHeight="false" outlineLevel="0" collapsed="false">
      <c r="A563" s="16"/>
      <c r="B563" s="17"/>
      <c r="C563" s="17"/>
      <c r="D563" s="17"/>
      <c r="E563" s="17"/>
      <c r="F563" s="17"/>
      <c r="G563" s="17"/>
      <c r="H563" s="17"/>
      <c r="I563" s="17"/>
      <c r="J563" s="18" t="str">
        <f aca="false">IF(COUNT(E563:I563)&lt;5,"",SUM(E563:I563))</f>
        <v/>
      </c>
      <c r="K563" s="18" t="str">
        <f aca="false">IF(J563="","",IF(M563&lt;설정!$B$3,"",ROUND(AVERAGEIFS($J$2:$J$1001,$B$2:$B$1001,B563,$A$2:$A$1001,"&lt;"&amp;A563,$A$2:$A$1001,"&gt;="&amp;(A563-설정!$B$2)),2)))</f>
        <v/>
      </c>
      <c r="L563" s="18" t="str">
        <f aca="false">IF(K563="","",ROUND(SQRT(MAX(0,(SUMIFS($R$2:$R$1001,$B$2:$B$1001,B563,$A$2:$A$1001,"&lt;"&amp;A563,$A$2:$A$1001,"&gt;="&amp;(A563-설정!$B$2))-M563*AVERAGEIFS($J$2:$J$1001,$B$2:$B$1001,B563,$A$2:$A$1001,"&lt;"&amp;A563,$A$2:$A$1001,"&gt;="&amp;(A563-설정!$B$2))^2)/(M563-1))),2))</f>
        <v/>
      </c>
      <c r="M563" s="18" t="str">
        <f aca="false">IF(J563="","",COUNTIFS($B$2:$B$1001,B563,$A$2:$A$1001,"&lt;"&amp;A563,$A$2:$A$1001,"&gt;="&amp;(A563-설정!$B$2),$J$2:$J$1001,"&gt;=0"))</f>
        <v/>
      </c>
      <c r="N563" s="18" t="str">
        <f aca="false">IF(K563="","",IF(L563=0,"",ROUND((J563-K563)/L563,2)))</f>
        <v/>
      </c>
      <c r="O563" s="19" t="str">
        <f aca="false">IF(J563="","",IF(MIN(F563,G563)&lt;=설정!$B$5,"예",""))</f>
        <v/>
      </c>
      <c r="P563" s="19" t="str">
        <f aca="false">IF(J563="","",IF(M563&lt;설정!$B$3,"baseline 수집 중",IF(N563="","정상",IF(N563&lt;=설정!$B$4,"낮음","정상"))))</f>
        <v/>
      </c>
      <c r="Q563" s="20"/>
      <c r="R563" s="18" t="str">
        <f aca="false">IF(J563="","",J563^2)</f>
        <v/>
      </c>
    </row>
    <row r="564" customFormat="false" ht="15" hidden="false" customHeight="false" outlineLevel="0" collapsed="false">
      <c r="A564" s="16"/>
      <c r="B564" s="17"/>
      <c r="C564" s="17"/>
      <c r="D564" s="17"/>
      <c r="E564" s="17"/>
      <c r="F564" s="17"/>
      <c r="G564" s="17"/>
      <c r="H564" s="17"/>
      <c r="I564" s="17"/>
      <c r="J564" s="18" t="str">
        <f aca="false">IF(COUNT(E564:I564)&lt;5,"",SUM(E564:I564))</f>
        <v/>
      </c>
      <c r="K564" s="18" t="str">
        <f aca="false">IF(J564="","",IF(M564&lt;설정!$B$3,"",ROUND(AVERAGEIFS($J$2:$J$1001,$B$2:$B$1001,B564,$A$2:$A$1001,"&lt;"&amp;A564,$A$2:$A$1001,"&gt;="&amp;(A564-설정!$B$2)),2)))</f>
        <v/>
      </c>
      <c r="L564" s="18" t="str">
        <f aca="false">IF(K564="","",ROUND(SQRT(MAX(0,(SUMIFS($R$2:$R$1001,$B$2:$B$1001,B564,$A$2:$A$1001,"&lt;"&amp;A564,$A$2:$A$1001,"&gt;="&amp;(A564-설정!$B$2))-M564*AVERAGEIFS($J$2:$J$1001,$B$2:$B$1001,B564,$A$2:$A$1001,"&lt;"&amp;A564,$A$2:$A$1001,"&gt;="&amp;(A564-설정!$B$2))^2)/(M564-1))),2))</f>
        <v/>
      </c>
      <c r="M564" s="18" t="str">
        <f aca="false">IF(J564="","",COUNTIFS($B$2:$B$1001,B564,$A$2:$A$1001,"&lt;"&amp;A564,$A$2:$A$1001,"&gt;="&amp;(A564-설정!$B$2),$J$2:$J$1001,"&gt;=0"))</f>
        <v/>
      </c>
      <c r="N564" s="18" t="str">
        <f aca="false">IF(K564="","",IF(L564=0,"",ROUND((J564-K564)/L564,2)))</f>
        <v/>
      </c>
      <c r="O564" s="19" t="str">
        <f aca="false">IF(J564="","",IF(MIN(F564,G564)&lt;=설정!$B$5,"예",""))</f>
        <v/>
      </c>
      <c r="P564" s="19" t="str">
        <f aca="false">IF(J564="","",IF(M564&lt;설정!$B$3,"baseline 수집 중",IF(N564="","정상",IF(N564&lt;=설정!$B$4,"낮음","정상"))))</f>
        <v/>
      </c>
      <c r="Q564" s="20"/>
      <c r="R564" s="18" t="str">
        <f aca="false">IF(J564="","",J564^2)</f>
        <v/>
      </c>
    </row>
    <row r="565" customFormat="false" ht="15" hidden="false" customHeight="false" outlineLevel="0" collapsed="false">
      <c r="A565" s="16"/>
      <c r="B565" s="17"/>
      <c r="C565" s="17"/>
      <c r="D565" s="17"/>
      <c r="E565" s="17"/>
      <c r="F565" s="17"/>
      <c r="G565" s="17"/>
      <c r="H565" s="17"/>
      <c r="I565" s="17"/>
      <c r="J565" s="18" t="str">
        <f aca="false">IF(COUNT(E565:I565)&lt;5,"",SUM(E565:I565))</f>
        <v/>
      </c>
      <c r="K565" s="18" t="str">
        <f aca="false">IF(J565="","",IF(M565&lt;설정!$B$3,"",ROUND(AVERAGEIFS($J$2:$J$1001,$B$2:$B$1001,B565,$A$2:$A$1001,"&lt;"&amp;A565,$A$2:$A$1001,"&gt;="&amp;(A565-설정!$B$2)),2)))</f>
        <v/>
      </c>
      <c r="L565" s="18" t="str">
        <f aca="false">IF(K565="","",ROUND(SQRT(MAX(0,(SUMIFS($R$2:$R$1001,$B$2:$B$1001,B565,$A$2:$A$1001,"&lt;"&amp;A565,$A$2:$A$1001,"&gt;="&amp;(A565-설정!$B$2))-M565*AVERAGEIFS($J$2:$J$1001,$B$2:$B$1001,B565,$A$2:$A$1001,"&lt;"&amp;A565,$A$2:$A$1001,"&gt;="&amp;(A565-설정!$B$2))^2)/(M565-1))),2))</f>
        <v/>
      </c>
      <c r="M565" s="18" t="str">
        <f aca="false">IF(J565="","",COUNTIFS($B$2:$B$1001,B565,$A$2:$A$1001,"&lt;"&amp;A565,$A$2:$A$1001,"&gt;="&amp;(A565-설정!$B$2),$J$2:$J$1001,"&gt;=0"))</f>
        <v/>
      </c>
      <c r="N565" s="18" t="str">
        <f aca="false">IF(K565="","",IF(L565=0,"",ROUND((J565-K565)/L565,2)))</f>
        <v/>
      </c>
      <c r="O565" s="19" t="str">
        <f aca="false">IF(J565="","",IF(MIN(F565,G565)&lt;=설정!$B$5,"예",""))</f>
        <v/>
      </c>
      <c r="P565" s="19" t="str">
        <f aca="false">IF(J565="","",IF(M565&lt;설정!$B$3,"baseline 수집 중",IF(N565="","정상",IF(N565&lt;=설정!$B$4,"낮음","정상"))))</f>
        <v/>
      </c>
      <c r="Q565" s="20"/>
      <c r="R565" s="18" t="str">
        <f aca="false">IF(J565="","",J565^2)</f>
        <v/>
      </c>
    </row>
    <row r="566" customFormat="false" ht="15" hidden="false" customHeight="false" outlineLevel="0" collapsed="false">
      <c r="A566" s="16"/>
      <c r="B566" s="17"/>
      <c r="C566" s="17"/>
      <c r="D566" s="17"/>
      <c r="E566" s="17"/>
      <c r="F566" s="17"/>
      <c r="G566" s="17"/>
      <c r="H566" s="17"/>
      <c r="I566" s="17"/>
      <c r="J566" s="18" t="str">
        <f aca="false">IF(COUNT(E566:I566)&lt;5,"",SUM(E566:I566))</f>
        <v/>
      </c>
      <c r="K566" s="18" t="str">
        <f aca="false">IF(J566="","",IF(M566&lt;설정!$B$3,"",ROUND(AVERAGEIFS($J$2:$J$1001,$B$2:$B$1001,B566,$A$2:$A$1001,"&lt;"&amp;A566,$A$2:$A$1001,"&gt;="&amp;(A566-설정!$B$2)),2)))</f>
        <v/>
      </c>
      <c r="L566" s="18" t="str">
        <f aca="false">IF(K566="","",ROUND(SQRT(MAX(0,(SUMIFS($R$2:$R$1001,$B$2:$B$1001,B566,$A$2:$A$1001,"&lt;"&amp;A566,$A$2:$A$1001,"&gt;="&amp;(A566-설정!$B$2))-M566*AVERAGEIFS($J$2:$J$1001,$B$2:$B$1001,B566,$A$2:$A$1001,"&lt;"&amp;A566,$A$2:$A$1001,"&gt;="&amp;(A566-설정!$B$2))^2)/(M566-1))),2))</f>
        <v/>
      </c>
      <c r="M566" s="18" t="str">
        <f aca="false">IF(J566="","",COUNTIFS($B$2:$B$1001,B566,$A$2:$A$1001,"&lt;"&amp;A566,$A$2:$A$1001,"&gt;="&amp;(A566-설정!$B$2),$J$2:$J$1001,"&gt;=0"))</f>
        <v/>
      </c>
      <c r="N566" s="18" t="str">
        <f aca="false">IF(K566="","",IF(L566=0,"",ROUND((J566-K566)/L566,2)))</f>
        <v/>
      </c>
      <c r="O566" s="19" t="str">
        <f aca="false">IF(J566="","",IF(MIN(F566,G566)&lt;=설정!$B$5,"예",""))</f>
        <v/>
      </c>
      <c r="P566" s="19" t="str">
        <f aca="false">IF(J566="","",IF(M566&lt;설정!$B$3,"baseline 수집 중",IF(N566="","정상",IF(N566&lt;=설정!$B$4,"낮음","정상"))))</f>
        <v/>
      </c>
      <c r="Q566" s="20"/>
      <c r="R566" s="18" t="str">
        <f aca="false">IF(J566="","",J566^2)</f>
        <v/>
      </c>
    </row>
    <row r="567" customFormat="false" ht="15" hidden="false" customHeight="false" outlineLevel="0" collapsed="false">
      <c r="A567" s="16"/>
      <c r="B567" s="17"/>
      <c r="C567" s="17"/>
      <c r="D567" s="17"/>
      <c r="E567" s="17"/>
      <c r="F567" s="17"/>
      <c r="G567" s="17"/>
      <c r="H567" s="17"/>
      <c r="I567" s="17"/>
      <c r="J567" s="18" t="str">
        <f aca="false">IF(COUNT(E567:I567)&lt;5,"",SUM(E567:I567))</f>
        <v/>
      </c>
      <c r="K567" s="18" t="str">
        <f aca="false">IF(J567="","",IF(M567&lt;설정!$B$3,"",ROUND(AVERAGEIFS($J$2:$J$1001,$B$2:$B$1001,B567,$A$2:$A$1001,"&lt;"&amp;A567,$A$2:$A$1001,"&gt;="&amp;(A567-설정!$B$2)),2)))</f>
        <v/>
      </c>
      <c r="L567" s="18" t="str">
        <f aca="false">IF(K567="","",ROUND(SQRT(MAX(0,(SUMIFS($R$2:$R$1001,$B$2:$B$1001,B567,$A$2:$A$1001,"&lt;"&amp;A567,$A$2:$A$1001,"&gt;="&amp;(A567-설정!$B$2))-M567*AVERAGEIFS($J$2:$J$1001,$B$2:$B$1001,B567,$A$2:$A$1001,"&lt;"&amp;A567,$A$2:$A$1001,"&gt;="&amp;(A567-설정!$B$2))^2)/(M567-1))),2))</f>
        <v/>
      </c>
      <c r="M567" s="18" t="str">
        <f aca="false">IF(J567="","",COUNTIFS($B$2:$B$1001,B567,$A$2:$A$1001,"&lt;"&amp;A567,$A$2:$A$1001,"&gt;="&amp;(A567-설정!$B$2),$J$2:$J$1001,"&gt;=0"))</f>
        <v/>
      </c>
      <c r="N567" s="18" t="str">
        <f aca="false">IF(K567="","",IF(L567=0,"",ROUND((J567-K567)/L567,2)))</f>
        <v/>
      </c>
      <c r="O567" s="19" t="str">
        <f aca="false">IF(J567="","",IF(MIN(F567,G567)&lt;=설정!$B$5,"예",""))</f>
        <v/>
      </c>
      <c r="P567" s="19" t="str">
        <f aca="false">IF(J567="","",IF(M567&lt;설정!$B$3,"baseline 수집 중",IF(N567="","정상",IF(N567&lt;=설정!$B$4,"낮음","정상"))))</f>
        <v/>
      </c>
      <c r="Q567" s="20"/>
      <c r="R567" s="18" t="str">
        <f aca="false">IF(J567="","",J567^2)</f>
        <v/>
      </c>
    </row>
    <row r="568" customFormat="false" ht="15" hidden="false" customHeight="false" outlineLevel="0" collapsed="false">
      <c r="A568" s="16"/>
      <c r="B568" s="17"/>
      <c r="C568" s="17"/>
      <c r="D568" s="17"/>
      <c r="E568" s="17"/>
      <c r="F568" s="17"/>
      <c r="G568" s="17"/>
      <c r="H568" s="17"/>
      <c r="I568" s="17"/>
      <c r="J568" s="18" t="str">
        <f aca="false">IF(COUNT(E568:I568)&lt;5,"",SUM(E568:I568))</f>
        <v/>
      </c>
      <c r="K568" s="18" t="str">
        <f aca="false">IF(J568="","",IF(M568&lt;설정!$B$3,"",ROUND(AVERAGEIFS($J$2:$J$1001,$B$2:$B$1001,B568,$A$2:$A$1001,"&lt;"&amp;A568,$A$2:$A$1001,"&gt;="&amp;(A568-설정!$B$2)),2)))</f>
        <v/>
      </c>
      <c r="L568" s="18" t="str">
        <f aca="false">IF(K568="","",ROUND(SQRT(MAX(0,(SUMIFS($R$2:$R$1001,$B$2:$B$1001,B568,$A$2:$A$1001,"&lt;"&amp;A568,$A$2:$A$1001,"&gt;="&amp;(A568-설정!$B$2))-M568*AVERAGEIFS($J$2:$J$1001,$B$2:$B$1001,B568,$A$2:$A$1001,"&lt;"&amp;A568,$A$2:$A$1001,"&gt;="&amp;(A568-설정!$B$2))^2)/(M568-1))),2))</f>
        <v/>
      </c>
      <c r="M568" s="18" t="str">
        <f aca="false">IF(J568="","",COUNTIFS($B$2:$B$1001,B568,$A$2:$A$1001,"&lt;"&amp;A568,$A$2:$A$1001,"&gt;="&amp;(A568-설정!$B$2),$J$2:$J$1001,"&gt;=0"))</f>
        <v/>
      </c>
      <c r="N568" s="18" t="str">
        <f aca="false">IF(K568="","",IF(L568=0,"",ROUND((J568-K568)/L568,2)))</f>
        <v/>
      </c>
      <c r="O568" s="19" t="str">
        <f aca="false">IF(J568="","",IF(MIN(F568,G568)&lt;=설정!$B$5,"예",""))</f>
        <v/>
      </c>
      <c r="P568" s="19" t="str">
        <f aca="false">IF(J568="","",IF(M568&lt;설정!$B$3,"baseline 수집 중",IF(N568="","정상",IF(N568&lt;=설정!$B$4,"낮음","정상"))))</f>
        <v/>
      </c>
      <c r="Q568" s="20"/>
      <c r="R568" s="18" t="str">
        <f aca="false">IF(J568="","",J568^2)</f>
        <v/>
      </c>
    </row>
    <row r="569" customFormat="false" ht="15" hidden="false" customHeight="false" outlineLevel="0" collapsed="false">
      <c r="A569" s="16"/>
      <c r="B569" s="17"/>
      <c r="C569" s="17"/>
      <c r="D569" s="17"/>
      <c r="E569" s="17"/>
      <c r="F569" s="17"/>
      <c r="G569" s="17"/>
      <c r="H569" s="17"/>
      <c r="I569" s="17"/>
      <c r="J569" s="18" t="str">
        <f aca="false">IF(COUNT(E569:I569)&lt;5,"",SUM(E569:I569))</f>
        <v/>
      </c>
      <c r="K569" s="18" t="str">
        <f aca="false">IF(J569="","",IF(M569&lt;설정!$B$3,"",ROUND(AVERAGEIFS($J$2:$J$1001,$B$2:$B$1001,B569,$A$2:$A$1001,"&lt;"&amp;A569,$A$2:$A$1001,"&gt;="&amp;(A569-설정!$B$2)),2)))</f>
        <v/>
      </c>
      <c r="L569" s="18" t="str">
        <f aca="false">IF(K569="","",ROUND(SQRT(MAX(0,(SUMIFS($R$2:$R$1001,$B$2:$B$1001,B569,$A$2:$A$1001,"&lt;"&amp;A569,$A$2:$A$1001,"&gt;="&amp;(A569-설정!$B$2))-M569*AVERAGEIFS($J$2:$J$1001,$B$2:$B$1001,B569,$A$2:$A$1001,"&lt;"&amp;A569,$A$2:$A$1001,"&gt;="&amp;(A569-설정!$B$2))^2)/(M569-1))),2))</f>
        <v/>
      </c>
      <c r="M569" s="18" t="str">
        <f aca="false">IF(J569="","",COUNTIFS($B$2:$B$1001,B569,$A$2:$A$1001,"&lt;"&amp;A569,$A$2:$A$1001,"&gt;="&amp;(A569-설정!$B$2),$J$2:$J$1001,"&gt;=0"))</f>
        <v/>
      </c>
      <c r="N569" s="18" t="str">
        <f aca="false">IF(K569="","",IF(L569=0,"",ROUND((J569-K569)/L569,2)))</f>
        <v/>
      </c>
      <c r="O569" s="19" t="str">
        <f aca="false">IF(J569="","",IF(MIN(F569,G569)&lt;=설정!$B$5,"예",""))</f>
        <v/>
      </c>
      <c r="P569" s="19" t="str">
        <f aca="false">IF(J569="","",IF(M569&lt;설정!$B$3,"baseline 수집 중",IF(N569="","정상",IF(N569&lt;=설정!$B$4,"낮음","정상"))))</f>
        <v/>
      </c>
      <c r="Q569" s="20"/>
      <c r="R569" s="18" t="str">
        <f aca="false">IF(J569="","",J569^2)</f>
        <v/>
      </c>
    </row>
    <row r="570" customFormat="false" ht="15" hidden="false" customHeight="false" outlineLevel="0" collapsed="false">
      <c r="A570" s="16"/>
      <c r="B570" s="17"/>
      <c r="C570" s="17"/>
      <c r="D570" s="17"/>
      <c r="E570" s="17"/>
      <c r="F570" s="17"/>
      <c r="G570" s="17"/>
      <c r="H570" s="17"/>
      <c r="I570" s="17"/>
      <c r="J570" s="18" t="str">
        <f aca="false">IF(COUNT(E570:I570)&lt;5,"",SUM(E570:I570))</f>
        <v/>
      </c>
      <c r="K570" s="18" t="str">
        <f aca="false">IF(J570="","",IF(M570&lt;설정!$B$3,"",ROUND(AVERAGEIFS($J$2:$J$1001,$B$2:$B$1001,B570,$A$2:$A$1001,"&lt;"&amp;A570,$A$2:$A$1001,"&gt;="&amp;(A570-설정!$B$2)),2)))</f>
        <v/>
      </c>
      <c r="L570" s="18" t="str">
        <f aca="false">IF(K570="","",ROUND(SQRT(MAX(0,(SUMIFS($R$2:$R$1001,$B$2:$B$1001,B570,$A$2:$A$1001,"&lt;"&amp;A570,$A$2:$A$1001,"&gt;="&amp;(A570-설정!$B$2))-M570*AVERAGEIFS($J$2:$J$1001,$B$2:$B$1001,B570,$A$2:$A$1001,"&lt;"&amp;A570,$A$2:$A$1001,"&gt;="&amp;(A570-설정!$B$2))^2)/(M570-1))),2))</f>
        <v/>
      </c>
      <c r="M570" s="18" t="str">
        <f aca="false">IF(J570="","",COUNTIFS($B$2:$B$1001,B570,$A$2:$A$1001,"&lt;"&amp;A570,$A$2:$A$1001,"&gt;="&amp;(A570-설정!$B$2),$J$2:$J$1001,"&gt;=0"))</f>
        <v/>
      </c>
      <c r="N570" s="18" t="str">
        <f aca="false">IF(K570="","",IF(L570=0,"",ROUND((J570-K570)/L570,2)))</f>
        <v/>
      </c>
      <c r="O570" s="19" t="str">
        <f aca="false">IF(J570="","",IF(MIN(F570,G570)&lt;=설정!$B$5,"예",""))</f>
        <v/>
      </c>
      <c r="P570" s="19" t="str">
        <f aca="false">IF(J570="","",IF(M570&lt;설정!$B$3,"baseline 수집 중",IF(N570="","정상",IF(N570&lt;=설정!$B$4,"낮음","정상"))))</f>
        <v/>
      </c>
      <c r="Q570" s="20"/>
      <c r="R570" s="18" t="str">
        <f aca="false">IF(J570="","",J570^2)</f>
        <v/>
      </c>
    </row>
    <row r="571" customFormat="false" ht="15" hidden="false" customHeight="false" outlineLevel="0" collapsed="false">
      <c r="A571" s="16"/>
      <c r="B571" s="17"/>
      <c r="C571" s="17"/>
      <c r="D571" s="17"/>
      <c r="E571" s="17"/>
      <c r="F571" s="17"/>
      <c r="G571" s="17"/>
      <c r="H571" s="17"/>
      <c r="I571" s="17"/>
      <c r="J571" s="18" t="str">
        <f aca="false">IF(COUNT(E571:I571)&lt;5,"",SUM(E571:I571))</f>
        <v/>
      </c>
      <c r="K571" s="18" t="str">
        <f aca="false">IF(J571="","",IF(M571&lt;설정!$B$3,"",ROUND(AVERAGEIFS($J$2:$J$1001,$B$2:$B$1001,B571,$A$2:$A$1001,"&lt;"&amp;A571,$A$2:$A$1001,"&gt;="&amp;(A571-설정!$B$2)),2)))</f>
        <v/>
      </c>
      <c r="L571" s="18" t="str">
        <f aca="false">IF(K571="","",ROUND(SQRT(MAX(0,(SUMIFS($R$2:$R$1001,$B$2:$B$1001,B571,$A$2:$A$1001,"&lt;"&amp;A571,$A$2:$A$1001,"&gt;="&amp;(A571-설정!$B$2))-M571*AVERAGEIFS($J$2:$J$1001,$B$2:$B$1001,B571,$A$2:$A$1001,"&lt;"&amp;A571,$A$2:$A$1001,"&gt;="&amp;(A571-설정!$B$2))^2)/(M571-1))),2))</f>
        <v/>
      </c>
      <c r="M571" s="18" t="str">
        <f aca="false">IF(J571="","",COUNTIFS($B$2:$B$1001,B571,$A$2:$A$1001,"&lt;"&amp;A571,$A$2:$A$1001,"&gt;="&amp;(A571-설정!$B$2),$J$2:$J$1001,"&gt;=0"))</f>
        <v/>
      </c>
      <c r="N571" s="18" t="str">
        <f aca="false">IF(K571="","",IF(L571=0,"",ROUND((J571-K571)/L571,2)))</f>
        <v/>
      </c>
      <c r="O571" s="19" t="str">
        <f aca="false">IF(J571="","",IF(MIN(F571,G571)&lt;=설정!$B$5,"예",""))</f>
        <v/>
      </c>
      <c r="P571" s="19" t="str">
        <f aca="false">IF(J571="","",IF(M571&lt;설정!$B$3,"baseline 수집 중",IF(N571="","정상",IF(N571&lt;=설정!$B$4,"낮음","정상"))))</f>
        <v/>
      </c>
      <c r="Q571" s="20"/>
      <c r="R571" s="18" t="str">
        <f aca="false">IF(J571="","",J571^2)</f>
        <v/>
      </c>
    </row>
    <row r="572" customFormat="false" ht="15" hidden="false" customHeight="false" outlineLevel="0" collapsed="false">
      <c r="A572" s="16"/>
      <c r="B572" s="17"/>
      <c r="C572" s="17"/>
      <c r="D572" s="17"/>
      <c r="E572" s="17"/>
      <c r="F572" s="17"/>
      <c r="G572" s="17"/>
      <c r="H572" s="17"/>
      <c r="I572" s="17"/>
      <c r="J572" s="18" t="str">
        <f aca="false">IF(COUNT(E572:I572)&lt;5,"",SUM(E572:I572))</f>
        <v/>
      </c>
      <c r="K572" s="18" t="str">
        <f aca="false">IF(J572="","",IF(M572&lt;설정!$B$3,"",ROUND(AVERAGEIFS($J$2:$J$1001,$B$2:$B$1001,B572,$A$2:$A$1001,"&lt;"&amp;A572,$A$2:$A$1001,"&gt;="&amp;(A572-설정!$B$2)),2)))</f>
        <v/>
      </c>
      <c r="L572" s="18" t="str">
        <f aca="false">IF(K572="","",ROUND(SQRT(MAX(0,(SUMIFS($R$2:$R$1001,$B$2:$B$1001,B572,$A$2:$A$1001,"&lt;"&amp;A572,$A$2:$A$1001,"&gt;="&amp;(A572-설정!$B$2))-M572*AVERAGEIFS($J$2:$J$1001,$B$2:$B$1001,B572,$A$2:$A$1001,"&lt;"&amp;A572,$A$2:$A$1001,"&gt;="&amp;(A572-설정!$B$2))^2)/(M572-1))),2))</f>
        <v/>
      </c>
      <c r="M572" s="18" t="str">
        <f aca="false">IF(J572="","",COUNTIFS($B$2:$B$1001,B572,$A$2:$A$1001,"&lt;"&amp;A572,$A$2:$A$1001,"&gt;="&amp;(A572-설정!$B$2),$J$2:$J$1001,"&gt;=0"))</f>
        <v/>
      </c>
      <c r="N572" s="18" t="str">
        <f aca="false">IF(K572="","",IF(L572=0,"",ROUND((J572-K572)/L572,2)))</f>
        <v/>
      </c>
      <c r="O572" s="19" t="str">
        <f aca="false">IF(J572="","",IF(MIN(F572,G572)&lt;=설정!$B$5,"예",""))</f>
        <v/>
      </c>
      <c r="P572" s="19" t="str">
        <f aca="false">IF(J572="","",IF(M572&lt;설정!$B$3,"baseline 수집 중",IF(N572="","정상",IF(N572&lt;=설정!$B$4,"낮음","정상"))))</f>
        <v/>
      </c>
      <c r="Q572" s="20"/>
      <c r="R572" s="18" t="str">
        <f aca="false">IF(J572="","",J572^2)</f>
        <v/>
      </c>
    </row>
    <row r="573" customFormat="false" ht="15" hidden="false" customHeight="false" outlineLevel="0" collapsed="false">
      <c r="A573" s="16"/>
      <c r="B573" s="17"/>
      <c r="C573" s="17"/>
      <c r="D573" s="17"/>
      <c r="E573" s="17"/>
      <c r="F573" s="17"/>
      <c r="G573" s="17"/>
      <c r="H573" s="17"/>
      <c r="I573" s="17"/>
      <c r="J573" s="18" t="str">
        <f aca="false">IF(COUNT(E573:I573)&lt;5,"",SUM(E573:I573))</f>
        <v/>
      </c>
      <c r="K573" s="18" t="str">
        <f aca="false">IF(J573="","",IF(M573&lt;설정!$B$3,"",ROUND(AVERAGEIFS($J$2:$J$1001,$B$2:$B$1001,B573,$A$2:$A$1001,"&lt;"&amp;A573,$A$2:$A$1001,"&gt;="&amp;(A573-설정!$B$2)),2)))</f>
        <v/>
      </c>
      <c r="L573" s="18" t="str">
        <f aca="false">IF(K573="","",ROUND(SQRT(MAX(0,(SUMIFS($R$2:$R$1001,$B$2:$B$1001,B573,$A$2:$A$1001,"&lt;"&amp;A573,$A$2:$A$1001,"&gt;="&amp;(A573-설정!$B$2))-M573*AVERAGEIFS($J$2:$J$1001,$B$2:$B$1001,B573,$A$2:$A$1001,"&lt;"&amp;A573,$A$2:$A$1001,"&gt;="&amp;(A573-설정!$B$2))^2)/(M573-1))),2))</f>
        <v/>
      </c>
      <c r="M573" s="18" t="str">
        <f aca="false">IF(J573="","",COUNTIFS($B$2:$B$1001,B573,$A$2:$A$1001,"&lt;"&amp;A573,$A$2:$A$1001,"&gt;="&amp;(A573-설정!$B$2),$J$2:$J$1001,"&gt;=0"))</f>
        <v/>
      </c>
      <c r="N573" s="18" t="str">
        <f aca="false">IF(K573="","",IF(L573=0,"",ROUND((J573-K573)/L573,2)))</f>
        <v/>
      </c>
      <c r="O573" s="19" t="str">
        <f aca="false">IF(J573="","",IF(MIN(F573,G573)&lt;=설정!$B$5,"예",""))</f>
        <v/>
      </c>
      <c r="P573" s="19" t="str">
        <f aca="false">IF(J573="","",IF(M573&lt;설정!$B$3,"baseline 수집 중",IF(N573="","정상",IF(N573&lt;=설정!$B$4,"낮음","정상"))))</f>
        <v/>
      </c>
      <c r="Q573" s="20"/>
      <c r="R573" s="18" t="str">
        <f aca="false">IF(J573="","",J573^2)</f>
        <v/>
      </c>
    </row>
    <row r="574" customFormat="false" ht="15" hidden="false" customHeight="false" outlineLevel="0" collapsed="false">
      <c r="A574" s="16"/>
      <c r="B574" s="17"/>
      <c r="C574" s="17"/>
      <c r="D574" s="17"/>
      <c r="E574" s="17"/>
      <c r="F574" s="17"/>
      <c r="G574" s="17"/>
      <c r="H574" s="17"/>
      <c r="I574" s="17"/>
      <c r="J574" s="18" t="str">
        <f aca="false">IF(COUNT(E574:I574)&lt;5,"",SUM(E574:I574))</f>
        <v/>
      </c>
      <c r="K574" s="18" t="str">
        <f aca="false">IF(J574="","",IF(M574&lt;설정!$B$3,"",ROUND(AVERAGEIFS($J$2:$J$1001,$B$2:$B$1001,B574,$A$2:$A$1001,"&lt;"&amp;A574,$A$2:$A$1001,"&gt;="&amp;(A574-설정!$B$2)),2)))</f>
        <v/>
      </c>
      <c r="L574" s="18" t="str">
        <f aca="false">IF(K574="","",ROUND(SQRT(MAX(0,(SUMIFS($R$2:$R$1001,$B$2:$B$1001,B574,$A$2:$A$1001,"&lt;"&amp;A574,$A$2:$A$1001,"&gt;="&amp;(A574-설정!$B$2))-M574*AVERAGEIFS($J$2:$J$1001,$B$2:$B$1001,B574,$A$2:$A$1001,"&lt;"&amp;A574,$A$2:$A$1001,"&gt;="&amp;(A574-설정!$B$2))^2)/(M574-1))),2))</f>
        <v/>
      </c>
      <c r="M574" s="18" t="str">
        <f aca="false">IF(J574="","",COUNTIFS($B$2:$B$1001,B574,$A$2:$A$1001,"&lt;"&amp;A574,$A$2:$A$1001,"&gt;="&amp;(A574-설정!$B$2),$J$2:$J$1001,"&gt;=0"))</f>
        <v/>
      </c>
      <c r="N574" s="18" t="str">
        <f aca="false">IF(K574="","",IF(L574=0,"",ROUND((J574-K574)/L574,2)))</f>
        <v/>
      </c>
      <c r="O574" s="19" t="str">
        <f aca="false">IF(J574="","",IF(MIN(F574,G574)&lt;=설정!$B$5,"예",""))</f>
        <v/>
      </c>
      <c r="P574" s="19" t="str">
        <f aca="false">IF(J574="","",IF(M574&lt;설정!$B$3,"baseline 수집 중",IF(N574="","정상",IF(N574&lt;=설정!$B$4,"낮음","정상"))))</f>
        <v/>
      </c>
      <c r="Q574" s="20"/>
      <c r="R574" s="18" t="str">
        <f aca="false">IF(J574="","",J574^2)</f>
        <v/>
      </c>
    </row>
    <row r="575" customFormat="false" ht="15" hidden="false" customHeight="false" outlineLevel="0" collapsed="false">
      <c r="A575" s="16"/>
      <c r="B575" s="17"/>
      <c r="C575" s="17"/>
      <c r="D575" s="17"/>
      <c r="E575" s="17"/>
      <c r="F575" s="17"/>
      <c r="G575" s="17"/>
      <c r="H575" s="17"/>
      <c r="I575" s="17"/>
      <c r="J575" s="18" t="str">
        <f aca="false">IF(COUNT(E575:I575)&lt;5,"",SUM(E575:I575))</f>
        <v/>
      </c>
      <c r="K575" s="18" t="str">
        <f aca="false">IF(J575="","",IF(M575&lt;설정!$B$3,"",ROUND(AVERAGEIFS($J$2:$J$1001,$B$2:$B$1001,B575,$A$2:$A$1001,"&lt;"&amp;A575,$A$2:$A$1001,"&gt;="&amp;(A575-설정!$B$2)),2)))</f>
        <v/>
      </c>
      <c r="L575" s="18" t="str">
        <f aca="false">IF(K575="","",ROUND(SQRT(MAX(0,(SUMIFS($R$2:$R$1001,$B$2:$B$1001,B575,$A$2:$A$1001,"&lt;"&amp;A575,$A$2:$A$1001,"&gt;="&amp;(A575-설정!$B$2))-M575*AVERAGEIFS($J$2:$J$1001,$B$2:$B$1001,B575,$A$2:$A$1001,"&lt;"&amp;A575,$A$2:$A$1001,"&gt;="&amp;(A575-설정!$B$2))^2)/(M575-1))),2))</f>
        <v/>
      </c>
      <c r="M575" s="18" t="str">
        <f aca="false">IF(J575="","",COUNTIFS($B$2:$B$1001,B575,$A$2:$A$1001,"&lt;"&amp;A575,$A$2:$A$1001,"&gt;="&amp;(A575-설정!$B$2),$J$2:$J$1001,"&gt;=0"))</f>
        <v/>
      </c>
      <c r="N575" s="18" t="str">
        <f aca="false">IF(K575="","",IF(L575=0,"",ROUND((J575-K575)/L575,2)))</f>
        <v/>
      </c>
      <c r="O575" s="19" t="str">
        <f aca="false">IF(J575="","",IF(MIN(F575,G575)&lt;=설정!$B$5,"예",""))</f>
        <v/>
      </c>
      <c r="P575" s="19" t="str">
        <f aca="false">IF(J575="","",IF(M575&lt;설정!$B$3,"baseline 수집 중",IF(N575="","정상",IF(N575&lt;=설정!$B$4,"낮음","정상"))))</f>
        <v/>
      </c>
      <c r="Q575" s="20"/>
      <c r="R575" s="18" t="str">
        <f aca="false">IF(J575="","",J575^2)</f>
        <v/>
      </c>
    </row>
    <row r="576" customFormat="false" ht="15" hidden="false" customHeight="false" outlineLevel="0" collapsed="false">
      <c r="A576" s="16"/>
      <c r="B576" s="17"/>
      <c r="C576" s="17"/>
      <c r="D576" s="17"/>
      <c r="E576" s="17"/>
      <c r="F576" s="17"/>
      <c r="G576" s="17"/>
      <c r="H576" s="17"/>
      <c r="I576" s="17"/>
      <c r="J576" s="18" t="str">
        <f aca="false">IF(COUNT(E576:I576)&lt;5,"",SUM(E576:I576))</f>
        <v/>
      </c>
      <c r="K576" s="18" t="str">
        <f aca="false">IF(J576="","",IF(M576&lt;설정!$B$3,"",ROUND(AVERAGEIFS($J$2:$J$1001,$B$2:$B$1001,B576,$A$2:$A$1001,"&lt;"&amp;A576,$A$2:$A$1001,"&gt;="&amp;(A576-설정!$B$2)),2)))</f>
        <v/>
      </c>
      <c r="L576" s="18" t="str">
        <f aca="false">IF(K576="","",ROUND(SQRT(MAX(0,(SUMIFS($R$2:$R$1001,$B$2:$B$1001,B576,$A$2:$A$1001,"&lt;"&amp;A576,$A$2:$A$1001,"&gt;="&amp;(A576-설정!$B$2))-M576*AVERAGEIFS($J$2:$J$1001,$B$2:$B$1001,B576,$A$2:$A$1001,"&lt;"&amp;A576,$A$2:$A$1001,"&gt;="&amp;(A576-설정!$B$2))^2)/(M576-1))),2))</f>
        <v/>
      </c>
      <c r="M576" s="18" t="str">
        <f aca="false">IF(J576="","",COUNTIFS($B$2:$B$1001,B576,$A$2:$A$1001,"&lt;"&amp;A576,$A$2:$A$1001,"&gt;="&amp;(A576-설정!$B$2),$J$2:$J$1001,"&gt;=0"))</f>
        <v/>
      </c>
      <c r="N576" s="18" t="str">
        <f aca="false">IF(K576="","",IF(L576=0,"",ROUND((J576-K576)/L576,2)))</f>
        <v/>
      </c>
      <c r="O576" s="19" t="str">
        <f aca="false">IF(J576="","",IF(MIN(F576,G576)&lt;=설정!$B$5,"예",""))</f>
        <v/>
      </c>
      <c r="P576" s="19" t="str">
        <f aca="false">IF(J576="","",IF(M576&lt;설정!$B$3,"baseline 수집 중",IF(N576="","정상",IF(N576&lt;=설정!$B$4,"낮음","정상"))))</f>
        <v/>
      </c>
      <c r="Q576" s="20"/>
      <c r="R576" s="18" t="str">
        <f aca="false">IF(J576="","",J576^2)</f>
        <v/>
      </c>
    </row>
    <row r="577" customFormat="false" ht="15" hidden="false" customHeight="false" outlineLevel="0" collapsed="false">
      <c r="A577" s="16"/>
      <c r="B577" s="17"/>
      <c r="C577" s="17"/>
      <c r="D577" s="17"/>
      <c r="E577" s="17"/>
      <c r="F577" s="17"/>
      <c r="G577" s="17"/>
      <c r="H577" s="17"/>
      <c r="I577" s="17"/>
      <c r="J577" s="18" t="str">
        <f aca="false">IF(COUNT(E577:I577)&lt;5,"",SUM(E577:I577))</f>
        <v/>
      </c>
      <c r="K577" s="18" t="str">
        <f aca="false">IF(J577="","",IF(M577&lt;설정!$B$3,"",ROUND(AVERAGEIFS($J$2:$J$1001,$B$2:$B$1001,B577,$A$2:$A$1001,"&lt;"&amp;A577,$A$2:$A$1001,"&gt;="&amp;(A577-설정!$B$2)),2)))</f>
        <v/>
      </c>
      <c r="L577" s="18" t="str">
        <f aca="false">IF(K577="","",ROUND(SQRT(MAX(0,(SUMIFS($R$2:$R$1001,$B$2:$B$1001,B577,$A$2:$A$1001,"&lt;"&amp;A577,$A$2:$A$1001,"&gt;="&amp;(A577-설정!$B$2))-M577*AVERAGEIFS($J$2:$J$1001,$B$2:$B$1001,B577,$A$2:$A$1001,"&lt;"&amp;A577,$A$2:$A$1001,"&gt;="&amp;(A577-설정!$B$2))^2)/(M577-1))),2))</f>
        <v/>
      </c>
      <c r="M577" s="18" t="str">
        <f aca="false">IF(J577="","",COUNTIFS($B$2:$B$1001,B577,$A$2:$A$1001,"&lt;"&amp;A577,$A$2:$A$1001,"&gt;="&amp;(A577-설정!$B$2),$J$2:$J$1001,"&gt;=0"))</f>
        <v/>
      </c>
      <c r="N577" s="18" t="str">
        <f aca="false">IF(K577="","",IF(L577=0,"",ROUND((J577-K577)/L577,2)))</f>
        <v/>
      </c>
      <c r="O577" s="19" t="str">
        <f aca="false">IF(J577="","",IF(MIN(F577,G577)&lt;=설정!$B$5,"예",""))</f>
        <v/>
      </c>
      <c r="P577" s="19" t="str">
        <f aca="false">IF(J577="","",IF(M577&lt;설정!$B$3,"baseline 수집 중",IF(N577="","정상",IF(N577&lt;=설정!$B$4,"낮음","정상"))))</f>
        <v/>
      </c>
      <c r="Q577" s="20"/>
      <c r="R577" s="18" t="str">
        <f aca="false">IF(J577="","",J577^2)</f>
        <v/>
      </c>
    </row>
    <row r="578" customFormat="false" ht="15" hidden="false" customHeight="false" outlineLevel="0" collapsed="false">
      <c r="A578" s="16"/>
      <c r="B578" s="17"/>
      <c r="C578" s="17"/>
      <c r="D578" s="17"/>
      <c r="E578" s="17"/>
      <c r="F578" s="17"/>
      <c r="G578" s="17"/>
      <c r="H578" s="17"/>
      <c r="I578" s="17"/>
      <c r="J578" s="18" t="str">
        <f aca="false">IF(COUNT(E578:I578)&lt;5,"",SUM(E578:I578))</f>
        <v/>
      </c>
      <c r="K578" s="18" t="str">
        <f aca="false">IF(J578="","",IF(M578&lt;설정!$B$3,"",ROUND(AVERAGEIFS($J$2:$J$1001,$B$2:$B$1001,B578,$A$2:$A$1001,"&lt;"&amp;A578,$A$2:$A$1001,"&gt;="&amp;(A578-설정!$B$2)),2)))</f>
        <v/>
      </c>
      <c r="L578" s="18" t="str">
        <f aca="false">IF(K578="","",ROUND(SQRT(MAX(0,(SUMIFS($R$2:$R$1001,$B$2:$B$1001,B578,$A$2:$A$1001,"&lt;"&amp;A578,$A$2:$A$1001,"&gt;="&amp;(A578-설정!$B$2))-M578*AVERAGEIFS($J$2:$J$1001,$B$2:$B$1001,B578,$A$2:$A$1001,"&lt;"&amp;A578,$A$2:$A$1001,"&gt;="&amp;(A578-설정!$B$2))^2)/(M578-1))),2))</f>
        <v/>
      </c>
      <c r="M578" s="18" t="str">
        <f aca="false">IF(J578="","",COUNTIFS($B$2:$B$1001,B578,$A$2:$A$1001,"&lt;"&amp;A578,$A$2:$A$1001,"&gt;="&amp;(A578-설정!$B$2),$J$2:$J$1001,"&gt;=0"))</f>
        <v/>
      </c>
      <c r="N578" s="18" t="str">
        <f aca="false">IF(K578="","",IF(L578=0,"",ROUND((J578-K578)/L578,2)))</f>
        <v/>
      </c>
      <c r="O578" s="19" t="str">
        <f aca="false">IF(J578="","",IF(MIN(F578,G578)&lt;=설정!$B$5,"예",""))</f>
        <v/>
      </c>
      <c r="P578" s="19" t="str">
        <f aca="false">IF(J578="","",IF(M578&lt;설정!$B$3,"baseline 수집 중",IF(N578="","정상",IF(N578&lt;=설정!$B$4,"낮음","정상"))))</f>
        <v/>
      </c>
      <c r="Q578" s="20"/>
      <c r="R578" s="18" t="str">
        <f aca="false">IF(J578="","",J578^2)</f>
        <v/>
      </c>
    </row>
    <row r="579" customFormat="false" ht="15" hidden="false" customHeight="false" outlineLevel="0" collapsed="false">
      <c r="A579" s="16"/>
      <c r="B579" s="17"/>
      <c r="C579" s="17"/>
      <c r="D579" s="17"/>
      <c r="E579" s="17"/>
      <c r="F579" s="17"/>
      <c r="G579" s="17"/>
      <c r="H579" s="17"/>
      <c r="I579" s="17"/>
      <c r="J579" s="18" t="str">
        <f aca="false">IF(COUNT(E579:I579)&lt;5,"",SUM(E579:I579))</f>
        <v/>
      </c>
      <c r="K579" s="18" t="str">
        <f aca="false">IF(J579="","",IF(M579&lt;설정!$B$3,"",ROUND(AVERAGEIFS($J$2:$J$1001,$B$2:$B$1001,B579,$A$2:$A$1001,"&lt;"&amp;A579,$A$2:$A$1001,"&gt;="&amp;(A579-설정!$B$2)),2)))</f>
        <v/>
      </c>
      <c r="L579" s="18" t="str">
        <f aca="false">IF(K579="","",ROUND(SQRT(MAX(0,(SUMIFS($R$2:$R$1001,$B$2:$B$1001,B579,$A$2:$A$1001,"&lt;"&amp;A579,$A$2:$A$1001,"&gt;="&amp;(A579-설정!$B$2))-M579*AVERAGEIFS($J$2:$J$1001,$B$2:$B$1001,B579,$A$2:$A$1001,"&lt;"&amp;A579,$A$2:$A$1001,"&gt;="&amp;(A579-설정!$B$2))^2)/(M579-1))),2))</f>
        <v/>
      </c>
      <c r="M579" s="18" t="str">
        <f aca="false">IF(J579="","",COUNTIFS($B$2:$B$1001,B579,$A$2:$A$1001,"&lt;"&amp;A579,$A$2:$A$1001,"&gt;="&amp;(A579-설정!$B$2),$J$2:$J$1001,"&gt;=0"))</f>
        <v/>
      </c>
      <c r="N579" s="18" t="str">
        <f aca="false">IF(K579="","",IF(L579=0,"",ROUND((J579-K579)/L579,2)))</f>
        <v/>
      </c>
      <c r="O579" s="19" t="str">
        <f aca="false">IF(J579="","",IF(MIN(F579,G579)&lt;=설정!$B$5,"예",""))</f>
        <v/>
      </c>
      <c r="P579" s="19" t="str">
        <f aca="false">IF(J579="","",IF(M579&lt;설정!$B$3,"baseline 수집 중",IF(N579="","정상",IF(N579&lt;=설정!$B$4,"낮음","정상"))))</f>
        <v/>
      </c>
      <c r="Q579" s="20"/>
      <c r="R579" s="18" t="str">
        <f aca="false">IF(J579="","",J579^2)</f>
        <v/>
      </c>
    </row>
    <row r="580" customFormat="false" ht="15" hidden="false" customHeight="false" outlineLevel="0" collapsed="false">
      <c r="A580" s="16"/>
      <c r="B580" s="17"/>
      <c r="C580" s="17"/>
      <c r="D580" s="17"/>
      <c r="E580" s="17"/>
      <c r="F580" s="17"/>
      <c r="G580" s="17"/>
      <c r="H580" s="17"/>
      <c r="I580" s="17"/>
      <c r="J580" s="18" t="str">
        <f aca="false">IF(COUNT(E580:I580)&lt;5,"",SUM(E580:I580))</f>
        <v/>
      </c>
      <c r="K580" s="18" t="str">
        <f aca="false">IF(J580="","",IF(M580&lt;설정!$B$3,"",ROUND(AVERAGEIFS($J$2:$J$1001,$B$2:$B$1001,B580,$A$2:$A$1001,"&lt;"&amp;A580,$A$2:$A$1001,"&gt;="&amp;(A580-설정!$B$2)),2)))</f>
        <v/>
      </c>
      <c r="L580" s="18" t="str">
        <f aca="false">IF(K580="","",ROUND(SQRT(MAX(0,(SUMIFS($R$2:$R$1001,$B$2:$B$1001,B580,$A$2:$A$1001,"&lt;"&amp;A580,$A$2:$A$1001,"&gt;="&amp;(A580-설정!$B$2))-M580*AVERAGEIFS($J$2:$J$1001,$B$2:$B$1001,B580,$A$2:$A$1001,"&lt;"&amp;A580,$A$2:$A$1001,"&gt;="&amp;(A580-설정!$B$2))^2)/(M580-1))),2))</f>
        <v/>
      </c>
      <c r="M580" s="18" t="str">
        <f aca="false">IF(J580="","",COUNTIFS($B$2:$B$1001,B580,$A$2:$A$1001,"&lt;"&amp;A580,$A$2:$A$1001,"&gt;="&amp;(A580-설정!$B$2),$J$2:$J$1001,"&gt;=0"))</f>
        <v/>
      </c>
      <c r="N580" s="18" t="str">
        <f aca="false">IF(K580="","",IF(L580=0,"",ROUND((J580-K580)/L580,2)))</f>
        <v/>
      </c>
      <c r="O580" s="19" t="str">
        <f aca="false">IF(J580="","",IF(MIN(F580,G580)&lt;=설정!$B$5,"예",""))</f>
        <v/>
      </c>
      <c r="P580" s="19" t="str">
        <f aca="false">IF(J580="","",IF(M580&lt;설정!$B$3,"baseline 수집 중",IF(N580="","정상",IF(N580&lt;=설정!$B$4,"낮음","정상"))))</f>
        <v/>
      </c>
      <c r="Q580" s="20"/>
      <c r="R580" s="18" t="str">
        <f aca="false">IF(J580="","",J580^2)</f>
        <v/>
      </c>
    </row>
    <row r="581" customFormat="false" ht="15" hidden="false" customHeight="false" outlineLevel="0" collapsed="false">
      <c r="A581" s="16"/>
      <c r="B581" s="17"/>
      <c r="C581" s="17"/>
      <c r="D581" s="17"/>
      <c r="E581" s="17"/>
      <c r="F581" s="17"/>
      <c r="G581" s="17"/>
      <c r="H581" s="17"/>
      <c r="I581" s="17"/>
      <c r="J581" s="18" t="str">
        <f aca="false">IF(COUNT(E581:I581)&lt;5,"",SUM(E581:I581))</f>
        <v/>
      </c>
      <c r="K581" s="18" t="str">
        <f aca="false">IF(J581="","",IF(M581&lt;설정!$B$3,"",ROUND(AVERAGEIFS($J$2:$J$1001,$B$2:$B$1001,B581,$A$2:$A$1001,"&lt;"&amp;A581,$A$2:$A$1001,"&gt;="&amp;(A581-설정!$B$2)),2)))</f>
        <v/>
      </c>
      <c r="L581" s="18" t="str">
        <f aca="false">IF(K581="","",ROUND(SQRT(MAX(0,(SUMIFS($R$2:$R$1001,$B$2:$B$1001,B581,$A$2:$A$1001,"&lt;"&amp;A581,$A$2:$A$1001,"&gt;="&amp;(A581-설정!$B$2))-M581*AVERAGEIFS($J$2:$J$1001,$B$2:$B$1001,B581,$A$2:$A$1001,"&lt;"&amp;A581,$A$2:$A$1001,"&gt;="&amp;(A581-설정!$B$2))^2)/(M581-1))),2))</f>
        <v/>
      </c>
      <c r="M581" s="18" t="str">
        <f aca="false">IF(J581="","",COUNTIFS($B$2:$B$1001,B581,$A$2:$A$1001,"&lt;"&amp;A581,$A$2:$A$1001,"&gt;="&amp;(A581-설정!$B$2),$J$2:$J$1001,"&gt;=0"))</f>
        <v/>
      </c>
      <c r="N581" s="18" t="str">
        <f aca="false">IF(K581="","",IF(L581=0,"",ROUND((J581-K581)/L581,2)))</f>
        <v/>
      </c>
      <c r="O581" s="19" t="str">
        <f aca="false">IF(J581="","",IF(MIN(F581,G581)&lt;=설정!$B$5,"예",""))</f>
        <v/>
      </c>
      <c r="P581" s="19" t="str">
        <f aca="false">IF(J581="","",IF(M581&lt;설정!$B$3,"baseline 수집 중",IF(N581="","정상",IF(N581&lt;=설정!$B$4,"낮음","정상"))))</f>
        <v/>
      </c>
      <c r="Q581" s="20"/>
      <c r="R581" s="18" t="str">
        <f aca="false">IF(J581="","",J581^2)</f>
        <v/>
      </c>
    </row>
    <row r="582" customFormat="false" ht="15" hidden="false" customHeight="false" outlineLevel="0" collapsed="false">
      <c r="A582" s="16"/>
      <c r="B582" s="17"/>
      <c r="C582" s="17"/>
      <c r="D582" s="17"/>
      <c r="E582" s="17"/>
      <c r="F582" s="17"/>
      <c r="G582" s="17"/>
      <c r="H582" s="17"/>
      <c r="I582" s="17"/>
      <c r="J582" s="18" t="str">
        <f aca="false">IF(COUNT(E582:I582)&lt;5,"",SUM(E582:I582))</f>
        <v/>
      </c>
      <c r="K582" s="18" t="str">
        <f aca="false">IF(J582="","",IF(M582&lt;설정!$B$3,"",ROUND(AVERAGEIFS($J$2:$J$1001,$B$2:$B$1001,B582,$A$2:$A$1001,"&lt;"&amp;A582,$A$2:$A$1001,"&gt;="&amp;(A582-설정!$B$2)),2)))</f>
        <v/>
      </c>
      <c r="L582" s="18" t="str">
        <f aca="false">IF(K582="","",ROUND(SQRT(MAX(0,(SUMIFS($R$2:$R$1001,$B$2:$B$1001,B582,$A$2:$A$1001,"&lt;"&amp;A582,$A$2:$A$1001,"&gt;="&amp;(A582-설정!$B$2))-M582*AVERAGEIFS($J$2:$J$1001,$B$2:$B$1001,B582,$A$2:$A$1001,"&lt;"&amp;A582,$A$2:$A$1001,"&gt;="&amp;(A582-설정!$B$2))^2)/(M582-1))),2))</f>
        <v/>
      </c>
      <c r="M582" s="18" t="str">
        <f aca="false">IF(J582="","",COUNTIFS($B$2:$B$1001,B582,$A$2:$A$1001,"&lt;"&amp;A582,$A$2:$A$1001,"&gt;="&amp;(A582-설정!$B$2),$J$2:$J$1001,"&gt;=0"))</f>
        <v/>
      </c>
      <c r="N582" s="18" t="str">
        <f aca="false">IF(K582="","",IF(L582=0,"",ROUND((J582-K582)/L582,2)))</f>
        <v/>
      </c>
      <c r="O582" s="19" t="str">
        <f aca="false">IF(J582="","",IF(MIN(F582,G582)&lt;=설정!$B$5,"예",""))</f>
        <v/>
      </c>
      <c r="P582" s="19" t="str">
        <f aca="false">IF(J582="","",IF(M582&lt;설정!$B$3,"baseline 수집 중",IF(N582="","정상",IF(N582&lt;=설정!$B$4,"낮음","정상"))))</f>
        <v/>
      </c>
      <c r="Q582" s="20"/>
      <c r="R582" s="18" t="str">
        <f aca="false">IF(J582="","",J582^2)</f>
        <v/>
      </c>
    </row>
    <row r="583" customFormat="false" ht="15" hidden="false" customHeight="false" outlineLevel="0" collapsed="false">
      <c r="A583" s="16"/>
      <c r="B583" s="17"/>
      <c r="C583" s="17"/>
      <c r="D583" s="17"/>
      <c r="E583" s="17"/>
      <c r="F583" s="17"/>
      <c r="G583" s="17"/>
      <c r="H583" s="17"/>
      <c r="I583" s="17"/>
      <c r="J583" s="18" t="str">
        <f aca="false">IF(COUNT(E583:I583)&lt;5,"",SUM(E583:I583))</f>
        <v/>
      </c>
      <c r="K583" s="18" t="str">
        <f aca="false">IF(J583="","",IF(M583&lt;설정!$B$3,"",ROUND(AVERAGEIFS($J$2:$J$1001,$B$2:$B$1001,B583,$A$2:$A$1001,"&lt;"&amp;A583,$A$2:$A$1001,"&gt;="&amp;(A583-설정!$B$2)),2)))</f>
        <v/>
      </c>
      <c r="L583" s="18" t="str">
        <f aca="false">IF(K583="","",ROUND(SQRT(MAX(0,(SUMIFS($R$2:$R$1001,$B$2:$B$1001,B583,$A$2:$A$1001,"&lt;"&amp;A583,$A$2:$A$1001,"&gt;="&amp;(A583-설정!$B$2))-M583*AVERAGEIFS($J$2:$J$1001,$B$2:$B$1001,B583,$A$2:$A$1001,"&lt;"&amp;A583,$A$2:$A$1001,"&gt;="&amp;(A583-설정!$B$2))^2)/(M583-1))),2))</f>
        <v/>
      </c>
      <c r="M583" s="18" t="str">
        <f aca="false">IF(J583="","",COUNTIFS($B$2:$B$1001,B583,$A$2:$A$1001,"&lt;"&amp;A583,$A$2:$A$1001,"&gt;="&amp;(A583-설정!$B$2),$J$2:$J$1001,"&gt;=0"))</f>
        <v/>
      </c>
      <c r="N583" s="18" t="str">
        <f aca="false">IF(K583="","",IF(L583=0,"",ROUND((J583-K583)/L583,2)))</f>
        <v/>
      </c>
      <c r="O583" s="19" t="str">
        <f aca="false">IF(J583="","",IF(MIN(F583,G583)&lt;=설정!$B$5,"예",""))</f>
        <v/>
      </c>
      <c r="P583" s="19" t="str">
        <f aca="false">IF(J583="","",IF(M583&lt;설정!$B$3,"baseline 수집 중",IF(N583="","정상",IF(N583&lt;=설정!$B$4,"낮음","정상"))))</f>
        <v/>
      </c>
      <c r="Q583" s="20"/>
      <c r="R583" s="18" t="str">
        <f aca="false">IF(J583="","",J583^2)</f>
        <v/>
      </c>
    </row>
    <row r="584" customFormat="false" ht="15" hidden="false" customHeight="false" outlineLevel="0" collapsed="false">
      <c r="A584" s="16"/>
      <c r="B584" s="17"/>
      <c r="C584" s="17"/>
      <c r="D584" s="17"/>
      <c r="E584" s="17"/>
      <c r="F584" s="17"/>
      <c r="G584" s="17"/>
      <c r="H584" s="17"/>
      <c r="I584" s="17"/>
      <c r="J584" s="18" t="str">
        <f aca="false">IF(COUNT(E584:I584)&lt;5,"",SUM(E584:I584))</f>
        <v/>
      </c>
      <c r="K584" s="18" t="str">
        <f aca="false">IF(J584="","",IF(M584&lt;설정!$B$3,"",ROUND(AVERAGEIFS($J$2:$J$1001,$B$2:$B$1001,B584,$A$2:$A$1001,"&lt;"&amp;A584,$A$2:$A$1001,"&gt;="&amp;(A584-설정!$B$2)),2)))</f>
        <v/>
      </c>
      <c r="L584" s="18" t="str">
        <f aca="false">IF(K584="","",ROUND(SQRT(MAX(0,(SUMIFS($R$2:$R$1001,$B$2:$B$1001,B584,$A$2:$A$1001,"&lt;"&amp;A584,$A$2:$A$1001,"&gt;="&amp;(A584-설정!$B$2))-M584*AVERAGEIFS($J$2:$J$1001,$B$2:$B$1001,B584,$A$2:$A$1001,"&lt;"&amp;A584,$A$2:$A$1001,"&gt;="&amp;(A584-설정!$B$2))^2)/(M584-1))),2))</f>
        <v/>
      </c>
      <c r="M584" s="18" t="str">
        <f aca="false">IF(J584="","",COUNTIFS($B$2:$B$1001,B584,$A$2:$A$1001,"&lt;"&amp;A584,$A$2:$A$1001,"&gt;="&amp;(A584-설정!$B$2),$J$2:$J$1001,"&gt;=0"))</f>
        <v/>
      </c>
      <c r="N584" s="18" t="str">
        <f aca="false">IF(K584="","",IF(L584=0,"",ROUND((J584-K584)/L584,2)))</f>
        <v/>
      </c>
      <c r="O584" s="19" t="str">
        <f aca="false">IF(J584="","",IF(MIN(F584,G584)&lt;=설정!$B$5,"예",""))</f>
        <v/>
      </c>
      <c r="P584" s="19" t="str">
        <f aca="false">IF(J584="","",IF(M584&lt;설정!$B$3,"baseline 수집 중",IF(N584="","정상",IF(N584&lt;=설정!$B$4,"낮음","정상"))))</f>
        <v/>
      </c>
      <c r="Q584" s="20"/>
      <c r="R584" s="18" t="str">
        <f aca="false">IF(J584="","",J584^2)</f>
        <v/>
      </c>
    </row>
    <row r="585" customFormat="false" ht="15" hidden="false" customHeight="false" outlineLevel="0" collapsed="false">
      <c r="A585" s="16"/>
      <c r="B585" s="17"/>
      <c r="C585" s="17"/>
      <c r="D585" s="17"/>
      <c r="E585" s="17"/>
      <c r="F585" s="17"/>
      <c r="G585" s="17"/>
      <c r="H585" s="17"/>
      <c r="I585" s="17"/>
      <c r="J585" s="18" t="str">
        <f aca="false">IF(COUNT(E585:I585)&lt;5,"",SUM(E585:I585))</f>
        <v/>
      </c>
      <c r="K585" s="18" t="str">
        <f aca="false">IF(J585="","",IF(M585&lt;설정!$B$3,"",ROUND(AVERAGEIFS($J$2:$J$1001,$B$2:$B$1001,B585,$A$2:$A$1001,"&lt;"&amp;A585,$A$2:$A$1001,"&gt;="&amp;(A585-설정!$B$2)),2)))</f>
        <v/>
      </c>
      <c r="L585" s="18" t="str">
        <f aca="false">IF(K585="","",ROUND(SQRT(MAX(0,(SUMIFS($R$2:$R$1001,$B$2:$B$1001,B585,$A$2:$A$1001,"&lt;"&amp;A585,$A$2:$A$1001,"&gt;="&amp;(A585-설정!$B$2))-M585*AVERAGEIFS($J$2:$J$1001,$B$2:$B$1001,B585,$A$2:$A$1001,"&lt;"&amp;A585,$A$2:$A$1001,"&gt;="&amp;(A585-설정!$B$2))^2)/(M585-1))),2))</f>
        <v/>
      </c>
      <c r="M585" s="18" t="str">
        <f aca="false">IF(J585="","",COUNTIFS($B$2:$B$1001,B585,$A$2:$A$1001,"&lt;"&amp;A585,$A$2:$A$1001,"&gt;="&amp;(A585-설정!$B$2),$J$2:$J$1001,"&gt;=0"))</f>
        <v/>
      </c>
      <c r="N585" s="18" t="str">
        <f aca="false">IF(K585="","",IF(L585=0,"",ROUND((J585-K585)/L585,2)))</f>
        <v/>
      </c>
      <c r="O585" s="19" t="str">
        <f aca="false">IF(J585="","",IF(MIN(F585,G585)&lt;=설정!$B$5,"예",""))</f>
        <v/>
      </c>
      <c r="P585" s="19" t="str">
        <f aca="false">IF(J585="","",IF(M585&lt;설정!$B$3,"baseline 수집 중",IF(N585="","정상",IF(N585&lt;=설정!$B$4,"낮음","정상"))))</f>
        <v/>
      </c>
      <c r="Q585" s="20"/>
      <c r="R585" s="18" t="str">
        <f aca="false">IF(J585="","",J585^2)</f>
        <v/>
      </c>
    </row>
    <row r="586" customFormat="false" ht="15" hidden="false" customHeight="false" outlineLevel="0" collapsed="false">
      <c r="A586" s="16"/>
      <c r="B586" s="17"/>
      <c r="C586" s="17"/>
      <c r="D586" s="17"/>
      <c r="E586" s="17"/>
      <c r="F586" s="17"/>
      <c r="G586" s="17"/>
      <c r="H586" s="17"/>
      <c r="I586" s="17"/>
      <c r="J586" s="18" t="str">
        <f aca="false">IF(COUNT(E586:I586)&lt;5,"",SUM(E586:I586))</f>
        <v/>
      </c>
      <c r="K586" s="18" t="str">
        <f aca="false">IF(J586="","",IF(M586&lt;설정!$B$3,"",ROUND(AVERAGEIFS($J$2:$J$1001,$B$2:$B$1001,B586,$A$2:$A$1001,"&lt;"&amp;A586,$A$2:$A$1001,"&gt;="&amp;(A586-설정!$B$2)),2)))</f>
        <v/>
      </c>
      <c r="L586" s="18" t="str">
        <f aca="false">IF(K586="","",ROUND(SQRT(MAX(0,(SUMIFS($R$2:$R$1001,$B$2:$B$1001,B586,$A$2:$A$1001,"&lt;"&amp;A586,$A$2:$A$1001,"&gt;="&amp;(A586-설정!$B$2))-M586*AVERAGEIFS($J$2:$J$1001,$B$2:$B$1001,B586,$A$2:$A$1001,"&lt;"&amp;A586,$A$2:$A$1001,"&gt;="&amp;(A586-설정!$B$2))^2)/(M586-1))),2))</f>
        <v/>
      </c>
      <c r="M586" s="18" t="str">
        <f aca="false">IF(J586="","",COUNTIFS($B$2:$B$1001,B586,$A$2:$A$1001,"&lt;"&amp;A586,$A$2:$A$1001,"&gt;="&amp;(A586-설정!$B$2),$J$2:$J$1001,"&gt;=0"))</f>
        <v/>
      </c>
      <c r="N586" s="18" t="str">
        <f aca="false">IF(K586="","",IF(L586=0,"",ROUND((J586-K586)/L586,2)))</f>
        <v/>
      </c>
      <c r="O586" s="19" t="str">
        <f aca="false">IF(J586="","",IF(MIN(F586,G586)&lt;=설정!$B$5,"예",""))</f>
        <v/>
      </c>
      <c r="P586" s="19" t="str">
        <f aca="false">IF(J586="","",IF(M586&lt;설정!$B$3,"baseline 수집 중",IF(N586="","정상",IF(N586&lt;=설정!$B$4,"낮음","정상"))))</f>
        <v/>
      </c>
      <c r="Q586" s="20"/>
      <c r="R586" s="18" t="str">
        <f aca="false">IF(J586="","",J586^2)</f>
        <v/>
      </c>
    </row>
    <row r="587" customFormat="false" ht="15" hidden="false" customHeight="false" outlineLevel="0" collapsed="false">
      <c r="A587" s="16"/>
      <c r="B587" s="17"/>
      <c r="C587" s="17"/>
      <c r="D587" s="17"/>
      <c r="E587" s="17"/>
      <c r="F587" s="17"/>
      <c r="G587" s="17"/>
      <c r="H587" s="17"/>
      <c r="I587" s="17"/>
      <c r="J587" s="18" t="str">
        <f aca="false">IF(COUNT(E587:I587)&lt;5,"",SUM(E587:I587))</f>
        <v/>
      </c>
      <c r="K587" s="18" t="str">
        <f aca="false">IF(J587="","",IF(M587&lt;설정!$B$3,"",ROUND(AVERAGEIFS($J$2:$J$1001,$B$2:$B$1001,B587,$A$2:$A$1001,"&lt;"&amp;A587,$A$2:$A$1001,"&gt;="&amp;(A587-설정!$B$2)),2)))</f>
        <v/>
      </c>
      <c r="L587" s="18" t="str">
        <f aca="false">IF(K587="","",ROUND(SQRT(MAX(0,(SUMIFS($R$2:$R$1001,$B$2:$B$1001,B587,$A$2:$A$1001,"&lt;"&amp;A587,$A$2:$A$1001,"&gt;="&amp;(A587-설정!$B$2))-M587*AVERAGEIFS($J$2:$J$1001,$B$2:$B$1001,B587,$A$2:$A$1001,"&lt;"&amp;A587,$A$2:$A$1001,"&gt;="&amp;(A587-설정!$B$2))^2)/(M587-1))),2))</f>
        <v/>
      </c>
      <c r="M587" s="18" t="str">
        <f aca="false">IF(J587="","",COUNTIFS($B$2:$B$1001,B587,$A$2:$A$1001,"&lt;"&amp;A587,$A$2:$A$1001,"&gt;="&amp;(A587-설정!$B$2),$J$2:$J$1001,"&gt;=0"))</f>
        <v/>
      </c>
      <c r="N587" s="18" t="str">
        <f aca="false">IF(K587="","",IF(L587=0,"",ROUND((J587-K587)/L587,2)))</f>
        <v/>
      </c>
      <c r="O587" s="19" t="str">
        <f aca="false">IF(J587="","",IF(MIN(F587,G587)&lt;=설정!$B$5,"예",""))</f>
        <v/>
      </c>
      <c r="P587" s="19" t="str">
        <f aca="false">IF(J587="","",IF(M587&lt;설정!$B$3,"baseline 수집 중",IF(N587="","정상",IF(N587&lt;=설정!$B$4,"낮음","정상"))))</f>
        <v/>
      </c>
      <c r="Q587" s="20"/>
      <c r="R587" s="18" t="str">
        <f aca="false">IF(J587="","",J587^2)</f>
        <v/>
      </c>
    </row>
    <row r="588" customFormat="false" ht="15" hidden="false" customHeight="false" outlineLevel="0" collapsed="false">
      <c r="A588" s="16"/>
      <c r="B588" s="17"/>
      <c r="C588" s="17"/>
      <c r="D588" s="17"/>
      <c r="E588" s="17"/>
      <c r="F588" s="17"/>
      <c r="G588" s="17"/>
      <c r="H588" s="17"/>
      <c r="I588" s="17"/>
      <c r="J588" s="18" t="str">
        <f aca="false">IF(COUNT(E588:I588)&lt;5,"",SUM(E588:I588))</f>
        <v/>
      </c>
      <c r="K588" s="18" t="str">
        <f aca="false">IF(J588="","",IF(M588&lt;설정!$B$3,"",ROUND(AVERAGEIFS($J$2:$J$1001,$B$2:$B$1001,B588,$A$2:$A$1001,"&lt;"&amp;A588,$A$2:$A$1001,"&gt;="&amp;(A588-설정!$B$2)),2)))</f>
        <v/>
      </c>
      <c r="L588" s="18" t="str">
        <f aca="false">IF(K588="","",ROUND(SQRT(MAX(0,(SUMIFS($R$2:$R$1001,$B$2:$B$1001,B588,$A$2:$A$1001,"&lt;"&amp;A588,$A$2:$A$1001,"&gt;="&amp;(A588-설정!$B$2))-M588*AVERAGEIFS($J$2:$J$1001,$B$2:$B$1001,B588,$A$2:$A$1001,"&lt;"&amp;A588,$A$2:$A$1001,"&gt;="&amp;(A588-설정!$B$2))^2)/(M588-1))),2))</f>
        <v/>
      </c>
      <c r="M588" s="18" t="str">
        <f aca="false">IF(J588="","",COUNTIFS($B$2:$B$1001,B588,$A$2:$A$1001,"&lt;"&amp;A588,$A$2:$A$1001,"&gt;="&amp;(A588-설정!$B$2),$J$2:$J$1001,"&gt;=0"))</f>
        <v/>
      </c>
      <c r="N588" s="18" t="str">
        <f aca="false">IF(K588="","",IF(L588=0,"",ROUND((J588-K588)/L588,2)))</f>
        <v/>
      </c>
      <c r="O588" s="19" t="str">
        <f aca="false">IF(J588="","",IF(MIN(F588,G588)&lt;=설정!$B$5,"예",""))</f>
        <v/>
      </c>
      <c r="P588" s="19" t="str">
        <f aca="false">IF(J588="","",IF(M588&lt;설정!$B$3,"baseline 수집 중",IF(N588="","정상",IF(N588&lt;=설정!$B$4,"낮음","정상"))))</f>
        <v/>
      </c>
      <c r="Q588" s="20"/>
      <c r="R588" s="18" t="str">
        <f aca="false">IF(J588="","",J588^2)</f>
        <v/>
      </c>
    </row>
    <row r="589" customFormat="false" ht="15" hidden="false" customHeight="false" outlineLevel="0" collapsed="false">
      <c r="A589" s="16"/>
      <c r="B589" s="17"/>
      <c r="C589" s="17"/>
      <c r="D589" s="17"/>
      <c r="E589" s="17"/>
      <c r="F589" s="17"/>
      <c r="G589" s="17"/>
      <c r="H589" s="17"/>
      <c r="I589" s="17"/>
      <c r="J589" s="18" t="str">
        <f aca="false">IF(COUNT(E589:I589)&lt;5,"",SUM(E589:I589))</f>
        <v/>
      </c>
      <c r="K589" s="18" t="str">
        <f aca="false">IF(J589="","",IF(M589&lt;설정!$B$3,"",ROUND(AVERAGEIFS($J$2:$J$1001,$B$2:$B$1001,B589,$A$2:$A$1001,"&lt;"&amp;A589,$A$2:$A$1001,"&gt;="&amp;(A589-설정!$B$2)),2)))</f>
        <v/>
      </c>
      <c r="L589" s="18" t="str">
        <f aca="false">IF(K589="","",ROUND(SQRT(MAX(0,(SUMIFS($R$2:$R$1001,$B$2:$B$1001,B589,$A$2:$A$1001,"&lt;"&amp;A589,$A$2:$A$1001,"&gt;="&amp;(A589-설정!$B$2))-M589*AVERAGEIFS($J$2:$J$1001,$B$2:$B$1001,B589,$A$2:$A$1001,"&lt;"&amp;A589,$A$2:$A$1001,"&gt;="&amp;(A589-설정!$B$2))^2)/(M589-1))),2))</f>
        <v/>
      </c>
      <c r="M589" s="18" t="str">
        <f aca="false">IF(J589="","",COUNTIFS($B$2:$B$1001,B589,$A$2:$A$1001,"&lt;"&amp;A589,$A$2:$A$1001,"&gt;="&amp;(A589-설정!$B$2),$J$2:$J$1001,"&gt;=0"))</f>
        <v/>
      </c>
      <c r="N589" s="18" t="str">
        <f aca="false">IF(K589="","",IF(L589=0,"",ROUND((J589-K589)/L589,2)))</f>
        <v/>
      </c>
      <c r="O589" s="19" t="str">
        <f aca="false">IF(J589="","",IF(MIN(F589,G589)&lt;=설정!$B$5,"예",""))</f>
        <v/>
      </c>
      <c r="P589" s="19" t="str">
        <f aca="false">IF(J589="","",IF(M589&lt;설정!$B$3,"baseline 수집 중",IF(N589="","정상",IF(N589&lt;=설정!$B$4,"낮음","정상"))))</f>
        <v/>
      </c>
      <c r="Q589" s="20"/>
      <c r="R589" s="18" t="str">
        <f aca="false">IF(J589="","",J589^2)</f>
        <v/>
      </c>
    </row>
    <row r="590" customFormat="false" ht="15" hidden="false" customHeight="false" outlineLevel="0" collapsed="false">
      <c r="A590" s="16"/>
      <c r="B590" s="17"/>
      <c r="C590" s="17"/>
      <c r="D590" s="17"/>
      <c r="E590" s="17"/>
      <c r="F590" s="17"/>
      <c r="G590" s="17"/>
      <c r="H590" s="17"/>
      <c r="I590" s="17"/>
      <c r="J590" s="18" t="str">
        <f aca="false">IF(COUNT(E590:I590)&lt;5,"",SUM(E590:I590))</f>
        <v/>
      </c>
      <c r="K590" s="18" t="str">
        <f aca="false">IF(J590="","",IF(M590&lt;설정!$B$3,"",ROUND(AVERAGEIFS($J$2:$J$1001,$B$2:$B$1001,B590,$A$2:$A$1001,"&lt;"&amp;A590,$A$2:$A$1001,"&gt;="&amp;(A590-설정!$B$2)),2)))</f>
        <v/>
      </c>
      <c r="L590" s="18" t="str">
        <f aca="false">IF(K590="","",ROUND(SQRT(MAX(0,(SUMIFS($R$2:$R$1001,$B$2:$B$1001,B590,$A$2:$A$1001,"&lt;"&amp;A590,$A$2:$A$1001,"&gt;="&amp;(A590-설정!$B$2))-M590*AVERAGEIFS($J$2:$J$1001,$B$2:$B$1001,B590,$A$2:$A$1001,"&lt;"&amp;A590,$A$2:$A$1001,"&gt;="&amp;(A590-설정!$B$2))^2)/(M590-1))),2))</f>
        <v/>
      </c>
      <c r="M590" s="18" t="str">
        <f aca="false">IF(J590="","",COUNTIFS($B$2:$B$1001,B590,$A$2:$A$1001,"&lt;"&amp;A590,$A$2:$A$1001,"&gt;="&amp;(A590-설정!$B$2),$J$2:$J$1001,"&gt;=0"))</f>
        <v/>
      </c>
      <c r="N590" s="18" t="str">
        <f aca="false">IF(K590="","",IF(L590=0,"",ROUND((J590-K590)/L590,2)))</f>
        <v/>
      </c>
      <c r="O590" s="19" t="str">
        <f aca="false">IF(J590="","",IF(MIN(F590,G590)&lt;=설정!$B$5,"예",""))</f>
        <v/>
      </c>
      <c r="P590" s="19" t="str">
        <f aca="false">IF(J590="","",IF(M590&lt;설정!$B$3,"baseline 수집 중",IF(N590="","정상",IF(N590&lt;=설정!$B$4,"낮음","정상"))))</f>
        <v/>
      </c>
      <c r="Q590" s="20"/>
      <c r="R590" s="18" t="str">
        <f aca="false">IF(J590="","",J590^2)</f>
        <v/>
      </c>
    </row>
    <row r="591" customFormat="false" ht="15" hidden="false" customHeight="false" outlineLevel="0" collapsed="false">
      <c r="A591" s="16"/>
      <c r="B591" s="17"/>
      <c r="C591" s="17"/>
      <c r="D591" s="17"/>
      <c r="E591" s="17"/>
      <c r="F591" s="17"/>
      <c r="G591" s="17"/>
      <c r="H591" s="17"/>
      <c r="I591" s="17"/>
      <c r="J591" s="18" t="str">
        <f aca="false">IF(COUNT(E591:I591)&lt;5,"",SUM(E591:I591))</f>
        <v/>
      </c>
      <c r="K591" s="18" t="str">
        <f aca="false">IF(J591="","",IF(M591&lt;설정!$B$3,"",ROUND(AVERAGEIFS($J$2:$J$1001,$B$2:$B$1001,B591,$A$2:$A$1001,"&lt;"&amp;A591,$A$2:$A$1001,"&gt;="&amp;(A591-설정!$B$2)),2)))</f>
        <v/>
      </c>
      <c r="L591" s="18" t="str">
        <f aca="false">IF(K591="","",ROUND(SQRT(MAX(0,(SUMIFS($R$2:$R$1001,$B$2:$B$1001,B591,$A$2:$A$1001,"&lt;"&amp;A591,$A$2:$A$1001,"&gt;="&amp;(A591-설정!$B$2))-M591*AVERAGEIFS($J$2:$J$1001,$B$2:$B$1001,B591,$A$2:$A$1001,"&lt;"&amp;A591,$A$2:$A$1001,"&gt;="&amp;(A591-설정!$B$2))^2)/(M591-1))),2))</f>
        <v/>
      </c>
      <c r="M591" s="18" t="str">
        <f aca="false">IF(J591="","",COUNTIFS($B$2:$B$1001,B591,$A$2:$A$1001,"&lt;"&amp;A591,$A$2:$A$1001,"&gt;="&amp;(A591-설정!$B$2),$J$2:$J$1001,"&gt;=0"))</f>
        <v/>
      </c>
      <c r="N591" s="18" t="str">
        <f aca="false">IF(K591="","",IF(L591=0,"",ROUND((J591-K591)/L591,2)))</f>
        <v/>
      </c>
      <c r="O591" s="19" t="str">
        <f aca="false">IF(J591="","",IF(MIN(F591,G591)&lt;=설정!$B$5,"예",""))</f>
        <v/>
      </c>
      <c r="P591" s="19" t="str">
        <f aca="false">IF(J591="","",IF(M591&lt;설정!$B$3,"baseline 수집 중",IF(N591="","정상",IF(N591&lt;=설정!$B$4,"낮음","정상"))))</f>
        <v/>
      </c>
      <c r="Q591" s="20"/>
      <c r="R591" s="18" t="str">
        <f aca="false">IF(J591="","",J591^2)</f>
        <v/>
      </c>
    </row>
    <row r="592" customFormat="false" ht="15" hidden="false" customHeight="false" outlineLevel="0" collapsed="false">
      <c r="A592" s="16"/>
      <c r="B592" s="17"/>
      <c r="C592" s="17"/>
      <c r="D592" s="17"/>
      <c r="E592" s="17"/>
      <c r="F592" s="17"/>
      <c r="G592" s="17"/>
      <c r="H592" s="17"/>
      <c r="I592" s="17"/>
      <c r="J592" s="18" t="str">
        <f aca="false">IF(COUNT(E592:I592)&lt;5,"",SUM(E592:I592))</f>
        <v/>
      </c>
      <c r="K592" s="18" t="str">
        <f aca="false">IF(J592="","",IF(M592&lt;설정!$B$3,"",ROUND(AVERAGEIFS($J$2:$J$1001,$B$2:$B$1001,B592,$A$2:$A$1001,"&lt;"&amp;A592,$A$2:$A$1001,"&gt;="&amp;(A592-설정!$B$2)),2)))</f>
        <v/>
      </c>
      <c r="L592" s="18" t="str">
        <f aca="false">IF(K592="","",ROUND(SQRT(MAX(0,(SUMIFS($R$2:$R$1001,$B$2:$B$1001,B592,$A$2:$A$1001,"&lt;"&amp;A592,$A$2:$A$1001,"&gt;="&amp;(A592-설정!$B$2))-M592*AVERAGEIFS($J$2:$J$1001,$B$2:$B$1001,B592,$A$2:$A$1001,"&lt;"&amp;A592,$A$2:$A$1001,"&gt;="&amp;(A592-설정!$B$2))^2)/(M592-1))),2))</f>
        <v/>
      </c>
      <c r="M592" s="18" t="str">
        <f aca="false">IF(J592="","",COUNTIFS($B$2:$B$1001,B592,$A$2:$A$1001,"&lt;"&amp;A592,$A$2:$A$1001,"&gt;="&amp;(A592-설정!$B$2),$J$2:$J$1001,"&gt;=0"))</f>
        <v/>
      </c>
      <c r="N592" s="18" t="str">
        <f aca="false">IF(K592="","",IF(L592=0,"",ROUND((J592-K592)/L592,2)))</f>
        <v/>
      </c>
      <c r="O592" s="19" t="str">
        <f aca="false">IF(J592="","",IF(MIN(F592,G592)&lt;=설정!$B$5,"예",""))</f>
        <v/>
      </c>
      <c r="P592" s="19" t="str">
        <f aca="false">IF(J592="","",IF(M592&lt;설정!$B$3,"baseline 수집 중",IF(N592="","정상",IF(N592&lt;=설정!$B$4,"낮음","정상"))))</f>
        <v/>
      </c>
      <c r="Q592" s="20"/>
      <c r="R592" s="18" t="str">
        <f aca="false">IF(J592="","",J592^2)</f>
        <v/>
      </c>
    </row>
    <row r="593" customFormat="false" ht="15" hidden="false" customHeight="false" outlineLevel="0" collapsed="false">
      <c r="A593" s="16"/>
      <c r="B593" s="17"/>
      <c r="C593" s="17"/>
      <c r="D593" s="17"/>
      <c r="E593" s="17"/>
      <c r="F593" s="17"/>
      <c r="G593" s="17"/>
      <c r="H593" s="17"/>
      <c r="I593" s="17"/>
      <c r="J593" s="18" t="str">
        <f aca="false">IF(COUNT(E593:I593)&lt;5,"",SUM(E593:I593))</f>
        <v/>
      </c>
      <c r="K593" s="18" t="str">
        <f aca="false">IF(J593="","",IF(M593&lt;설정!$B$3,"",ROUND(AVERAGEIFS($J$2:$J$1001,$B$2:$B$1001,B593,$A$2:$A$1001,"&lt;"&amp;A593,$A$2:$A$1001,"&gt;="&amp;(A593-설정!$B$2)),2)))</f>
        <v/>
      </c>
      <c r="L593" s="18" t="str">
        <f aca="false">IF(K593="","",ROUND(SQRT(MAX(0,(SUMIFS($R$2:$R$1001,$B$2:$B$1001,B593,$A$2:$A$1001,"&lt;"&amp;A593,$A$2:$A$1001,"&gt;="&amp;(A593-설정!$B$2))-M593*AVERAGEIFS($J$2:$J$1001,$B$2:$B$1001,B593,$A$2:$A$1001,"&lt;"&amp;A593,$A$2:$A$1001,"&gt;="&amp;(A593-설정!$B$2))^2)/(M593-1))),2))</f>
        <v/>
      </c>
      <c r="M593" s="18" t="str">
        <f aca="false">IF(J593="","",COUNTIFS($B$2:$B$1001,B593,$A$2:$A$1001,"&lt;"&amp;A593,$A$2:$A$1001,"&gt;="&amp;(A593-설정!$B$2),$J$2:$J$1001,"&gt;=0"))</f>
        <v/>
      </c>
      <c r="N593" s="18" t="str">
        <f aca="false">IF(K593="","",IF(L593=0,"",ROUND((J593-K593)/L593,2)))</f>
        <v/>
      </c>
      <c r="O593" s="19" t="str">
        <f aca="false">IF(J593="","",IF(MIN(F593,G593)&lt;=설정!$B$5,"예",""))</f>
        <v/>
      </c>
      <c r="P593" s="19" t="str">
        <f aca="false">IF(J593="","",IF(M593&lt;설정!$B$3,"baseline 수집 중",IF(N593="","정상",IF(N593&lt;=설정!$B$4,"낮음","정상"))))</f>
        <v/>
      </c>
      <c r="Q593" s="20"/>
      <c r="R593" s="18" t="str">
        <f aca="false">IF(J593="","",J593^2)</f>
        <v/>
      </c>
    </row>
    <row r="594" customFormat="false" ht="15" hidden="false" customHeight="false" outlineLevel="0" collapsed="false">
      <c r="A594" s="16"/>
      <c r="B594" s="17"/>
      <c r="C594" s="17"/>
      <c r="D594" s="17"/>
      <c r="E594" s="17"/>
      <c r="F594" s="17"/>
      <c r="G594" s="17"/>
      <c r="H594" s="17"/>
      <c r="I594" s="17"/>
      <c r="J594" s="18" t="str">
        <f aca="false">IF(COUNT(E594:I594)&lt;5,"",SUM(E594:I594))</f>
        <v/>
      </c>
      <c r="K594" s="18" t="str">
        <f aca="false">IF(J594="","",IF(M594&lt;설정!$B$3,"",ROUND(AVERAGEIFS($J$2:$J$1001,$B$2:$B$1001,B594,$A$2:$A$1001,"&lt;"&amp;A594,$A$2:$A$1001,"&gt;="&amp;(A594-설정!$B$2)),2)))</f>
        <v/>
      </c>
      <c r="L594" s="18" t="str">
        <f aca="false">IF(K594="","",ROUND(SQRT(MAX(0,(SUMIFS($R$2:$R$1001,$B$2:$B$1001,B594,$A$2:$A$1001,"&lt;"&amp;A594,$A$2:$A$1001,"&gt;="&amp;(A594-설정!$B$2))-M594*AVERAGEIFS($J$2:$J$1001,$B$2:$B$1001,B594,$A$2:$A$1001,"&lt;"&amp;A594,$A$2:$A$1001,"&gt;="&amp;(A594-설정!$B$2))^2)/(M594-1))),2))</f>
        <v/>
      </c>
      <c r="M594" s="18" t="str">
        <f aca="false">IF(J594="","",COUNTIFS($B$2:$B$1001,B594,$A$2:$A$1001,"&lt;"&amp;A594,$A$2:$A$1001,"&gt;="&amp;(A594-설정!$B$2),$J$2:$J$1001,"&gt;=0"))</f>
        <v/>
      </c>
      <c r="N594" s="18" t="str">
        <f aca="false">IF(K594="","",IF(L594=0,"",ROUND((J594-K594)/L594,2)))</f>
        <v/>
      </c>
      <c r="O594" s="19" t="str">
        <f aca="false">IF(J594="","",IF(MIN(F594,G594)&lt;=설정!$B$5,"예",""))</f>
        <v/>
      </c>
      <c r="P594" s="19" t="str">
        <f aca="false">IF(J594="","",IF(M594&lt;설정!$B$3,"baseline 수집 중",IF(N594="","정상",IF(N594&lt;=설정!$B$4,"낮음","정상"))))</f>
        <v/>
      </c>
      <c r="Q594" s="20"/>
      <c r="R594" s="18" t="str">
        <f aca="false">IF(J594="","",J594^2)</f>
        <v/>
      </c>
    </row>
    <row r="595" customFormat="false" ht="15" hidden="false" customHeight="false" outlineLevel="0" collapsed="false">
      <c r="A595" s="16"/>
      <c r="B595" s="17"/>
      <c r="C595" s="17"/>
      <c r="D595" s="17"/>
      <c r="E595" s="17"/>
      <c r="F595" s="17"/>
      <c r="G595" s="17"/>
      <c r="H595" s="17"/>
      <c r="I595" s="17"/>
      <c r="J595" s="18" t="str">
        <f aca="false">IF(COUNT(E595:I595)&lt;5,"",SUM(E595:I595))</f>
        <v/>
      </c>
      <c r="K595" s="18" t="str">
        <f aca="false">IF(J595="","",IF(M595&lt;설정!$B$3,"",ROUND(AVERAGEIFS($J$2:$J$1001,$B$2:$B$1001,B595,$A$2:$A$1001,"&lt;"&amp;A595,$A$2:$A$1001,"&gt;="&amp;(A595-설정!$B$2)),2)))</f>
        <v/>
      </c>
      <c r="L595" s="18" t="str">
        <f aca="false">IF(K595="","",ROUND(SQRT(MAX(0,(SUMIFS($R$2:$R$1001,$B$2:$B$1001,B595,$A$2:$A$1001,"&lt;"&amp;A595,$A$2:$A$1001,"&gt;="&amp;(A595-설정!$B$2))-M595*AVERAGEIFS($J$2:$J$1001,$B$2:$B$1001,B595,$A$2:$A$1001,"&lt;"&amp;A595,$A$2:$A$1001,"&gt;="&amp;(A595-설정!$B$2))^2)/(M595-1))),2))</f>
        <v/>
      </c>
      <c r="M595" s="18" t="str">
        <f aca="false">IF(J595="","",COUNTIFS($B$2:$B$1001,B595,$A$2:$A$1001,"&lt;"&amp;A595,$A$2:$A$1001,"&gt;="&amp;(A595-설정!$B$2),$J$2:$J$1001,"&gt;=0"))</f>
        <v/>
      </c>
      <c r="N595" s="18" t="str">
        <f aca="false">IF(K595="","",IF(L595=0,"",ROUND((J595-K595)/L595,2)))</f>
        <v/>
      </c>
      <c r="O595" s="19" t="str">
        <f aca="false">IF(J595="","",IF(MIN(F595,G595)&lt;=설정!$B$5,"예",""))</f>
        <v/>
      </c>
      <c r="P595" s="19" t="str">
        <f aca="false">IF(J595="","",IF(M595&lt;설정!$B$3,"baseline 수집 중",IF(N595="","정상",IF(N595&lt;=설정!$B$4,"낮음","정상"))))</f>
        <v/>
      </c>
      <c r="Q595" s="20"/>
      <c r="R595" s="18" t="str">
        <f aca="false">IF(J595="","",J595^2)</f>
        <v/>
      </c>
    </row>
    <row r="596" customFormat="false" ht="15" hidden="false" customHeight="false" outlineLevel="0" collapsed="false">
      <c r="A596" s="16"/>
      <c r="B596" s="17"/>
      <c r="C596" s="17"/>
      <c r="D596" s="17"/>
      <c r="E596" s="17"/>
      <c r="F596" s="17"/>
      <c r="G596" s="17"/>
      <c r="H596" s="17"/>
      <c r="I596" s="17"/>
      <c r="J596" s="18" t="str">
        <f aca="false">IF(COUNT(E596:I596)&lt;5,"",SUM(E596:I596))</f>
        <v/>
      </c>
      <c r="K596" s="18" t="str">
        <f aca="false">IF(J596="","",IF(M596&lt;설정!$B$3,"",ROUND(AVERAGEIFS($J$2:$J$1001,$B$2:$B$1001,B596,$A$2:$A$1001,"&lt;"&amp;A596,$A$2:$A$1001,"&gt;="&amp;(A596-설정!$B$2)),2)))</f>
        <v/>
      </c>
      <c r="L596" s="18" t="str">
        <f aca="false">IF(K596="","",ROUND(SQRT(MAX(0,(SUMIFS($R$2:$R$1001,$B$2:$B$1001,B596,$A$2:$A$1001,"&lt;"&amp;A596,$A$2:$A$1001,"&gt;="&amp;(A596-설정!$B$2))-M596*AVERAGEIFS($J$2:$J$1001,$B$2:$B$1001,B596,$A$2:$A$1001,"&lt;"&amp;A596,$A$2:$A$1001,"&gt;="&amp;(A596-설정!$B$2))^2)/(M596-1))),2))</f>
        <v/>
      </c>
      <c r="M596" s="18" t="str">
        <f aca="false">IF(J596="","",COUNTIFS($B$2:$B$1001,B596,$A$2:$A$1001,"&lt;"&amp;A596,$A$2:$A$1001,"&gt;="&amp;(A596-설정!$B$2),$J$2:$J$1001,"&gt;=0"))</f>
        <v/>
      </c>
      <c r="N596" s="18" t="str">
        <f aca="false">IF(K596="","",IF(L596=0,"",ROUND((J596-K596)/L596,2)))</f>
        <v/>
      </c>
      <c r="O596" s="19" t="str">
        <f aca="false">IF(J596="","",IF(MIN(F596,G596)&lt;=설정!$B$5,"예",""))</f>
        <v/>
      </c>
      <c r="P596" s="19" t="str">
        <f aca="false">IF(J596="","",IF(M596&lt;설정!$B$3,"baseline 수집 중",IF(N596="","정상",IF(N596&lt;=설정!$B$4,"낮음","정상"))))</f>
        <v/>
      </c>
      <c r="Q596" s="20"/>
      <c r="R596" s="18" t="str">
        <f aca="false">IF(J596="","",J596^2)</f>
        <v/>
      </c>
    </row>
    <row r="597" customFormat="false" ht="15" hidden="false" customHeight="false" outlineLevel="0" collapsed="false">
      <c r="A597" s="16"/>
      <c r="B597" s="17"/>
      <c r="C597" s="17"/>
      <c r="D597" s="17"/>
      <c r="E597" s="17"/>
      <c r="F597" s="17"/>
      <c r="G597" s="17"/>
      <c r="H597" s="17"/>
      <c r="I597" s="17"/>
      <c r="J597" s="18" t="str">
        <f aca="false">IF(COUNT(E597:I597)&lt;5,"",SUM(E597:I597))</f>
        <v/>
      </c>
      <c r="K597" s="18" t="str">
        <f aca="false">IF(J597="","",IF(M597&lt;설정!$B$3,"",ROUND(AVERAGEIFS($J$2:$J$1001,$B$2:$B$1001,B597,$A$2:$A$1001,"&lt;"&amp;A597,$A$2:$A$1001,"&gt;="&amp;(A597-설정!$B$2)),2)))</f>
        <v/>
      </c>
      <c r="L597" s="18" t="str">
        <f aca="false">IF(K597="","",ROUND(SQRT(MAX(0,(SUMIFS($R$2:$R$1001,$B$2:$B$1001,B597,$A$2:$A$1001,"&lt;"&amp;A597,$A$2:$A$1001,"&gt;="&amp;(A597-설정!$B$2))-M597*AVERAGEIFS($J$2:$J$1001,$B$2:$B$1001,B597,$A$2:$A$1001,"&lt;"&amp;A597,$A$2:$A$1001,"&gt;="&amp;(A597-설정!$B$2))^2)/(M597-1))),2))</f>
        <v/>
      </c>
      <c r="M597" s="18" t="str">
        <f aca="false">IF(J597="","",COUNTIFS($B$2:$B$1001,B597,$A$2:$A$1001,"&lt;"&amp;A597,$A$2:$A$1001,"&gt;="&amp;(A597-설정!$B$2),$J$2:$J$1001,"&gt;=0"))</f>
        <v/>
      </c>
      <c r="N597" s="18" t="str">
        <f aca="false">IF(K597="","",IF(L597=0,"",ROUND((J597-K597)/L597,2)))</f>
        <v/>
      </c>
      <c r="O597" s="19" t="str">
        <f aca="false">IF(J597="","",IF(MIN(F597,G597)&lt;=설정!$B$5,"예",""))</f>
        <v/>
      </c>
      <c r="P597" s="19" t="str">
        <f aca="false">IF(J597="","",IF(M597&lt;설정!$B$3,"baseline 수집 중",IF(N597="","정상",IF(N597&lt;=설정!$B$4,"낮음","정상"))))</f>
        <v/>
      </c>
      <c r="Q597" s="20"/>
      <c r="R597" s="18" t="str">
        <f aca="false">IF(J597="","",J597^2)</f>
        <v/>
      </c>
    </row>
    <row r="598" customFormat="false" ht="15" hidden="false" customHeight="false" outlineLevel="0" collapsed="false">
      <c r="A598" s="16"/>
      <c r="B598" s="17"/>
      <c r="C598" s="17"/>
      <c r="D598" s="17"/>
      <c r="E598" s="17"/>
      <c r="F598" s="17"/>
      <c r="G598" s="17"/>
      <c r="H598" s="17"/>
      <c r="I598" s="17"/>
      <c r="J598" s="18" t="str">
        <f aca="false">IF(COUNT(E598:I598)&lt;5,"",SUM(E598:I598))</f>
        <v/>
      </c>
      <c r="K598" s="18" t="str">
        <f aca="false">IF(J598="","",IF(M598&lt;설정!$B$3,"",ROUND(AVERAGEIFS($J$2:$J$1001,$B$2:$B$1001,B598,$A$2:$A$1001,"&lt;"&amp;A598,$A$2:$A$1001,"&gt;="&amp;(A598-설정!$B$2)),2)))</f>
        <v/>
      </c>
      <c r="L598" s="18" t="str">
        <f aca="false">IF(K598="","",ROUND(SQRT(MAX(0,(SUMIFS($R$2:$R$1001,$B$2:$B$1001,B598,$A$2:$A$1001,"&lt;"&amp;A598,$A$2:$A$1001,"&gt;="&amp;(A598-설정!$B$2))-M598*AVERAGEIFS($J$2:$J$1001,$B$2:$B$1001,B598,$A$2:$A$1001,"&lt;"&amp;A598,$A$2:$A$1001,"&gt;="&amp;(A598-설정!$B$2))^2)/(M598-1))),2))</f>
        <v/>
      </c>
      <c r="M598" s="18" t="str">
        <f aca="false">IF(J598="","",COUNTIFS($B$2:$B$1001,B598,$A$2:$A$1001,"&lt;"&amp;A598,$A$2:$A$1001,"&gt;="&amp;(A598-설정!$B$2),$J$2:$J$1001,"&gt;=0"))</f>
        <v/>
      </c>
      <c r="N598" s="18" t="str">
        <f aca="false">IF(K598="","",IF(L598=0,"",ROUND((J598-K598)/L598,2)))</f>
        <v/>
      </c>
      <c r="O598" s="19" t="str">
        <f aca="false">IF(J598="","",IF(MIN(F598,G598)&lt;=설정!$B$5,"예",""))</f>
        <v/>
      </c>
      <c r="P598" s="19" t="str">
        <f aca="false">IF(J598="","",IF(M598&lt;설정!$B$3,"baseline 수집 중",IF(N598="","정상",IF(N598&lt;=설정!$B$4,"낮음","정상"))))</f>
        <v/>
      </c>
      <c r="Q598" s="20"/>
      <c r="R598" s="18" t="str">
        <f aca="false">IF(J598="","",J598^2)</f>
        <v/>
      </c>
    </row>
    <row r="599" customFormat="false" ht="15" hidden="false" customHeight="false" outlineLevel="0" collapsed="false">
      <c r="A599" s="16"/>
      <c r="B599" s="17"/>
      <c r="C599" s="17"/>
      <c r="D599" s="17"/>
      <c r="E599" s="17"/>
      <c r="F599" s="17"/>
      <c r="G599" s="17"/>
      <c r="H599" s="17"/>
      <c r="I599" s="17"/>
      <c r="J599" s="18" t="str">
        <f aca="false">IF(COUNT(E599:I599)&lt;5,"",SUM(E599:I599))</f>
        <v/>
      </c>
      <c r="K599" s="18" t="str">
        <f aca="false">IF(J599="","",IF(M599&lt;설정!$B$3,"",ROUND(AVERAGEIFS($J$2:$J$1001,$B$2:$B$1001,B599,$A$2:$A$1001,"&lt;"&amp;A599,$A$2:$A$1001,"&gt;="&amp;(A599-설정!$B$2)),2)))</f>
        <v/>
      </c>
      <c r="L599" s="18" t="str">
        <f aca="false">IF(K599="","",ROUND(SQRT(MAX(0,(SUMIFS($R$2:$R$1001,$B$2:$B$1001,B599,$A$2:$A$1001,"&lt;"&amp;A599,$A$2:$A$1001,"&gt;="&amp;(A599-설정!$B$2))-M599*AVERAGEIFS($J$2:$J$1001,$B$2:$B$1001,B599,$A$2:$A$1001,"&lt;"&amp;A599,$A$2:$A$1001,"&gt;="&amp;(A599-설정!$B$2))^2)/(M599-1))),2))</f>
        <v/>
      </c>
      <c r="M599" s="18" t="str">
        <f aca="false">IF(J599="","",COUNTIFS($B$2:$B$1001,B599,$A$2:$A$1001,"&lt;"&amp;A599,$A$2:$A$1001,"&gt;="&amp;(A599-설정!$B$2),$J$2:$J$1001,"&gt;=0"))</f>
        <v/>
      </c>
      <c r="N599" s="18" t="str">
        <f aca="false">IF(K599="","",IF(L599=0,"",ROUND((J599-K599)/L599,2)))</f>
        <v/>
      </c>
      <c r="O599" s="19" t="str">
        <f aca="false">IF(J599="","",IF(MIN(F599,G599)&lt;=설정!$B$5,"예",""))</f>
        <v/>
      </c>
      <c r="P599" s="19" t="str">
        <f aca="false">IF(J599="","",IF(M599&lt;설정!$B$3,"baseline 수집 중",IF(N599="","정상",IF(N599&lt;=설정!$B$4,"낮음","정상"))))</f>
        <v/>
      </c>
      <c r="Q599" s="20"/>
      <c r="R599" s="18" t="str">
        <f aca="false">IF(J599="","",J599^2)</f>
        <v/>
      </c>
    </row>
    <row r="600" customFormat="false" ht="15" hidden="false" customHeight="false" outlineLevel="0" collapsed="false">
      <c r="A600" s="16"/>
      <c r="B600" s="17"/>
      <c r="C600" s="17"/>
      <c r="D600" s="17"/>
      <c r="E600" s="17"/>
      <c r="F600" s="17"/>
      <c r="G600" s="17"/>
      <c r="H600" s="17"/>
      <c r="I600" s="17"/>
      <c r="J600" s="18" t="str">
        <f aca="false">IF(COUNT(E600:I600)&lt;5,"",SUM(E600:I600))</f>
        <v/>
      </c>
      <c r="K600" s="18" t="str">
        <f aca="false">IF(J600="","",IF(M600&lt;설정!$B$3,"",ROUND(AVERAGEIFS($J$2:$J$1001,$B$2:$B$1001,B600,$A$2:$A$1001,"&lt;"&amp;A600,$A$2:$A$1001,"&gt;="&amp;(A600-설정!$B$2)),2)))</f>
        <v/>
      </c>
      <c r="L600" s="18" t="str">
        <f aca="false">IF(K600="","",ROUND(SQRT(MAX(0,(SUMIFS($R$2:$R$1001,$B$2:$B$1001,B600,$A$2:$A$1001,"&lt;"&amp;A600,$A$2:$A$1001,"&gt;="&amp;(A600-설정!$B$2))-M600*AVERAGEIFS($J$2:$J$1001,$B$2:$B$1001,B600,$A$2:$A$1001,"&lt;"&amp;A600,$A$2:$A$1001,"&gt;="&amp;(A600-설정!$B$2))^2)/(M600-1))),2))</f>
        <v/>
      </c>
      <c r="M600" s="18" t="str">
        <f aca="false">IF(J600="","",COUNTIFS($B$2:$B$1001,B600,$A$2:$A$1001,"&lt;"&amp;A600,$A$2:$A$1001,"&gt;="&amp;(A600-설정!$B$2),$J$2:$J$1001,"&gt;=0"))</f>
        <v/>
      </c>
      <c r="N600" s="18" t="str">
        <f aca="false">IF(K600="","",IF(L600=0,"",ROUND((J600-K600)/L600,2)))</f>
        <v/>
      </c>
      <c r="O600" s="19" t="str">
        <f aca="false">IF(J600="","",IF(MIN(F600,G600)&lt;=설정!$B$5,"예",""))</f>
        <v/>
      </c>
      <c r="P600" s="19" t="str">
        <f aca="false">IF(J600="","",IF(M600&lt;설정!$B$3,"baseline 수집 중",IF(N600="","정상",IF(N600&lt;=설정!$B$4,"낮음","정상"))))</f>
        <v/>
      </c>
      <c r="Q600" s="20"/>
      <c r="R600" s="18" t="str">
        <f aca="false">IF(J600="","",J600^2)</f>
        <v/>
      </c>
    </row>
    <row r="601" customFormat="false" ht="15" hidden="false" customHeight="false" outlineLevel="0" collapsed="false">
      <c r="A601" s="16"/>
      <c r="B601" s="17"/>
      <c r="C601" s="17"/>
      <c r="D601" s="17"/>
      <c r="E601" s="17"/>
      <c r="F601" s="17"/>
      <c r="G601" s="17"/>
      <c r="H601" s="17"/>
      <c r="I601" s="17"/>
      <c r="J601" s="18" t="str">
        <f aca="false">IF(COUNT(E601:I601)&lt;5,"",SUM(E601:I601))</f>
        <v/>
      </c>
      <c r="K601" s="18" t="str">
        <f aca="false">IF(J601="","",IF(M601&lt;설정!$B$3,"",ROUND(AVERAGEIFS($J$2:$J$1001,$B$2:$B$1001,B601,$A$2:$A$1001,"&lt;"&amp;A601,$A$2:$A$1001,"&gt;="&amp;(A601-설정!$B$2)),2)))</f>
        <v/>
      </c>
      <c r="L601" s="18" t="str">
        <f aca="false">IF(K601="","",ROUND(SQRT(MAX(0,(SUMIFS($R$2:$R$1001,$B$2:$B$1001,B601,$A$2:$A$1001,"&lt;"&amp;A601,$A$2:$A$1001,"&gt;="&amp;(A601-설정!$B$2))-M601*AVERAGEIFS($J$2:$J$1001,$B$2:$B$1001,B601,$A$2:$A$1001,"&lt;"&amp;A601,$A$2:$A$1001,"&gt;="&amp;(A601-설정!$B$2))^2)/(M601-1))),2))</f>
        <v/>
      </c>
      <c r="M601" s="18" t="str">
        <f aca="false">IF(J601="","",COUNTIFS($B$2:$B$1001,B601,$A$2:$A$1001,"&lt;"&amp;A601,$A$2:$A$1001,"&gt;="&amp;(A601-설정!$B$2),$J$2:$J$1001,"&gt;=0"))</f>
        <v/>
      </c>
      <c r="N601" s="18" t="str">
        <f aca="false">IF(K601="","",IF(L601=0,"",ROUND((J601-K601)/L601,2)))</f>
        <v/>
      </c>
      <c r="O601" s="19" t="str">
        <f aca="false">IF(J601="","",IF(MIN(F601,G601)&lt;=설정!$B$5,"예",""))</f>
        <v/>
      </c>
      <c r="P601" s="19" t="str">
        <f aca="false">IF(J601="","",IF(M601&lt;설정!$B$3,"baseline 수집 중",IF(N601="","정상",IF(N601&lt;=설정!$B$4,"낮음","정상"))))</f>
        <v/>
      </c>
      <c r="Q601" s="20"/>
      <c r="R601" s="18" t="str">
        <f aca="false">IF(J601="","",J601^2)</f>
        <v/>
      </c>
    </row>
    <row r="602" customFormat="false" ht="15" hidden="false" customHeight="false" outlineLevel="0" collapsed="false">
      <c r="A602" s="16"/>
      <c r="B602" s="17"/>
      <c r="C602" s="17"/>
      <c r="D602" s="17"/>
      <c r="E602" s="17"/>
      <c r="F602" s="17"/>
      <c r="G602" s="17"/>
      <c r="H602" s="17"/>
      <c r="I602" s="17"/>
      <c r="J602" s="18" t="str">
        <f aca="false">IF(COUNT(E602:I602)&lt;5,"",SUM(E602:I602))</f>
        <v/>
      </c>
      <c r="K602" s="18" t="str">
        <f aca="false">IF(J602="","",IF(M602&lt;설정!$B$3,"",ROUND(AVERAGEIFS($J$2:$J$1001,$B$2:$B$1001,B602,$A$2:$A$1001,"&lt;"&amp;A602,$A$2:$A$1001,"&gt;="&amp;(A602-설정!$B$2)),2)))</f>
        <v/>
      </c>
      <c r="L602" s="18" t="str">
        <f aca="false">IF(K602="","",ROUND(SQRT(MAX(0,(SUMIFS($R$2:$R$1001,$B$2:$B$1001,B602,$A$2:$A$1001,"&lt;"&amp;A602,$A$2:$A$1001,"&gt;="&amp;(A602-설정!$B$2))-M602*AVERAGEIFS($J$2:$J$1001,$B$2:$B$1001,B602,$A$2:$A$1001,"&lt;"&amp;A602,$A$2:$A$1001,"&gt;="&amp;(A602-설정!$B$2))^2)/(M602-1))),2))</f>
        <v/>
      </c>
      <c r="M602" s="18" t="str">
        <f aca="false">IF(J602="","",COUNTIFS($B$2:$B$1001,B602,$A$2:$A$1001,"&lt;"&amp;A602,$A$2:$A$1001,"&gt;="&amp;(A602-설정!$B$2),$J$2:$J$1001,"&gt;=0"))</f>
        <v/>
      </c>
      <c r="N602" s="18" t="str">
        <f aca="false">IF(K602="","",IF(L602=0,"",ROUND((J602-K602)/L602,2)))</f>
        <v/>
      </c>
      <c r="O602" s="19" t="str">
        <f aca="false">IF(J602="","",IF(MIN(F602,G602)&lt;=설정!$B$5,"예",""))</f>
        <v/>
      </c>
      <c r="P602" s="19" t="str">
        <f aca="false">IF(J602="","",IF(M602&lt;설정!$B$3,"baseline 수집 중",IF(N602="","정상",IF(N602&lt;=설정!$B$4,"낮음","정상"))))</f>
        <v/>
      </c>
      <c r="Q602" s="20"/>
      <c r="R602" s="18" t="str">
        <f aca="false">IF(J602="","",J602^2)</f>
        <v/>
      </c>
    </row>
    <row r="603" customFormat="false" ht="15" hidden="false" customHeight="false" outlineLevel="0" collapsed="false">
      <c r="A603" s="16"/>
      <c r="B603" s="17"/>
      <c r="C603" s="17"/>
      <c r="D603" s="17"/>
      <c r="E603" s="17"/>
      <c r="F603" s="17"/>
      <c r="G603" s="17"/>
      <c r="H603" s="17"/>
      <c r="I603" s="17"/>
      <c r="J603" s="18" t="str">
        <f aca="false">IF(COUNT(E603:I603)&lt;5,"",SUM(E603:I603))</f>
        <v/>
      </c>
      <c r="K603" s="18" t="str">
        <f aca="false">IF(J603="","",IF(M603&lt;설정!$B$3,"",ROUND(AVERAGEIFS($J$2:$J$1001,$B$2:$B$1001,B603,$A$2:$A$1001,"&lt;"&amp;A603,$A$2:$A$1001,"&gt;="&amp;(A603-설정!$B$2)),2)))</f>
        <v/>
      </c>
      <c r="L603" s="18" t="str">
        <f aca="false">IF(K603="","",ROUND(SQRT(MAX(0,(SUMIFS($R$2:$R$1001,$B$2:$B$1001,B603,$A$2:$A$1001,"&lt;"&amp;A603,$A$2:$A$1001,"&gt;="&amp;(A603-설정!$B$2))-M603*AVERAGEIFS($J$2:$J$1001,$B$2:$B$1001,B603,$A$2:$A$1001,"&lt;"&amp;A603,$A$2:$A$1001,"&gt;="&amp;(A603-설정!$B$2))^2)/(M603-1))),2))</f>
        <v/>
      </c>
      <c r="M603" s="18" t="str">
        <f aca="false">IF(J603="","",COUNTIFS($B$2:$B$1001,B603,$A$2:$A$1001,"&lt;"&amp;A603,$A$2:$A$1001,"&gt;="&amp;(A603-설정!$B$2),$J$2:$J$1001,"&gt;=0"))</f>
        <v/>
      </c>
      <c r="N603" s="18" t="str">
        <f aca="false">IF(K603="","",IF(L603=0,"",ROUND((J603-K603)/L603,2)))</f>
        <v/>
      </c>
      <c r="O603" s="19" t="str">
        <f aca="false">IF(J603="","",IF(MIN(F603,G603)&lt;=설정!$B$5,"예",""))</f>
        <v/>
      </c>
      <c r="P603" s="19" t="str">
        <f aca="false">IF(J603="","",IF(M603&lt;설정!$B$3,"baseline 수집 중",IF(N603="","정상",IF(N603&lt;=설정!$B$4,"낮음","정상"))))</f>
        <v/>
      </c>
      <c r="Q603" s="20"/>
      <c r="R603" s="18" t="str">
        <f aca="false">IF(J603="","",J603^2)</f>
        <v/>
      </c>
    </row>
    <row r="604" customFormat="false" ht="15" hidden="false" customHeight="false" outlineLevel="0" collapsed="false">
      <c r="A604" s="16"/>
      <c r="B604" s="17"/>
      <c r="C604" s="17"/>
      <c r="D604" s="17"/>
      <c r="E604" s="17"/>
      <c r="F604" s="17"/>
      <c r="G604" s="17"/>
      <c r="H604" s="17"/>
      <c r="I604" s="17"/>
      <c r="J604" s="18" t="str">
        <f aca="false">IF(COUNT(E604:I604)&lt;5,"",SUM(E604:I604))</f>
        <v/>
      </c>
      <c r="K604" s="18" t="str">
        <f aca="false">IF(J604="","",IF(M604&lt;설정!$B$3,"",ROUND(AVERAGEIFS($J$2:$J$1001,$B$2:$B$1001,B604,$A$2:$A$1001,"&lt;"&amp;A604,$A$2:$A$1001,"&gt;="&amp;(A604-설정!$B$2)),2)))</f>
        <v/>
      </c>
      <c r="L604" s="18" t="str">
        <f aca="false">IF(K604="","",ROUND(SQRT(MAX(0,(SUMIFS($R$2:$R$1001,$B$2:$B$1001,B604,$A$2:$A$1001,"&lt;"&amp;A604,$A$2:$A$1001,"&gt;="&amp;(A604-설정!$B$2))-M604*AVERAGEIFS($J$2:$J$1001,$B$2:$B$1001,B604,$A$2:$A$1001,"&lt;"&amp;A604,$A$2:$A$1001,"&gt;="&amp;(A604-설정!$B$2))^2)/(M604-1))),2))</f>
        <v/>
      </c>
      <c r="M604" s="18" t="str">
        <f aca="false">IF(J604="","",COUNTIFS($B$2:$B$1001,B604,$A$2:$A$1001,"&lt;"&amp;A604,$A$2:$A$1001,"&gt;="&amp;(A604-설정!$B$2),$J$2:$J$1001,"&gt;=0"))</f>
        <v/>
      </c>
      <c r="N604" s="18" t="str">
        <f aca="false">IF(K604="","",IF(L604=0,"",ROUND((J604-K604)/L604,2)))</f>
        <v/>
      </c>
      <c r="O604" s="19" t="str">
        <f aca="false">IF(J604="","",IF(MIN(F604,G604)&lt;=설정!$B$5,"예",""))</f>
        <v/>
      </c>
      <c r="P604" s="19" t="str">
        <f aca="false">IF(J604="","",IF(M604&lt;설정!$B$3,"baseline 수집 중",IF(N604="","정상",IF(N604&lt;=설정!$B$4,"낮음","정상"))))</f>
        <v/>
      </c>
      <c r="Q604" s="20"/>
      <c r="R604" s="18" t="str">
        <f aca="false">IF(J604="","",J604^2)</f>
        <v/>
      </c>
    </row>
    <row r="605" customFormat="false" ht="15" hidden="false" customHeight="false" outlineLevel="0" collapsed="false">
      <c r="A605" s="16"/>
      <c r="B605" s="17"/>
      <c r="C605" s="17"/>
      <c r="D605" s="17"/>
      <c r="E605" s="17"/>
      <c r="F605" s="17"/>
      <c r="G605" s="17"/>
      <c r="H605" s="17"/>
      <c r="I605" s="17"/>
      <c r="J605" s="18" t="str">
        <f aca="false">IF(COUNT(E605:I605)&lt;5,"",SUM(E605:I605))</f>
        <v/>
      </c>
      <c r="K605" s="18" t="str">
        <f aca="false">IF(J605="","",IF(M605&lt;설정!$B$3,"",ROUND(AVERAGEIFS($J$2:$J$1001,$B$2:$B$1001,B605,$A$2:$A$1001,"&lt;"&amp;A605,$A$2:$A$1001,"&gt;="&amp;(A605-설정!$B$2)),2)))</f>
        <v/>
      </c>
      <c r="L605" s="18" t="str">
        <f aca="false">IF(K605="","",ROUND(SQRT(MAX(0,(SUMIFS($R$2:$R$1001,$B$2:$B$1001,B605,$A$2:$A$1001,"&lt;"&amp;A605,$A$2:$A$1001,"&gt;="&amp;(A605-설정!$B$2))-M605*AVERAGEIFS($J$2:$J$1001,$B$2:$B$1001,B605,$A$2:$A$1001,"&lt;"&amp;A605,$A$2:$A$1001,"&gt;="&amp;(A605-설정!$B$2))^2)/(M605-1))),2))</f>
        <v/>
      </c>
      <c r="M605" s="18" t="str">
        <f aca="false">IF(J605="","",COUNTIFS($B$2:$B$1001,B605,$A$2:$A$1001,"&lt;"&amp;A605,$A$2:$A$1001,"&gt;="&amp;(A605-설정!$B$2),$J$2:$J$1001,"&gt;=0"))</f>
        <v/>
      </c>
      <c r="N605" s="18" t="str">
        <f aca="false">IF(K605="","",IF(L605=0,"",ROUND((J605-K605)/L605,2)))</f>
        <v/>
      </c>
      <c r="O605" s="19" t="str">
        <f aca="false">IF(J605="","",IF(MIN(F605,G605)&lt;=설정!$B$5,"예",""))</f>
        <v/>
      </c>
      <c r="P605" s="19" t="str">
        <f aca="false">IF(J605="","",IF(M605&lt;설정!$B$3,"baseline 수집 중",IF(N605="","정상",IF(N605&lt;=설정!$B$4,"낮음","정상"))))</f>
        <v/>
      </c>
      <c r="Q605" s="20"/>
      <c r="R605" s="18" t="str">
        <f aca="false">IF(J605="","",J605^2)</f>
        <v/>
      </c>
    </row>
    <row r="606" customFormat="false" ht="15" hidden="false" customHeight="false" outlineLevel="0" collapsed="false">
      <c r="A606" s="16"/>
      <c r="B606" s="17"/>
      <c r="C606" s="17"/>
      <c r="D606" s="17"/>
      <c r="E606" s="17"/>
      <c r="F606" s="17"/>
      <c r="G606" s="17"/>
      <c r="H606" s="17"/>
      <c r="I606" s="17"/>
      <c r="J606" s="18" t="str">
        <f aca="false">IF(COUNT(E606:I606)&lt;5,"",SUM(E606:I606))</f>
        <v/>
      </c>
      <c r="K606" s="18" t="str">
        <f aca="false">IF(J606="","",IF(M606&lt;설정!$B$3,"",ROUND(AVERAGEIFS($J$2:$J$1001,$B$2:$B$1001,B606,$A$2:$A$1001,"&lt;"&amp;A606,$A$2:$A$1001,"&gt;="&amp;(A606-설정!$B$2)),2)))</f>
        <v/>
      </c>
      <c r="L606" s="18" t="str">
        <f aca="false">IF(K606="","",ROUND(SQRT(MAX(0,(SUMIFS($R$2:$R$1001,$B$2:$B$1001,B606,$A$2:$A$1001,"&lt;"&amp;A606,$A$2:$A$1001,"&gt;="&amp;(A606-설정!$B$2))-M606*AVERAGEIFS($J$2:$J$1001,$B$2:$B$1001,B606,$A$2:$A$1001,"&lt;"&amp;A606,$A$2:$A$1001,"&gt;="&amp;(A606-설정!$B$2))^2)/(M606-1))),2))</f>
        <v/>
      </c>
      <c r="M606" s="18" t="str">
        <f aca="false">IF(J606="","",COUNTIFS($B$2:$B$1001,B606,$A$2:$A$1001,"&lt;"&amp;A606,$A$2:$A$1001,"&gt;="&amp;(A606-설정!$B$2),$J$2:$J$1001,"&gt;=0"))</f>
        <v/>
      </c>
      <c r="N606" s="18" t="str">
        <f aca="false">IF(K606="","",IF(L606=0,"",ROUND((J606-K606)/L606,2)))</f>
        <v/>
      </c>
      <c r="O606" s="19" t="str">
        <f aca="false">IF(J606="","",IF(MIN(F606,G606)&lt;=설정!$B$5,"예",""))</f>
        <v/>
      </c>
      <c r="P606" s="19" t="str">
        <f aca="false">IF(J606="","",IF(M606&lt;설정!$B$3,"baseline 수집 중",IF(N606="","정상",IF(N606&lt;=설정!$B$4,"낮음","정상"))))</f>
        <v/>
      </c>
      <c r="Q606" s="20"/>
      <c r="R606" s="18" t="str">
        <f aca="false">IF(J606="","",J606^2)</f>
        <v/>
      </c>
    </row>
    <row r="607" customFormat="false" ht="15" hidden="false" customHeight="false" outlineLevel="0" collapsed="false">
      <c r="A607" s="16"/>
      <c r="B607" s="17"/>
      <c r="C607" s="17"/>
      <c r="D607" s="17"/>
      <c r="E607" s="17"/>
      <c r="F607" s="17"/>
      <c r="G607" s="17"/>
      <c r="H607" s="17"/>
      <c r="I607" s="17"/>
      <c r="J607" s="18" t="str">
        <f aca="false">IF(COUNT(E607:I607)&lt;5,"",SUM(E607:I607))</f>
        <v/>
      </c>
      <c r="K607" s="18" t="str">
        <f aca="false">IF(J607="","",IF(M607&lt;설정!$B$3,"",ROUND(AVERAGEIFS($J$2:$J$1001,$B$2:$B$1001,B607,$A$2:$A$1001,"&lt;"&amp;A607,$A$2:$A$1001,"&gt;="&amp;(A607-설정!$B$2)),2)))</f>
        <v/>
      </c>
      <c r="L607" s="18" t="str">
        <f aca="false">IF(K607="","",ROUND(SQRT(MAX(0,(SUMIFS($R$2:$R$1001,$B$2:$B$1001,B607,$A$2:$A$1001,"&lt;"&amp;A607,$A$2:$A$1001,"&gt;="&amp;(A607-설정!$B$2))-M607*AVERAGEIFS($J$2:$J$1001,$B$2:$B$1001,B607,$A$2:$A$1001,"&lt;"&amp;A607,$A$2:$A$1001,"&gt;="&amp;(A607-설정!$B$2))^2)/(M607-1))),2))</f>
        <v/>
      </c>
      <c r="M607" s="18" t="str">
        <f aca="false">IF(J607="","",COUNTIFS($B$2:$B$1001,B607,$A$2:$A$1001,"&lt;"&amp;A607,$A$2:$A$1001,"&gt;="&amp;(A607-설정!$B$2),$J$2:$J$1001,"&gt;=0"))</f>
        <v/>
      </c>
      <c r="N607" s="18" t="str">
        <f aca="false">IF(K607="","",IF(L607=0,"",ROUND((J607-K607)/L607,2)))</f>
        <v/>
      </c>
      <c r="O607" s="19" t="str">
        <f aca="false">IF(J607="","",IF(MIN(F607,G607)&lt;=설정!$B$5,"예",""))</f>
        <v/>
      </c>
      <c r="P607" s="19" t="str">
        <f aca="false">IF(J607="","",IF(M607&lt;설정!$B$3,"baseline 수집 중",IF(N607="","정상",IF(N607&lt;=설정!$B$4,"낮음","정상"))))</f>
        <v/>
      </c>
      <c r="Q607" s="20"/>
      <c r="R607" s="18" t="str">
        <f aca="false">IF(J607="","",J607^2)</f>
        <v/>
      </c>
    </row>
    <row r="608" customFormat="false" ht="15" hidden="false" customHeight="false" outlineLevel="0" collapsed="false">
      <c r="A608" s="16"/>
      <c r="B608" s="17"/>
      <c r="C608" s="17"/>
      <c r="D608" s="17"/>
      <c r="E608" s="17"/>
      <c r="F608" s="17"/>
      <c r="G608" s="17"/>
      <c r="H608" s="17"/>
      <c r="I608" s="17"/>
      <c r="J608" s="18" t="str">
        <f aca="false">IF(COUNT(E608:I608)&lt;5,"",SUM(E608:I608))</f>
        <v/>
      </c>
      <c r="K608" s="18" t="str">
        <f aca="false">IF(J608="","",IF(M608&lt;설정!$B$3,"",ROUND(AVERAGEIFS($J$2:$J$1001,$B$2:$B$1001,B608,$A$2:$A$1001,"&lt;"&amp;A608,$A$2:$A$1001,"&gt;="&amp;(A608-설정!$B$2)),2)))</f>
        <v/>
      </c>
      <c r="L608" s="18" t="str">
        <f aca="false">IF(K608="","",ROUND(SQRT(MAX(0,(SUMIFS($R$2:$R$1001,$B$2:$B$1001,B608,$A$2:$A$1001,"&lt;"&amp;A608,$A$2:$A$1001,"&gt;="&amp;(A608-설정!$B$2))-M608*AVERAGEIFS($J$2:$J$1001,$B$2:$B$1001,B608,$A$2:$A$1001,"&lt;"&amp;A608,$A$2:$A$1001,"&gt;="&amp;(A608-설정!$B$2))^2)/(M608-1))),2))</f>
        <v/>
      </c>
      <c r="M608" s="18" t="str">
        <f aca="false">IF(J608="","",COUNTIFS($B$2:$B$1001,B608,$A$2:$A$1001,"&lt;"&amp;A608,$A$2:$A$1001,"&gt;="&amp;(A608-설정!$B$2),$J$2:$J$1001,"&gt;=0"))</f>
        <v/>
      </c>
      <c r="N608" s="18" t="str">
        <f aca="false">IF(K608="","",IF(L608=0,"",ROUND((J608-K608)/L608,2)))</f>
        <v/>
      </c>
      <c r="O608" s="19" t="str">
        <f aca="false">IF(J608="","",IF(MIN(F608,G608)&lt;=설정!$B$5,"예",""))</f>
        <v/>
      </c>
      <c r="P608" s="19" t="str">
        <f aca="false">IF(J608="","",IF(M608&lt;설정!$B$3,"baseline 수집 중",IF(N608="","정상",IF(N608&lt;=설정!$B$4,"낮음","정상"))))</f>
        <v/>
      </c>
      <c r="Q608" s="20"/>
      <c r="R608" s="18" t="str">
        <f aca="false">IF(J608="","",J608^2)</f>
        <v/>
      </c>
    </row>
    <row r="609" customFormat="false" ht="15" hidden="false" customHeight="false" outlineLevel="0" collapsed="false">
      <c r="A609" s="16"/>
      <c r="B609" s="17"/>
      <c r="C609" s="17"/>
      <c r="D609" s="17"/>
      <c r="E609" s="17"/>
      <c r="F609" s="17"/>
      <c r="G609" s="17"/>
      <c r="H609" s="17"/>
      <c r="I609" s="17"/>
      <c r="J609" s="18" t="str">
        <f aca="false">IF(COUNT(E609:I609)&lt;5,"",SUM(E609:I609))</f>
        <v/>
      </c>
      <c r="K609" s="18" t="str">
        <f aca="false">IF(J609="","",IF(M609&lt;설정!$B$3,"",ROUND(AVERAGEIFS($J$2:$J$1001,$B$2:$B$1001,B609,$A$2:$A$1001,"&lt;"&amp;A609,$A$2:$A$1001,"&gt;="&amp;(A609-설정!$B$2)),2)))</f>
        <v/>
      </c>
      <c r="L609" s="18" t="str">
        <f aca="false">IF(K609="","",ROUND(SQRT(MAX(0,(SUMIFS($R$2:$R$1001,$B$2:$B$1001,B609,$A$2:$A$1001,"&lt;"&amp;A609,$A$2:$A$1001,"&gt;="&amp;(A609-설정!$B$2))-M609*AVERAGEIFS($J$2:$J$1001,$B$2:$B$1001,B609,$A$2:$A$1001,"&lt;"&amp;A609,$A$2:$A$1001,"&gt;="&amp;(A609-설정!$B$2))^2)/(M609-1))),2))</f>
        <v/>
      </c>
      <c r="M609" s="18" t="str">
        <f aca="false">IF(J609="","",COUNTIFS($B$2:$B$1001,B609,$A$2:$A$1001,"&lt;"&amp;A609,$A$2:$A$1001,"&gt;="&amp;(A609-설정!$B$2),$J$2:$J$1001,"&gt;=0"))</f>
        <v/>
      </c>
      <c r="N609" s="18" t="str">
        <f aca="false">IF(K609="","",IF(L609=0,"",ROUND((J609-K609)/L609,2)))</f>
        <v/>
      </c>
      <c r="O609" s="19" t="str">
        <f aca="false">IF(J609="","",IF(MIN(F609,G609)&lt;=설정!$B$5,"예",""))</f>
        <v/>
      </c>
      <c r="P609" s="19" t="str">
        <f aca="false">IF(J609="","",IF(M609&lt;설정!$B$3,"baseline 수집 중",IF(N609="","정상",IF(N609&lt;=설정!$B$4,"낮음","정상"))))</f>
        <v/>
      </c>
      <c r="Q609" s="20"/>
      <c r="R609" s="18" t="str">
        <f aca="false">IF(J609="","",J609^2)</f>
        <v/>
      </c>
    </row>
    <row r="610" customFormat="false" ht="15" hidden="false" customHeight="false" outlineLevel="0" collapsed="false">
      <c r="A610" s="16"/>
      <c r="B610" s="17"/>
      <c r="C610" s="17"/>
      <c r="D610" s="17"/>
      <c r="E610" s="17"/>
      <c r="F610" s="17"/>
      <c r="G610" s="17"/>
      <c r="H610" s="17"/>
      <c r="I610" s="17"/>
      <c r="J610" s="18" t="str">
        <f aca="false">IF(COUNT(E610:I610)&lt;5,"",SUM(E610:I610))</f>
        <v/>
      </c>
      <c r="K610" s="18" t="str">
        <f aca="false">IF(J610="","",IF(M610&lt;설정!$B$3,"",ROUND(AVERAGEIFS($J$2:$J$1001,$B$2:$B$1001,B610,$A$2:$A$1001,"&lt;"&amp;A610,$A$2:$A$1001,"&gt;="&amp;(A610-설정!$B$2)),2)))</f>
        <v/>
      </c>
      <c r="L610" s="18" t="str">
        <f aca="false">IF(K610="","",ROUND(SQRT(MAX(0,(SUMIFS($R$2:$R$1001,$B$2:$B$1001,B610,$A$2:$A$1001,"&lt;"&amp;A610,$A$2:$A$1001,"&gt;="&amp;(A610-설정!$B$2))-M610*AVERAGEIFS($J$2:$J$1001,$B$2:$B$1001,B610,$A$2:$A$1001,"&lt;"&amp;A610,$A$2:$A$1001,"&gt;="&amp;(A610-설정!$B$2))^2)/(M610-1))),2))</f>
        <v/>
      </c>
      <c r="M610" s="18" t="str">
        <f aca="false">IF(J610="","",COUNTIFS($B$2:$B$1001,B610,$A$2:$A$1001,"&lt;"&amp;A610,$A$2:$A$1001,"&gt;="&amp;(A610-설정!$B$2),$J$2:$J$1001,"&gt;=0"))</f>
        <v/>
      </c>
      <c r="N610" s="18" t="str">
        <f aca="false">IF(K610="","",IF(L610=0,"",ROUND((J610-K610)/L610,2)))</f>
        <v/>
      </c>
      <c r="O610" s="19" t="str">
        <f aca="false">IF(J610="","",IF(MIN(F610,G610)&lt;=설정!$B$5,"예",""))</f>
        <v/>
      </c>
      <c r="P610" s="19" t="str">
        <f aca="false">IF(J610="","",IF(M610&lt;설정!$B$3,"baseline 수집 중",IF(N610="","정상",IF(N610&lt;=설정!$B$4,"낮음","정상"))))</f>
        <v/>
      </c>
      <c r="Q610" s="20"/>
      <c r="R610" s="18" t="str">
        <f aca="false">IF(J610="","",J610^2)</f>
        <v/>
      </c>
    </row>
    <row r="611" customFormat="false" ht="15" hidden="false" customHeight="false" outlineLevel="0" collapsed="false">
      <c r="A611" s="16"/>
      <c r="B611" s="17"/>
      <c r="C611" s="17"/>
      <c r="D611" s="17"/>
      <c r="E611" s="17"/>
      <c r="F611" s="17"/>
      <c r="G611" s="17"/>
      <c r="H611" s="17"/>
      <c r="I611" s="17"/>
      <c r="J611" s="18" t="str">
        <f aca="false">IF(COUNT(E611:I611)&lt;5,"",SUM(E611:I611))</f>
        <v/>
      </c>
      <c r="K611" s="18" t="str">
        <f aca="false">IF(J611="","",IF(M611&lt;설정!$B$3,"",ROUND(AVERAGEIFS($J$2:$J$1001,$B$2:$B$1001,B611,$A$2:$A$1001,"&lt;"&amp;A611,$A$2:$A$1001,"&gt;="&amp;(A611-설정!$B$2)),2)))</f>
        <v/>
      </c>
      <c r="L611" s="18" t="str">
        <f aca="false">IF(K611="","",ROUND(SQRT(MAX(0,(SUMIFS($R$2:$R$1001,$B$2:$B$1001,B611,$A$2:$A$1001,"&lt;"&amp;A611,$A$2:$A$1001,"&gt;="&amp;(A611-설정!$B$2))-M611*AVERAGEIFS($J$2:$J$1001,$B$2:$B$1001,B611,$A$2:$A$1001,"&lt;"&amp;A611,$A$2:$A$1001,"&gt;="&amp;(A611-설정!$B$2))^2)/(M611-1))),2))</f>
        <v/>
      </c>
      <c r="M611" s="18" t="str">
        <f aca="false">IF(J611="","",COUNTIFS($B$2:$B$1001,B611,$A$2:$A$1001,"&lt;"&amp;A611,$A$2:$A$1001,"&gt;="&amp;(A611-설정!$B$2),$J$2:$J$1001,"&gt;=0"))</f>
        <v/>
      </c>
      <c r="N611" s="18" t="str">
        <f aca="false">IF(K611="","",IF(L611=0,"",ROUND((J611-K611)/L611,2)))</f>
        <v/>
      </c>
      <c r="O611" s="19" t="str">
        <f aca="false">IF(J611="","",IF(MIN(F611,G611)&lt;=설정!$B$5,"예",""))</f>
        <v/>
      </c>
      <c r="P611" s="19" t="str">
        <f aca="false">IF(J611="","",IF(M611&lt;설정!$B$3,"baseline 수집 중",IF(N611="","정상",IF(N611&lt;=설정!$B$4,"낮음","정상"))))</f>
        <v/>
      </c>
      <c r="Q611" s="20"/>
      <c r="R611" s="18" t="str">
        <f aca="false">IF(J611="","",J611^2)</f>
        <v/>
      </c>
    </row>
    <row r="612" customFormat="false" ht="15" hidden="false" customHeight="false" outlineLevel="0" collapsed="false">
      <c r="A612" s="16"/>
      <c r="B612" s="17"/>
      <c r="C612" s="17"/>
      <c r="D612" s="17"/>
      <c r="E612" s="17"/>
      <c r="F612" s="17"/>
      <c r="G612" s="17"/>
      <c r="H612" s="17"/>
      <c r="I612" s="17"/>
      <c r="J612" s="18" t="str">
        <f aca="false">IF(COUNT(E612:I612)&lt;5,"",SUM(E612:I612))</f>
        <v/>
      </c>
      <c r="K612" s="18" t="str">
        <f aca="false">IF(J612="","",IF(M612&lt;설정!$B$3,"",ROUND(AVERAGEIFS($J$2:$J$1001,$B$2:$B$1001,B612,$A$2:$A$1001,"&lt;"&amp;A612,$A$2:$A$1001,"&gt;="&amp;(A612-설정!$B$2)),2)))</f>
        <v/>
      </c>
      <c r="L612" s="18" t="str">
        <f aca="false">IF(K612="","",ROUND(SQRT(MAX(0,(SUMIFS($R$2:$R$1001,$B$2:$B$1001,B612,$A$2:$A$1001,"&lt;"&amp;A612,$A$2:$A$1001,"&gt;="&amp;(A612-설정!$B$2))-M612*AVERAGEIFS($J$2:$J$1001,$B$2:$B$1001,B612,$A$2:$A$1001,"&lt;"&amp;A612,$A$2:$A$1001,"&gt;="&amp;(A612-설정!$B$2))^2)/(M612-1))),2))</f>
        <v/>
      </c>
      <c r="M612" s="18" t="str">
        <f aca="false">IF(J612="","",COUNTIFS($B$2:$B$1001,B612,$A$2:$A$1001,"&lt;"&amp;A612,$A$2:$A$1001,"&gt;="&amp;(A612-설정!$B$2),$J$2:$J$1001,"&gt;=0"))</f>
        <v/>
      </c>
      <c r="N612" s="18" t="str">
        <f aca="false">IF(K612="","",IF(L612=0,"",ROUND((J612-K612)/L612,2)))</f>
        <v/>
      </c>
      <c r="O612" s="19" t="str">
        <f aca="false">IF(J612="","",IF(MIN(F612,G612)&lt;=설정!$B$5,"예",""))</f>
        <v/>
      </c>
      <c r="P612" s="19" t="str">
        <f aca="false">IF(J612="","",IF(M612&lt;설정!$B$3,"baseline 수집 중",IF(N612="","정상",IF(N612&lt;=설정!$B$4,"낮음","정상"))))</f>
        <v/>
      </c>
      <c r="Q612" s="20"/>
      <c r="R612" s="18" t="str">
        <f aca="false">IF(J612="","",J612^2)</f>
        <v/>
      </c>
    </row>
    <row r="613" customFormat="false" ht="15" hidden="false" customHeight="false" outlineLevel="0" collapsed="false">
      <c r="A613" s="16"/>
      <c r="B613" s="17"/>
      <c r="C613" s="17"/>
      <c r="D613" s="17"/>
      <c r="E613" s="17"/>
      <c r="F613" s="17"/>
      <c r="G613" s="17"/>
      <c r="H613" s="17"/>
      <c r="I613" s="17"/>
      <c r="J613" s="18" t="str">
        <f aca="false">IF(COUNT(E613:I613)&lt;5,"",SUM(E613:I613))</f>
        <v/>
      </c>
      <c r="K613" s="18" t="str">
        <f aca="false">IF(J613="","",IF(M613&lt;설정!$B$3,"",ROUND(AVERAGEIFS($J$2:$J$1001,$B$2:$B$1001,B613,$A$2:$A$1001,"&lt;"&amp;A613,$A$2:$A$1001,"&gt;="&amp;(A613-설정!$B$2)),2)))</f>
        <v/>
      </c>
      <c r="L613" s="18" t="str">
        <f aca="false">IF(K613="","",ROUND(SQRT(MAX(0,(SUMIFS($R$2:$R$1001,$B$2:$B$1001,B613,$A$2:$A$1001,"&lt;"&amp;A613,$A$2:$A$1001,"&gt;="&amp;(A613-설정!$B$2))-M613*AVERAGEIFS($J$2:$J$1001,$B$2:$B$1001,B613,$A$2:$A$1001,"&lt;"&amp;A613,$A$2:$A$1001,"&gt;="&amp;(A613-설정!$B$2))^2)/(M613-1))),2))</f>
        <v/>
      </c>
      <c r="M613" s="18" t="str">
        <f aca="false">IF(J613="","",COUNTIFS($B$2:$B$1001,B613,$A$2:$A$1001,"&lt;"&amp;A613,$A$2:$A$1001,"&gt;="&amp;(A613-설정!$B$2),$J$2:$J$1001,"&gt;=0"))</f>
        <v/>
      </c>
      <c r="N613" s="18" t="str">
        <f aca="false">IF(K613="","",IF(L613=0,"",ROUND((J613-K613)/L613,2)))</f>
        <v/>
      </c>
      <c r="O613" s="19" t="str">
        <f aca="false">IF(J613="","",IF(MIN(F613,G613)&lt;=설정!$B$5,"예",""))</f>
        <v/>
      </c>
      <c r="P613" s="19" t="str">
        <f aca="false">IF(J613="","",IF(M613&lt;설정!$B$3,"baseline 수집 중",IF(N613="","정상",IF(N613&lt;=설정!$B$4,"낮음","정상"))))</f>
        <v/>
      </c>
      <c r="Q613" s="20"/>
      <c r="R613" s="18" t="str">
        <f aca="false">IF(J613="","",J613^2)</f>
        <v/>
      </c>
    </row>
    <row r="614" customFormat="false" ht="15" hidden="false" customHeight="false" outlineLevel="0" collapsed="false">
      <c r="A614" s="16"/>
      <c r="B614" s="17"/>
      <c r="C614" s="17"/>
      <c r="D614" s="17"/>
      <c r="E614" s="17"/>
      <c r="F614" s="17"/>
      <c r="G614" s="17"/>
      <c r="H614" s="17"/>
      <c r="I614" s="17"/>
      <c r="J614" s="18" t="str">
        <f aca="false">IF(COUNT(E614:I614)&lt;5,"",SUM(E614:I614))</f>
        <v/>
      </c>
      <c r="K614" s="18" t="str">
        <f aca="false">IF(J614="","",IF(M614&lt;설정!$B$3,"",ROUND(AVERAGEIFS($J$2:$J$1001,$B$2:$B$1001,B614,$A$2:$A$1001,"&lt;"&amp;A614,$A$2:$A$1001,"&gt;="&amp;(A614-설정!$B$2)),2)))</f>
        <v/>
      </c>
      <c r="L614" s="18" t="str">
        <f aca="false">IF(K614="","",ROUND(SQRT(MAX(0,(SUMIFS($R$2:$R$1001,$B$2:$B$1001,B614,$A$2:$A$1001,"&lt;"&amp;A614,$A$2:$A$1001,"&gt;="&amp;(A614-설정!$B$2))-M614*AVERAGEIFS($J$2:$J$1001,$B$2:$B$1001,B614,$A$2:$A$1001,"&lt;"&amp;A614,$A$2:$A$1001,"&gt;="&amp;(A614-설정!$B$2))^2)/(M614-1))),2))</f>
        <v/>
      </c>
      <c r="M614" s="18" t="str">
        <f aca="false">IF(J614="","",COUNTIFS($B$2:$B$1001,B614,$A$2:$A$1001,"&lt;"&amp;A614,$A$2:$A$1001,"&gt;="&amp;(A614-설정!$B$2),$J$2:$J$1001,"&gt;=0"))</f>
        <v/>
      </c>
      <c r="N614" s="18" t="str">
        <f aca="false">IF(K614="","",IF(L614=0,"",ROUND((J614-K614)/L614,2)))</f>
        <v/>
      </c>
      <c r="O614" s="19" t="str">
        <f aca="false">IF(J614="","",IF(MIN(F614,G614)&lt;=설정!$B$5,"예",""))</f>
        <v/>
      </c>
      <c r="P614" s="19" t="str">
        <f aca="false">IF(J614="","",IF(M614&lt;설정!$B$3,"baseline 수집 중",IF(N614="","정상",IF(N614&lt;=설정!$B$4,"낮음","정상"))))</f>
        <v/>
      </c>
      <c r="Q614" s="20"/>
      <c r="R614" s="18" t="str">
        <f aca="false">IF(J614="","",J614^2)</f>
        <v/>
      </c>
    </row>
    <row r="615" customFormat="false" ht="15" hidden="false" customHeight="false" outlineLevel="0" collapsed="false">
      <c r="A615" s="16"/>
      <c r="B615" s="17"/>
      <c r="C615" s="17"/>
      <c r="D615" s="17"/>
      <c r="E615" s="17"/>
      <c r="F615" s="17"/>
      <c r="G615" s="17"/>
      <c r="H615" s="17"/>
      <c r="I615" s="17"/>
      <c r="J615" s="18" t="str">
        <f aca="false">IF(COUNT(E615:I615)&lt;5,"",SUM(E615:I615))</f>
        <v/>
      </c>
      <c r="K615" s="18" t="str">
        <f aca="false">IF(J615="","",IF(M615&lt;설정!$B$3,"",ROUND(AVERAGEIFS($J$2:$J$1001,$B$2:$B$1001,B615,$A$2:$A$1001,"&lt;"&amp;A615,$A$2:$A$1001,"&gt;="&amp;(A615-설정!$B$2)),2)))</f>
        <v/>
      </c>
      <c r="L615" s="18" t="str">
        <f aca="false">IF(K615="","",ROUND(SQRT(MAX(0,(SUMIFS($R$2:$R$1001,$B$2:$B$1001,B615,$A$2:$A$1001,"&lt;"&amp;A615,$A$2:$A$1001,"&gt;="&amp;(A615-설정!$B$2))-M615*AVERAGEIFS($J$2:$J$1001,$B$2:$B$1001,B615,$A$2:$A$1001,"&lt;"&amp;A615,$A$2:$A$1001,"&gt;="&amp;(A615-설정!$B$2))^2)/(M615-1))),2))</f>
        <v/>
      </c>
      <c r="M615" s="18" t="str">
        <f aca="false">IF(J615="","",COUNTIFS($B$2:$B$1001,B615,$A$2:$A$1001,"&lt;"&amp;A615,$A$2:$A$1001,"&gt;="&amp;(A615-설정!$B$2),$J$2:$J$1001,"&gt;=0"))</f>
        <v/>
      </c>
      <c r="N615" s="18" t="str">
        <f aca="false">IF(K615="","",IF(L615=0,"",ROUND((J615-K615)/L615,2)))</f>
        <v/>
      </c>
      <c r="O615" s="19" t="str">
        <f aca="false">IF(J615="","",IF(MIN(F615,G615)&lt;=설정!$B$5,"예",""))</f>
        <v/>
      </c>
      <c r="P615" s="19" t="str">
        <f aca="false">IF(J615="","",IF(M615&lt;설정!$B$3,"baseline 수집 중",IF(N615="","정상",IF(N615&lt;=설정!$B$4,"낮음","정상"))))</f>
        <v/>
      </c>
      <c r="Q615" s="20"/>
      <c r="R615" s="18" t="str">
        <f aca="false">IF(J615="","",J615^2)</f>
        <v/>
      </c>
    </row>
    <row r="616" customFormat="false" ht="15" hidden="false" customHeight="false" outlineLevel="0" collapsed="false">
      <c r="A616" s="16"/>
      <c r="B616" s="17"/>
      <c r="C616" s="17"/>
      <c r="D616" s="17"/>
      <c r="E616" s="17"/>
      <c r="F616" s="17"/>
      <c r="G616" s="17"/>
      <c r="H616" s="17"/>
      <c r="I616" s="17"/>
      <c r="J616" s="18" t="str">
        <f aca="false">IF(COUNT(E616:I616)&lt;5,"",SUM(E616:I616))</f>
        <v/>
      </c>
      <c r="K616" s="18" t="str">
        <f aca="false">IF(J616="","",IF(M616&lt;설정!$B$3,"",ROUND(AVERAGEIFS($J$2:$J$1001,$B$2:$B$1001,B616,$A$2:$A$1001,"&lt;"&amp;A616,$A$2:$A$1001,"&gt;="&amp;(A616-설정!$B$2)),2)))</f>
        <v/>
      </c>
      <c r="L616" s="18" t="str">
        <f aca="false">IF(K616="","",ROUND(SQRT(MAX(0,(SUMIFS($R$2:$R$1001,$B$2:$B$1001,B616,$A$2:$A$1001,"&lt;"&amp;A616,$A$2:$A$1001,"&gt;="&amp;(A616-설정!$B$2))-M616*AVERAGEIFS($J$2:$J$1001,$B$2:$B$1001,B616,$A$2:$A$1001,"&lt;"&amp;A616,$A$2:$A$1001,"&gt;="&amp;(A616-설정!$B$2))^2)/(M616-1))),2))</f>
        <v/>
      </c>
      <c r="M616" s="18" t="str">
        <f aca="false">IF(J616="","",COUNTIFS($B$2:$B$1001,B616,$A$2:$A$1001,"&lt;"&amp;A616,$A$2:$A$1001,"&gt;="&amp;(A616-설정!$B$2),$J$2:$J$1001,"&gt;=0"))</f>
        <v/>
      </c>
      <c r="N616" s="18" t="str">
        <f aca="false">IF(K616="","",IF(L616=0,"",ROUND((J616-K616)/L616,2)))</f>
        <v/>
      </c>
      <c r="O616" s="19" t="str">
        <f aca="false">IF(J616="","",IF(MIN(F616,G616)&lt;=설정!$B$5,"예",""))</f>
        <v/>
      </c>
      <c r="P616" s="19" t="str">
        <f aca="false">IF(J616="","",IF(M616&lt;설정!$B$3,"baseline 수집 중",IF(N616="","정상",IF(N616&lt;=설정!$B$4,"낮음","정상"))))</f>
        <v/>
      </c>
      <c r="Q616" s="20"/>
      <c r="R616" s="18" t="str">
        <f aca="false">IF(J616="","",J616^2)</f>
        <v/>
      </c>
    </row>
    <row r="617" customFormat="false" ht="15" hidden="false" customHeight="false" outlineLevel="0" collapsed="false">
      <c r="A617" s="16"/>
      <c r="B617" s="17"/>
      <c r="C617" s="17"/>
      <c r="D617" s="17"/>
      <c r="E617" s="17"/>
      <c r="F617" s="17"/>
      <c r="G617" s="17"/>
      <c r="H617" s="17"/>
      <c r="I617" s="17"/>
      <c r="J617" s="18" t="str">
        <f aca="false">IF(COUNT(E617:I617)&lt;5,"",SUM(E617:I617))</f>
        <v/>
      </c>
      <c r="K617" s="18" t="str">
        <f aca="false">IF(J617="","",IF(M617&lt;설정!$B$3,"",ROUND(AVERAGEIFS($J$2:$J$1001,$B$2:$B$1001,B617,$A$2:$A$1001,"&lt;"&amp;A617,$A$2:$A$1001,"&gt;="&amp;(A617-설정!$B$2)),2)))</f>
        <v/>
      </c>
      <c r="L617" s="18" t="str">
        <f aca="false">IF(K617="","",ROUND(SQRT(MAX(0,(SUMIFS($R$2:$R$1001,$B$2:$B$1001,B617,$A$2:$A$1001,"&lt;"&amp;A617,$A$2:$A$1001,"&gt;="&amp;(A617-설정!$B$2))-M617*AVERAGEIFS($J$2:$J$1001,$B$2:$B$1001,B617,$A$2:$A$1001,"&lt;"&amp;A617,$A$2:$A$1001,"&gt;="&amp;(A617-설정!$B$2))^2)/(M617-1))),2))</f>
        <v/>
      </c>
      <c r="M617" s="18" t="str">
        <f aca="false">IF(J617="","",COUNTIFS($B$2:$B$1001,B617,$A$2:$A$1001,"&lt;"&amp;A617,$A$2:$A$1001,"&gt;="&amp;(A617-설정!$B$2),$J$2:$J$1001,"&gt;=0"))</f>
        <v/>
      </c>
      <c r="N617" s="18" t="str">
        <f aca="false">IF(K617="","",IF(L617=0,"",ROUND((J617-K617)/L617,2)))</f>
        <v/>
      </c>
      <c r="O617" s="19" t="str">
        <f aca="false">IF(J617="","",IF(MIN(F617,G617)&lt;=설정!$B$5,"예",""))</f>
        <v/>
      </c>
      <c r="P617" s="19" t="str">
        <f aca="false">IF(J617="","",IF(M617&lt;설정!$B$3,"baseline 수집 중",IF(N617="","정상",IF(N617&lt;=설정!$B$4,"낮음","정상"))))</f>
        <v/>
      </c>
      <c r="Q617" s="20"/>
      <c r="R617" s="18" t="str">
        <f aca="false">IF(J617="","",J617^2)</f>
        <v/>
      </c>
    </row>
    <row r="618" customFormat="false" ht="15" hidden="false" customHeight="false" outlineLevel="0" collapsed="false">
      <c r="A618" s="16"/>
      <c r="B618" s="17"/>
      <c r="C618" s="17"/>
      <c r="D618" s="17"/>
      <c r="E618" s="17"/>
      <c r="F618" s="17"/>
      <c r="G618" s="17"/>
      <c r="H618" s="17"/>
      <c r="I618" s="17"/>
      <c r="J618" s="18" t="str">
        <f aca="false">IF(COUNT(E618:I618)&lt;5,"",SUM(E618:I618))</f>
        <v/>
      </c>
      <c r="K618" s="18" t="str">
        <f aca="false">IF(J618="","",IF(M618&lt;설정!$B$3,"",ROUND(AVERAGEIFS($J$2:$J$1001,$B$2:$B$1001,B618,$A$2:$A$1001,"&lt;"&amp;A618,$A$2:$A$1001,"&gt;="&amp;(A618-설정!$B$2)),2)))</f>
        <v/>
      </c>
      <c r="L618" s="18" t="str">
        <f aca="false">IF(K618="","",ROUND(SQRT(MAX(0,(SUMIFS($R$2:$R$1001,$B$2:$B$1001,B618,$A$2:$A$1001,"&lt;"&amp;A618,$A$2:$A$1001,"&gt;="&amp;(A618-설정!$B$2))-M618*AVERAGEIFS($J$2:$J$1001,$B$2:$B$1001,B618,$A$2:$A$1001,"&lt;"&amp;A618,$A$2:$A$1001,"&gt;="&amp;(A618-설정!$B$2))^2)/(M618-1))),2))</f>
        <v/>
      </c>
      <c r="M618" s="18" t="str">
        <f aca="false">IF(J618="","",COUNTIFS($B$2:$B$1001,B618,$A$2:$A$1001,"&lt;"&amp;A618,$A$2:$A$1001,"&gt;="&amp;(A618-설정!$B$2),$J$2:$J$1001,"&gt;=0"))</f>
        <v/>
      </c>
      <c r="N618" s="18" t="str">
        <f aca="false">IF(K618="","",IF(L618=0,"",ROUND((J618-K618)/L618,2)))</f>
        <v/>
      </c>
      <c r="O618" s="19" t="str">
        <f aca="false">IF(J618="","",IF(MIN(F618,G618)&lt;=설정!$B$5,"예",""))</f>
        <v/>
      </c>
      <c r="P618" s="19" t="str">
        <f aca="false">IF(J618="","",IF(M618&lt;설정!$B$3,"baseline 수집 중",IF(N618="","정상",IF(N618&lt;=설정!$B$4,"낮음","정상"))))</f>
        <v/>
      </c>
      <c r="Q618" s="20"/>
      <c r="R618" s="18" t="str">
        <f aca="false">IF(J618="","",J618^2)</f>
        <v/>
      </c>
    </row>
    <row r="619" customFormat="false" ht="15" hidden="false" customHeight="false" outlineLevel="0" collapsed="false">
      <c r="A619" s="16"/>
      <c r="B619" s="17"/>
      <c r="C619" s="17"/>
      <c r="D619" s="17"/>
      <c r="E619" s="17"/>
      <c r="F619" s="17"/>
      <c r="G619" s="17"/>
      <c r="H619" s="17"/>
      <c r="I619" s="17"/>
      <c r="J619" s="18" t="str">
        <f aca="false">IF(COUNT(E619:I619)&lt;5,"",SUM(E619:I619))</f>
        <v/>
      </c>
      <c r="K619" s="18" t="str">
        <f aca="false">IF(J619="","",IF(M619&lt;설정!$B$3,"",ROUND(AVERAGEIFS($J$2:$J$1001,$B$2:$B$1001,B619,$A$2:$A$1001,"&lt;"&amp;A619,$A$2:$A$1001,"&gt;="&amp;(A619-설정!$B$2)),2)))</f>
        <v/>
      </c>
      <c r="L619" s="18" t="str">
        <f aca="false">IF(K619="","",ROUND(SQRT(MAX(0,(SUMIFS($R$2:$R$1001,$B$2:$B$1001,B619,$A$2:$A$1001,"&lt;"&amp;A619,$A$2:$A$1001,"&gt;="&amp;(A619-설정!$B$2))-M619*AVERAGEIFS($J$2:$J$1001,$B$2:$B$1001,B619,$A$2:$A$1001,"&lt;"&amp;A619,$A$2:$A$1001,"&gt;="&amp;(A619-설정!$B$2))^2)/(M619-1))),2))</f>
        <v/>
      </c>
      <c r="M619" s="18" t="str">
        <f aca="false">IF(J619="","",COUNTIFS($B$2:$B$1001,B619,$A$2:$A$1001,"&lt;"&amp;A619,$A$2:$A$1001,"&gt;="&amp;(A619-설정!$B$2),$J$2:$J$1001,"&gt;=0"))</f>
        <v/>
      </c>
      <c r="N619" s="18" t="str">
        <f aca="false">IF(K619="","",IF(L619=0,"",ROUND((J619-K619)/L619,2)))</f>
        <v/>
      </c>
      <c r="O619" s="19" t="str">
        <f aca="false">IF(J619="","",IF(MIN(F619,G619)&lt;=설정!$B$5,"예",""))</f>
        <v/>
      </c>
      <c r="P619" s="19" t="str">
        <f aca="false">IF(J619="","",IF(M619&lt;설정!$B$3,"baseline 수집 중",IF(N619="","정상",IF(N619&lt;=설정!$B$4,"낮음","정상"))))</f>
        <v/>
      </c>
      <c r="Q619" s="20"/>
      <c r="R619" s="18" t="str">
        <f aca="false">IF(J619="","",J619^2)</f>
        <v/>
      </c>
    </row>
    <row r="620" customFormat="false" ht="15" hidden="false" customHeight="false" outlineLevel="0" collapsed="false">
      <c r="A620" s="16"/>
      <c r="B620" s="17"/>
      <c r="C620" s="17"/>
      <c r="D620" s="17"/>
      <c r="E620" s="17"/>
      <c r="F620" s="17"/>
      <c r="G620" s="17"/>
      <c r="H620" s="17"/>
      <c r="I620" s="17"/>
      <c r="J620" s="18" t="str">
        <f aca="false">IF(COUNT(E620:I620)&lt;5,"",SUM(E620:I620))</f>
        <v/>
      </c>
      <c r="K620" s="18" t="str">
        <f aca="false">IF(J620="","",IF(M620&lt;설정!$B$3,"",ROUND(AVERAGEIFS($J$2:$J$1001,$B$2:$B$1001,B620,$A$2:$A$1001,"&lt;"&amp;A620,$A$2:$A$1001,"&gt;="&amp;(A620-설정!$B$2)),2)))</f>
        <v/>
      </c>
      <c r="L620" s="18" t="str">
        <f aca="false">IF(K620="","",ROUND(SQRT(MAX(0,(SUMIFS($R$2:$R$1001,$B$2:$B$1001,B620,$A$2:$A$1001,"&lt;"&amp;A620,$A$2:$A$1001,"&gt;="&amp;(A620-설정!$B$2))-M620*AVERAGEIFS($J$2:$J$1001,$B$2:$B$1001,B620,$A$2:$A$1001,"&lt;"&amp;A620,$A$2:$A$1001,"&gt;="&amp;(A620-설정!$B$2))^2)/(M620-1))),2))</f>
        <v/>
      </c>
      <c r="M620" s="18" t="str">
        <f aca="false">IF(J620="","",COUNTIFS($B$2:$B$1001,B620,$A$2:$A$1001,"&lt;"&amp;A620,$A$2:$A$1001,"&gt;="&amp;(A620-설정!$B$2),$J$2:$J$1001,"&gt;=0"))</f>
        <v/>
      </c>
      <c r="N620" s="18" t="str">
        <f aca="false">IF(K620="","",IF(L620=0,"",ROUND((J620-K620)/L620,2)))</f>
        <v/>
      </c>
      <c r="O620" s="19" t="str">
        <f aca="false">IF(J620="","",IF(MIN(F620,G620)&lt;=설정!$B$5,"예",""))</f>
        <v/>
      </c>
      <c r="P620" s="19" t="str">
        <f aca="false">IF(J620="","",IF(M620&lt;설정!$B$3,"baseline 수집 중",IF(N620="","정상",IF(N620&lt;=설정!$B$4,"낮음","정상"))))</f>
        <v/>
      </c>
      <c r="Q620" s="20"/>
      <c r="R620" s="18" t="str">
        <f aca="false">IF(J620="","",J620^2)</f>
        <v/>
      </c>
    </row>
    <row r="621" customFormat="false" ht="15" hidden="false" customHeight="false" outlineLevel="0" collapsed="false">
      <c r="A621" s="16"/>
      <c r="B621" s="17"/>
      <c r="C621" s="17"/>
      <c r="D621" s="17"/>
      <c r="E621" s="17"/>
      <c r="F621" s="17"/>
      <c r="G621" s="17"/>
      <c r="H621" s="17"/>
      <c r="I621" s="17"/>
      <c r="J621" s="18" t="str">
        <f aca="false">IF(COUNT(E621:I621)&lt;5,"",SUM(E621:I621))</f>
        <v/>
      </c>
      <c r="K621" s="18" t="str">
        <f aca="false">IF(J621="","",IF(M621&lt;설정!$B$3,"",ROUND(AVERAGEIFS($J$2:$J$1001,$B$2:$B$1001,B621,$A$2:$A$1001,"&lt;"&amp;A621,$A$2:$A$1001,"&gt;="&amp;(A621-설정!$B$2)),2)))</f>
        <v/>
      </c>
      <c r="L621" s="18" t="str">
        <f aca="false">IF(K621="","",ROUND(SQRT(MAX(0,(SUMIFS($R$2:$R$1001,$B$2:$B$1001,B621,$A$2:$A$1001,"&lt;"&amp;A621,$A$2:$A$1001,"&gt;="&amp;(A621-설정!$B$2))-M621*AVERAGEIFS($J$2:$J$1001,$B$2:$B$1001,B621,$A$2:$A$1001,"&lt;"&amp;A621,$A$2:$A$1001,"&gt;="&amp;(A621-설정!$B$2))^2)/(M621-1))),2))</f>
        <v/>
      </c>
      <c r="M621" s="18" t="str">
        <f aca="false">IF(J621="","",COUNTIFS($B$2:$B$1001,B621,$A$2:$A$1001,"&lt;"&amp;A621,$A$2:$A$1001,"&gt;="&amp;(A621-설정!$B$2),$J$2:$J$1001,"&gt;=0"))</f>
        <v/>
      </c>
      <c r="N621" s="18" t="str">
        <f aca="false">IF(K621="","",IF(L621=0,"",ROUND((J621-K621)/L621,2)))</f>
        <v/>
      </c>
      <c r="O621" s="19" t="str">
        <f aca="false">IF(J621="","",IF(MIN(F621,G621)&lt;=설정!$B$5,"예",""))</f>
        <v/>
      </c>
      <c r="P621" s="19" t="str">
        <f aca="false">IF(J621="","",IF(M621&lt;설정!$B$3,"baseline 수집 중",IF(N621="","정상",IF(N621&lt;=설정!$B$4,"낮음","정상"))))</f>
        <v/>
      </c>
      <c r="Q621" s="20"/>
      <c r="R621" s="18" t="str">
        <f aca="false">IF(J621="","",J621^2)</f>
        <v/>
      </c>
    </row>
    <row r="622" customFormat="false" ht="15" hidden="false" customHeight="false" outlineLevel="0" collapsed="false">
      <c r="A622" s="16"/>
      <c r="B622" s="17"/>
      <c r="C622" s="17"/>
      <c r="D622" s="17"/>
      <c r="E622" s="17"/>
      <c r="F622" s="17"/>
      <c r="G622" s="17"/>
      <c r="H622" s="17"/>
      <c r="I622" s="17"/>
      <c r="J622" s="18" t="str">
        <f aca="false">IF(COUNT(E622:I622)&lt;5,"",SUM(E622:I622))</f>
        <v/>
      </c>
      <c r="K622" s="18" t="str">
        <f aca="false">IF(J622="","",IF(M622&lt;설정!$B$3,"",ROUND(AVERAGEIFS($J$2:$J$1001,$B$2:$B$1001,B622,$A$2:$A$1001,"&lt;"&amp;A622,$A$2:$A$1001,"&gt;="&amp;(A622-설정!$B$2)),2)))</f>
        <v/>
      </c>
      <c r="L622" s="18" t="str">
        <f aca="false">IF(K622="","",ROUND(SQRT(MAX(0,(SUMIFS($R$2:$R$1001,$B$2:$B$1001,B622,$A$2:$A$1001,"&lt;"&amp;A622,$A$2:$A$1001,"&gt;="&amp;(A622-설정!$B$2))-M622*AVERAGEIFS($J$2:$J$1001,$B$2:$B$1001,B622,$A$2:$A$1001,"&lt;"&amp;A622,$A$2:$A$1001,"&gt;="&amp;(A622-설정!$B$2))^2)/(M622-1))),2))</f>
        <v/>
      </c>
      <c r="M622" s="18" t="str">
        <f aca="false">IF(J622="","",COUNTIFS($B$2:$B$1001,B622,$A$2:$A$1001,"&lt;"&amp;A622,$A$2:$A$1001,"&gt;="&amp;(A622-설정!$B$2),$J$2:$J$1001,"&gt;=0"))</f>
        <v/>
      </c>
      <c r="N622" s="18" t="str">
        <f aca="false">IF(K622="","",IF(L622=0,"",ROUND((J622-K622)/L622,2)))</f>
        <v/>
      </c>
      <c r="O622" s="19" t="str">
        <f aca="false">IF(J622="","",IF(MIN(F622,G622)&lt;=설정!$B$5,"예",""))</f>
        <v/>
      </c>
      <c r="P622" s="19" t="str">
        <f aca="false">IF(J622="","",IF(M622&lt;설정!$B$3,"baseline 수집 중",IF(N622="","정상",IF(N622&lt;=설정!$B$4,"낮음","정상"))))</f>
        <v/>
      </c>
      <c r="Q622" s="20"/>
      <c r="R622" s="18" t="str">
        <f aca="false">IF(J622="","",J622^2)</f>
        <v/>
      </c>
    </row>
    <row r="623" customFormat="false" ht="15" hidden="false" customHeight="false" outlineLevel="0" collapsed="false">
      <c r="A623" s="16"/>
      <c r="B623" s="17"/>
      <c r="C623" s="17"/>
      <c r="D623" s="17"/>
      <c r="E623" s="17"/>
      <c r="F623" s="17"/>
      <c r="G623" s="17"/>
      <c r="H623" s="17"/>
      <c r="I623" s="17"/>
      <c r="J623" s="18" t="str">
        <f aca="false">IF(COUNT(E623:I623)&lt;5,"",SUM(E623:I623))</f>
        <v/>
      </c>
      <c r="K623" s="18" t="str">
        <f aca="false">IF(J623="","",IF(M623&lt;설정!$B$3,"",ROUND(AVERAGEIFS($J$2:$J$1001,$B$2:$B$1001,B623,$A$2:$A$1001,"&lt;"&amp;A623,$A$2:$A$1001,"&gt;="&amp;(A623-설정!$B$2)),2)))</f>
        <v/>
      </c>
      <c r="L623" s="18" t="str">
        <f aca="false">IF(K623="","",ROUND(SQRT(MAX(0,(SUMIFS($R$2:$R$1001,$B$2:$B$1001,B623,$A$2:$A$1001,"&lt;"&amp;A623,$A$2:$A$1001,"&gt;="&amp;(A623-설정!$B$2))-M623*AVERAGEIFS($J$2:$J$1001,$B$2:$B$1001,B623,$A$2:$A$1001,"&lt;"&amp;A623,$A$2:$A$1001,"&gt;="&amp;(A623-설정!$B$2))^2)/(M623-1))),2))</f>
        <v/>
      </c>
      <c r="M623" s="18" t="str">
        <f aca="false">IF(J623="","",COUNTIFS($B$2:$B$1001,B623,$A$2:$A$1001,"&lt;"&amp;A623,$A$2:$A$1001,"&gt;="&amp;(A623-설정!$B$2),$J$2:$J$1001,"&gt;=0"))</f>
        <v/>
      </c>
      <c r="N623" s="18" t="str">
        <f aca="false">IF(K623="","",IF(L623=0,"",ROUND((J623-K623)/L623,2)))</f>
        <v/>
      </c>
      <c r="O623" s="19" t="str">
        <f aca="false">IF(J623="","",IF(MIN(F623,G623)&lt;=설정!$B$5,"예",""))</f>
        <v/>
      </c>
      <c r="P623" s="19" t="str">
        <f aca="false">IF(J623="","",IF(M623&lt;설정!$B$3,"baseline 수집 중",IF(N623="","정상",IF(N623&lt;=설정!$B$4,"낮음","정상"))))</f>
        <v/>
      </c>
      <c r="Q623" s="20"/>
      <c r="R623" s="18" t="str">
        <f aca="false">IF(J623="","",J623^2)</f>
        <v/>
      </c>
    </row>
    <row r="624" customFormat="false" ht="15" hidden="false" customHeight="false" outlineLevel="0" collapsed="false">
      <c r="A624" s="16"/>
      <c r="B624" s="17"/>
      <c r="C624" s="17"/>
      <c r="D624" s="17"/>
      <c r="E624" s="17"/>
      <c r="F624" s="17"/>
      <c r="G624" s="17"/>
      <c r="H624" s="17"/>
      <c r="I624" s="17"/>
      <c r="J624" s="18" t="str">
        <f aca="false">IF(COUNT(E624:I624)&lt;5,"",SUM(E624:I624))</f>
        <v/>
      </c>
      <c r="K624" s="18" t="str">
        <f aca="false">IF(J624="","",IF(M624&lt;설정!$B$3,"",ROUND(AVERAGEIFS($J$2:$J$1001,$B$2:$B$1001,B624,$A$2:$A$1001,"&lt;"&amp;A624,$A$2:$A$1001,"&gt;="&amp;(A624-설정!$B$2)),2)))</f>
        <v/>
      </c>
      <c r="L624" s="18" t="str">
        <f aca="false">IF(K624="","",ROUND(SQRT(MAX(0,(SUMIFS($R$2:$R$1001,$B$2:$B$1001,B624,$A$2:$A$1001,"&lt;"&amp;A624,$A$2:$A$1001,"&gt;="&amp;(A624-설정!$B$2))-M624*AVERAGEIFS($J$2:$J$1001,$B$2:$B$1001,B624,$A$2:$A$1001,"&lt;"&amp;A624,$A$2:$A$1001,"&gt;="&amp;(A624-설정!$B$2))^2)/(M624-1))),2))</f>
        <v/>
      </c>
      <c r="M624" s="18" t="str">
        <f aca="false">IF(J624="","",COUNTIFS($B$2:$B$1001,B624,$A$2:$A$1001,"&lt;"&amp;A624,$A$2:$A$1001,"&gt;="&amp;(A624-설정!$B$2),$J$2:$J$1001,"&gt;=0"))</f>
        <v/>
      </c>
      <c r="N624" s="18" t="str">
        <f aca="false">IF(K624="","",IF(L624=0,"",ROUND((J624-K624)/L624,2)))</f>
        <v/>
      </c>
      <c r="O624" s="19" t="str">
        <f aca="false">IF(J624="","",IF(MIN(F624,G624)&lt;=설정!$B$5,"예",""))</f>
        <v/>
      </c>
      <c r="P624" s="19" t="str">
        <f aca="false">IF(J624="","",IF(M624&lt;설정!$B$3,"baseline 수집 중",IF(N624="","정상",IF(N624&lt;=설정!$B$4,"낮음","정상"))))</f>
        <v/>
      </c>
      <c r="Q624" s="20"/>
      <c r="R624" s="18" t="str">
        <f aca="false">IF(J624="","",J624^2)</f>
        <v/>
      </c>
    </row>
    <row r="625" customFormat="false" ht="15" hidden="false" customHeight="false" outlineLevel="0" collapsed="false">
      <c r="A625" s="16"/>
      <c r="B625" s="17"/>
      <c r="C625" s="17"/>
      <c r="D625" s="17"/>
      <c r="E625" s="17"/>
      <c r="F625" s="17"/>
      <c r="G625" s="17"/>
      <c r="H625" s="17"/>
      <c r="I625" s="17"/>
      <c r="J625" s="18" t="str">
        <f aca="false">IF(COUNT(E625:I625)&lt;5,"",SUM(E625:I625))</f>
        <v/>
      </c>
      <c r="K625" s="18" t="str">
        <f aca="false">IF(J625="","",IF(M625&lt;설정!$B$3,"",ROUND(AVERAGEIFS($J$2:$J$1001,$B$2:$B$1001,B625,$A$2:$A$1001,"&lt;"&amp;A625,$A$2:$A$1001,"&gt;="&amp;(A625-설정!$B$2)),2)))</f>
        <v/>
      </c>
      <c r="L625" s="18" t="str">
        <f aca="false">IF(K625="","",ROUND(SQRT(MAX(0,(SUMIFS($R$2:$R$1001,$B$2:$B$1001,B625,$A$2:$A$1001,"&lt;"&amp;A625,$A$2:$A$1001,"&gt;="&amp;(A625-설정!$B$2))-M625*AVERAGEIFS($J$2:$J$1001,$B$2:$B$1001,B625,$A$2:$A$1001,"&lt;"&amp;A625,$A$2:$A$1001,"&gt;="&amp;(A625-설정!$B$2))^2)/(M625-1))),2))</f>
        <v/>
      </c>
      <c r="M625" s="18" t="str">
        <f aca="false">IF(J625="","",COUNTIFS($B$2:$B$1001,B625,$A$2:$A$1001,"&lt;"&amp;A625,$A$2:$A$1001,"&gt;="&amp;(A625-설정!$B$2),$J$2:$J$1001,"&gt;=0"))</f>
        <v/>
      </c>
      <c r="N625" s="18" t="str">
        <f aca="false">IF(K625="","",IF(L625=0,"",ROUND((J625-K625)/L625,2)))</f>
        <v/>
      </c>
      <c r="O625" s="19" t="str">
        <f aca="false">IF(J625="","",IF(MIN(F625,G625)&lt;=설정!$B$5,"예",""))</f>
        <v/>
      </c>
      <c r="P625" s="19" t="str">
        <f aca="false">IF(J625="","",IF(M625&lt;설정!$B$3,"baseline 수집 중",IF(N625="","정상",IF(N625&lt;=설정!$B$4,"낮음","정상"))))</f>
        <v/>
      </c>
      <c r="Q625" s="20"/>
      <c r="R625" s="18" t="str">
        <f aca="false">IF(J625="","",J625^2)</f>
        <v/>
      </c>
    </row>
    <row r="626" customFormat="false" ht="15" hidden="false" customHeight="false" outlineLevel="0" collapsed="false">
      <c r="A626" s="16"/>
      <c r="B626" s="17"/>
      <c r="C626" s="17"/>
      <c r="D626" s="17"/>
      <c r="E626" s="17"/>
      <c r="F626" s="17"/>
      <c r="G626" s="17"/>
      <c r="H626" s="17"/>
      <c r="I626" s="17"/>
      <c r="J626" s="18" t="str">
        <f aca="false">IF(COUNT(E626:I626)&lt;5,"",SUM(E626:I626))</f>
        <v/>
      </c>
      <c r="K626" s="18" t="str">
        <f aca="false">IF(J626="","",IF(M626&lt;설정!$B$3,"",ROUND(AVERAGEIFS($J$2:$J$1001,$B$2:$B$1001,B626,$A$2:$A$1001,"&lt;"&amp;A626,$A$2:$A$1001,"&gt;="&amp;(A626-설정!$B$2)),2)))</f>
        <v/>
      </c>
      <c r="L626" s="18" t="str">
        <f aca="false">IF(K626="","",ROUND(SQRT(MAX(0,(SUMIFS($R$2:$R$1001,$B$2:$B$1001,B626,$A$2:$A$1001,"&lt;"&amp;A626,$A$2:$A$1001,"&gt;="&amp;(A626-설정!$B$2))-M626*AVERAGEIFS($J$2:$J$1001,$B$2:$B$1001,B626,$A$2:$A$1001,"&lt;"&amp;A626,$A$2:$A$1001,"&gt;="&amp;(A626-설정!$B$2))^2)/(M626-1))),2))</f>
        <v/>
      </c>
      <c r="M626" s="18" t="str">
        <f aca="false">IF(J626="","",COUNTIFS($B$2:$B$1001,B626,$A$2:$A$1001,"&lt;"&amp;A626,$A$2:$A$1001,"&gt;="&amp;(A626-설정!$B$2),$J$2:$J$1001,"&gt;=0"))</f>
        <v/>
      </c>
      <c r="N626" s="18" t="str">
        <f aca="false">IF(K626="","",IF(L626=0,"",ROUND((J626-K626)/L626,2)))</f>
        <v/>
      </c>
      <c r="O626" s="19" t="str">
        <f aca="false">IF(J626="","",IF(MIN(F626,G626)&lt;=설정!$B$5,"예",""))</f>
        <v/>
      </c>
      <c r="P626" s="19" t="str">
        <f aca="false">IF(J626="","",IF(M626&lt;설정!$B$3,"baseline 수집 중",IF(N626="","정상",IF(N626&lt;=설정!$B$4,"낮음","정상"))))</f>
        <v/>
      </c>
      <c r="Q626" s="20"/>
      <c r="R626" s="18" t="str">
        <f aca="false">IF(J626="","",J626^2)</f>
        <v/>
      </c>
    </row>
    <row r="627" customFormat="false" ht="15" hidden="false" customHeight="false" outlineLevel="0" collapsed="false">
      <c r="A627" s="16"/>
      <c r="B627" s="17"/>
      <c r="C627" s="17"/>
      <c r="D627" s="17"/>
      <c r="E627" s="17"/>
      <c r="F627" s="17"/>
      <c r="G627" s="17"/>
      <c r="H627" s="17"/>
      <c r="I627" s="17"/>
      <c r="J627" s="18" t="str">
        <f aca="false">IF(COUNT(E627:I627)&lt;5,"",SUM(E627:I627))</f>
        <v/>
      </c>
      <c r="K627" s="18" t="str">
        <f aca="false">IF(J627="","",IF(M627&lt;설정!$B$3,"",ROUND(AVERAGEIFS($J$2:$J$1001,$B$2:$B$1001,B627,$A$2:$A$1001,"&lt;"&amp;A627,$A$2:$A$1001,"&gt;="&amp;(A627-설정!$B$2)),2)))</f>
        <v/>
      </c>
      <c r="L627" s="18" t="str">
        <f aca="false">IF(K627="","",ROUND(SQRT(MAX(0,(SUMIFS($R$2:$R$1001,$B$2:$B$1001,B627,$A$2:$A$1001,"&lt;"&amp;A627,$A$2:$A$1001,"&gt;="&amp;(A627-설정!$B$2))-M627*AVERAGEIFS($J$2:$J$1001,$B$2:$B$1001,B627,$A$2:$A$1001,"&lt;"&amp;A627,$A$2:$A$1001,"&gt;="&amp;(A627-설정!$B$2))^2)/(M627-1))),2))</f>
        <v/>
      </c>
      <c r="M627" s="18" t="str">
        <f aca="false">IF(J627="","",COUNTIFS($B$2:$B$1001,B627,$A$2:$A$1001,"&lt;"&amp;A627,$A$2:$A$1001,"&gt;="&amp;(A627-설정!$B$2),$J$2:$J$1001,"&gt;=0"))</f>
        <v/>
      </c>
      <c r="N627" s="18" t="str">
        <f aca="false">IF(K627="","",IF(L627=0,"",ROUND((J627-K627)/L627,2)))</f>
        <v/>
      </c>
      <c r="O627" s="19" t="str">
        <f aca="false">IF(J627="","",IF(MIN(F627,G627)&lt;=설정!$B$5,"예",""))</f>
        <v/>
      </c>
      <c r="P627" s="19" t="str">
        <f aca="false">IF(J627="","",IF(M627&lt;설정!$B$3,"baseline 수집 중",IF(N627="","정상",IF(N627&lt;=설정!$B$4,"낮음","정상"))))</f>
        <v/>
      </c>
      <c r="Q627" s="20"/>
      <c r="R627" s="18" t="str">
        <f aca="false">IF(J627="","",J627^2)</f>
        <v/>
      </c>
    </row>
    <row r="628" customFormat="false" ht="15" hidden="false" customHeight="false" outlineLevel="0" collapsed="false">
      <c r="A628" s="16"/>
      <c r="B628" s="17"/>
      <c r="C628" s="17"/>
      <c r="D628" s="17"/>
      <c r="E628" s="17"/>
      <c r="F628" s="17"/>
      <c r="G628" s="17"/>
      <c r="H628" s="17"/>
      <c r="I628" s="17"/>
      <c r="J628" s="18" t="str">
        <f aca="false">IF(COUNT(E628:I628)&lt;5,"",SUM(E628:I628))</f>
        <v/>
      </c>
      <c r="K628" s="18" t="str">
        <f aca="false">IF(J628="","",IF(M628&lt;설정!$B$3,"",ROUND(AVERAGEIFS($J$2:$J$1001,$B$2:$B$1001,B628,$A$2:$A$1001,"&lt;"&amp;A628,$A$2:$A$1001,"&gt;="&amp;(A628-설정!$B$2)),2)))</f>
        <v/>
      </c>
      <c r="L628" s="18" t="str">
        <f aca="false">IF(K628="","",ROUND(SQRT(MAX(0,(SUMIFS($R$2:$R$1001,$B$2:$B$1001,B628,$A$2:$A$1001,"&lt;"&amp;A628,$A$2:$A$1001,"&gt;="&amp;(A628-설정!$B$2))-M628*AVERAGEIFS($J$2:$J$1001,$B$2:$B$1001,B628,$A$2:$A$1001,"&lt;"&amp;A628,$A$2:$A$1001,"&gt;="&amp;(A628-설정!$B$2))^2)/(M628-1))),2))</f>
        <v/>
      </c>
      <c r="M628" s="18" t="str">
        <f aca="false">IF(J628="","",COUNTIFS($B$2:$B$1001,B628,$A$2:$A$1001,"&lt;"&amp;A628,$A$2:$A$1001,"&gt;="&amp;(A628-설정!$B$2),$J$2:$J$1001,"&gt;=0"))</f>
        <v/>
      </c>
      <c r="N628" s="18" t="str">
        <f aca="false">IF(K628="","",IF(L628=0,"",ROUND((J628-K628)/L628,2)))</f>
        <v/>
      </c>
      <c r="O628" s="19" t="str">
        <f aca="false">IF(J628="","",IF(MIN(F628,G628)&lt;=설정!$B$5,"예",""))</f>
        <v/>
      </c>
      <c r="P628" s="19" t="str">
        <f aca="false">IF(J628="","",IF(M628&lt;설정!$B$3,"baseline 수집 중",IF(N628="","정상",IF(N628&lt;=설정!$B$4,"낮음","정상"))))</f>
        <v/>
      </c>
      <c r="Q628" s="20"/>
      <c r="R628" s="18" t="str">
        <f aca="false">IF(J628="","",J628^2)</f>
        <v/>
      </c>
    </row>
    <row r="629" customFormat="false" ht="15" hidden="false" customHeight="false" outlineLevel="0" collapsed="false">
      <c r="A629" s="16"/>
      <c r="B629" s="17"/>
      <c r="C629" s="17"/>
      <c r="D629" s="17"/>
      <c r="E629" s="17"/>
      <c r="F629" s="17"/>
      <c r="G629" s="17"/>
      <c r="H629" s="17"/>
      <c r="I629" s="17"/>
      <c r="J629" s="18" t="str">
        <f aca="false">IF(COUNT(E629:I629)&lt;5,"",SUM(E629:I629))</f>
        <v/>
      </c>
      <c r="K629" s="18" t="str">
        <f aca="false">IF(J629="","",IF(M629&lt;설정!$B$3,"",ROUND(AVERAGEIFS($J$2:$J$1001,$B$2:$B$1001,B629,$A$2:$A$1001,"&lt;"&amp;A629,$A$2:$A$1001,"&gt;="&amp;(A629-설정!$B$2)),2)))</f>
        <v/>
      </c>
      <c r="L629" s="18" t="str">
        <f aca="false">IF(K629="","",ROUND(SQRT(MAX(0,(SUMIFS($R$2:$R$1001,$B$2:$B$1001,B629,$A$2:$A$1001,"&lt;"&amp;A629,$A$2:$A$1001,"&gt;="&amp;(A629-설정!$B$2))-M629*AVERAGEIFS($J$2:$J$1001,$B$2:$B$1001,B629,$A$2:$A$1001,"&lt;"&amp;A629,$A$2:$A$1001,"&gt;="&amp;(A629-설정!$B$2))^2)/(M629-1))),2))</f>
        <v/>
      </c>
      <c r="M629" s="18" t="str">
        <f aca="false">IF(J629="","",COUNTIFS($B$2:$B$1001,B629,$A$2:$A$1001,"&lt;"&amp;A629,$A$2:$A$1001,"&gt;="&amp;(A629-설정!$B$2),$J$2:$J$1001,"&gt;=0"))</f>
        <v/>
      </c>
      <c r="N629" s="18" t="str">
        <f aca="false">IF(K629="","",IF(L629=0,"",ROUND((J629-K629)/L629,2)))</f>
        <v/>
      </c>
      <c r="O629" s="19" t="str">
        <f aca="false">IF(J629="","",IF(MIN(F629,G629)&lt;=설정!$B$5,"예",""))</f>
        <v/>
      </c>
      <c r="P629" s="19" t="str">
        <f aca="false">IF(J629="","",IF(M629&lt;설정!$B$3,"baseline 수집 중",IF(N629="","정상",IF(N629&lt;=설정!$B$4,"낮음","정상"))))</f>
        <v/>
      </c>
      <c r="Q629" s="20"/>
      <c r="R629" s="18" t="str">
        <f aca="false">IF(J629="","",J629^2)</f>
        <v/>
      </c>
    </row>
    <row r="630" customFormat="false" ht="15" hidden="false" customHeight="false" outlineLevel="0" collapsed="false">
      <c r="A630" s="16"/>
      <c r="B630" s="17"/>
      <c r="C630" s="17"/>
      <c r="D630" s="17"/>
      <c r="E630" s="17"/>
      <c r="F630" s="17"/>
      <c r="G630" s="17"/>
      <c r="H630" s="17"/>
      <c r="I630" s="17"/>
      <c r="J630" s="18" t="str">
        <f aca="false">IF(COUNT(E630:I630)&lt;5,"",SUM(E630:I630))</f>
        <v/>
      </c>
      <c r="K630" s="18" t="str">
        <f aca="false">IF(J630="","",IF(M630&lt;설정!$B$3,"",ROUND(AVERAGEIFS($J$2:$J$1001,$B$2:$B$1001,B630,$A$2:$A$1001,"&lt;"&amp;A630,$A$2:$A$1001,"&gt;="&amp;(A630-설정!$B$2)),2)))</f>
        <v/>
      </c>
      <c r="L630" s="18" t="str">
        <f aca="false">IF(K630="","",ROUND(SQRT(MAX(0,(SUMIFS($R$2:$R$1001,$B$2:$B$1001,B630,$A$2:$A$1001,"&lt;"&amp;A630,$A$2:$A$1001,"&gt;="&amp;(A630-설정!$B$2))-M630*AVERAGEIFS($J$2:$J$1001,$B$2:$B$1001,B630,$A$2:$A$1001,"&lt;"&amp;A630,$A$2:$A$1001,"&gt;="&amp;(A630-설정!$B$2))^2)/(M630-1))),2))</f>
        <v/>
      </c>
      <c r="M630" s="18" t="str">
        <f aca="false">IF(J630="","",COUNTIFS($B$2:$B$1001,B630,$A$2:$A$1001,"&lt;"&amp;A630,$A$2:$A$1001,"&gt;="&amp;(A630-설정!$B$2),$J$2:$J$1001,"&gt;=0"))</f>
        <v/>
      </c>
      <c r="N630" s="18" t="str">
        <f aca="false">IF(K630="","",IF(L630=0,"",ROUND((J630-K630)/L630,2)))</f>
        <v/>
      </c>
      <c r="O630" s="19" t="str">
        <f aca="false">IF(J630="","",IF(MIN(F630,G630)&lt;=설정!$B$5,"예",""))</f>
        <v/>
      </c>
      <c r="P630" s="19" t="str">
        <f aca="false">IF(J630="","",IF(M630&lt;설정!$B$3,"baseline 수집 중",IF(N630="","정상",IF(N630&lt;=설정!$B$4,"낮음","정상"))))</f>
        <v/>
      </c>
      <c r="Q630" s="20"/>
      <c r="R630" s="18" t="str">
        <f aca="false">IF(J630="","",J630^2)</f>
        <v/>
      </c>
    </row>
    <row r="631" customFormat="false" ht="15" hidden="false" customHeight="false" outlineLevel="0" collapsed="false">
      <c r="A631" s="16"/>
      <c r="B631" s="17"/>
      <c r="C631" s="17"/>
      <c r="D631" s="17"/>
      <c r="E631" s="17"/>
      <c r="F631" s="17"/>
      <c r="G631" s="17"/>
      <c r="H631" s="17"/>
      <c r="I631" s="17"/>
      <c r="J631" s="18" t="str">
        <f aca="false">IF(COUNT(E631:I631)&lt;5,"",SUM(E631:I631))</f>
        <v/>
      </c>
      <c r="K631" s="18" t="str">
        <f aca="false">IF(J631="","",IF(M631&lt;설정!$B$3,"",ROUND(AVERAGEIFS($J$2:$J$1001,$B$2:$B$1001,B631,$A$2:$A$1001,"&lt;"&amp;A631,$A$2:$A$1001,"&gt;="&amp;(A631-설정!$B$2)),2)))</f>
        <v/>
      </c>
      <c r="L631" s="18" t="str">
        <f aca="false">IF(K631="","",ROUND(SQRT(MAX(0,(SUMIFS($R$2:$R$1001,$B$2:$B$1001,B631,$A$2:$A$1001,"&lt;"&amp;A631,$A$2:$A$1001,"&gt;="&amp;(A631-설정!$B$2))-M631*AVERAGEIFS($J$2:$J$1001,$B$2:$B$1001,B631,$A$2:$A$1001,"&lt;"&amp;A631,$A$2:$A$1001,"&gt;="&amp;(A631-설정!$B$2))^2)/(M631-1))),2))</f>
        <v/>
      </c>
      <c r="M631" s="18" t="str">
        <f aca="false">IF(J631="","",COUNTIFS($B$2:$B$1001,B631,$A$2:$A$1001,"&lt;"&amp;A631,$A$2:$A$1001,"&gt;="&amp;(A631-설정!$B$2),$J$2:$J$1001,"&gt;=0"))</f>
        <v/>
      </c>
      <c r="N631" s="18" t="str">
        <f aca="false">IF(K631="","",IF(L631=0,"",ROUND((J631-K631)/L631,2)))</f>
        <v/>
      </c>
      <c r="O631" s="19" t="str">
        <f aca="false">IF(J631="","",IF(MIN(F631,G631)&lt;=설정!$B$5,"예",""))</f>
        <v/>
      </c>
      <c r="P631" s="19" t="str">
        <f aca="false">IF(J631="","",IF(M631&lt;설정!$B$3,"baseline 수집 중",IF(N631="","정상",IF(N631&lt;=설정!$B$4,"낮음","정상"))))</f>
        <v/>
      </c>
      <c r="Q631" s="20"/>
      <c r="R631" s="18" t="str">
        <f aca="false">IF(J631="","",J631^2)</f>
        <v/>
      </c>
    </row>
    <row r="632" customFormat="false" ht="15" hidden="false" customHeight="false" outlineLevel="0" collapsed="false">
      <c r="A632" s="16"/>
      <c r="B632" s="17"/>
      <c r="C632" s="17"/>
      <c r="D632" s="17"/>
      <c r="E632" s="17"/>
      <c r="F632" s="17"/>
      <c r="G632" s="17"/>
      <c r="H632" s="17"/>
      <c r="I632" s="17"/>
      <c r="J632" s="18" t="str">
        <f aca="false">IF(COUNT(E632:I632)&lt;5,"",SUM(E632:I632))</f>
        <v/>
      </c>
      <c r="K632" s="18" t="str">
        <f aca="false">IF(J632="","",IF(M632&lt;설정!$B$3,"",ROUND(AVERAGEIFS($J$2:$J$1001,$B$2:$B$1001,B632,$A$2:$A$1001,"&lt;"&amp;A632,$A$2:$A$1001,"&gt;="&amp;(A632-설정!$B$2)),2)))</f>
        <v/>
      </c>
      <c r="L632" s="18" t="str">
        <f aca="false">IF(K632="","",ROUND(SQRT(MAX(0,(SUMIFS($R$2:$R$1001,$B$2:$B$1001,B632,$A$2:$A$1001,"&lt;"&amp;A632,$A$2:$A$1001,"&gt;="&amp;(A632-설정!$B$2))-M632*AVERAGEIFS($J$2:$J$1001,$B$2:$B$1001,B632,$A$2:$A$1001,"&lt;"&amp;A632,$A$2:$A$1001,"&gt;="&amp;(A632-설정!$B$2))^2)/(M632-1))),2))</f>
        <v/>
      </c>
      <c r="M632" s="18" t="str">
        <f aca="false">IF(J632="","",COUNTIFS($B$2:$B$1001,B632,$A$2:$A$1001,"&lt;"&amp;A632,$A$2:$A$1001,"&gt;="&amp;(A632-설정!$B$2),$J$2:$J$1001,"&gt;=0"))</f>
        <v/>
      </c>
      <c r="N632" s="18" t="str">
        <f aca="false">IF(K632="","",IF(L632=0,"",ROUND((J632-K632)/L632,2)))</f>
        <v/>
      </c>
      <c r="O632" s="19" t="str">
        <f aca="false">IF(J632="","",IF(MIN(F632,G632)&lt;=설정!$B$5,"예",""))</f>
        <v/>
      </c>
      <c r="P632" s="19" t="str">
        <f aca="false">IF(J632="","",IF(M632&lt;설정!$B$3,"baseline 수집 중",IF(N632="","정상",IF(N632&lt;=설정!$B$4,"낮음","정상"))))</f>
        <v/>
      </c>
      <c r="Q632" s="20"/>
      <c r="R632" s="18" t="str">
        <f aca="false">IF(J632="","",J632^2)</f>
        <v/>
      </c>
    </row>
    <row r="633" customFormat="false" ht="15" hidden="false" customHeight="false" outlineLevel="0" collapsed="false">
      <c r="A633" s="16"/>
      <c r="B633" s="17"/>
      <c r="C633" s="17"/>
      <c r="D633" s="17"/>
      <c r="E633" s="17"/>
      <c r="F633" s="17"/>
      <c r="G633" s="17"/>
      <c r="H633" s="17"/>
      <c r="I633" s="17"/>
      <c r="J633" s="18" t="str">
        <f aca="false">IF(COUNT(E633:I633)&lt;5,"",SUM(E633:I633))</f>
        <v/>
      </c>
      <c r="K633" s="18" t="str">
        <f aca="false">IF(J633="","",IF(M633&lt;설정!$B$3,"",ROUND(AVERAGEIFS($J$2:$J$1001,$B$2:$B$1001,B633,$A$2:$A$1001,"&lt;"&amp;A633,$A$2:$A$1001,"&gt;="&amp;(A633-설정!$B$2)),2)))</f>
        <v/>
      </c>
      <c r="L633" s="18" t="str">
        <f aca="false">IF(K633="","",ROUND(SQRT(MAX(0,(SUMIFS($R$2:$R$1001,$B$2:$B$1001,B633,$A$2:$A$1001,"&lt;"&amp;A633,$A$2:$A$1001,"&gt;="&amp;(A633-설정!$B$2))-M633*AVERAGEIFS($J$2:$J$1001,$B$2:$B$1001,B633,$A$2:$A$1001,"&lt;"&amp;A633,$A$2:$A$1001,"&gt;="&amp;(A633-설정!$B$2))^2)/(M633-1))),2))</f>
        <v/>
      </c>
      <c r="M633" s="18" t="str">
        <f aca="false">IF(J633="","",COUNTIFS($B$2:$B$1001,B633,$A$2:$A$1001,"&lt;"&amp;A633,$A$2:$A$1001,"&gt;="&amp;(A633-설정!$B$2),$J$2:$J$1001,"&gt;=0"))</f>
        <v/>
      </c>
      <c r="N633" s="18" t="str">
        <f aca="false">IF(K633="","",IF(L633=0,"",ROUND((J633-K633)/L633,2)))</f>
        <v/>
      </c>
      <c r="O633" s="19" t="str">
        <f aca="false">IF(J633="","",IF(MIN(F633,G633)&lt;=설정!$B$5,"예",""))</f>
        <v/>
      </c>
      <c r="P633" s="19" t="str">
        <f aca="false">IF(J633="","",IF(M633&lt;설정!$B$3,"baseline 수집 중",IF(N633="","정상",IF(N633&lt;=설정!$B$4,"낮음","정상"))))</f>
        <v/>
      </c>
      <c r="Q633" s="20"/>
      <c r="R633" s="18" t="str">
        <f aca="false">IF(J633="","",J633^2)</f>
        <v/>
      </c>
    </row>
    <row r="634" customFormat="false" ht="15" hidden="false" customHeight="false" outlineLevel="0" collapsed="false">
      <c r="A634" s="16"/>
      <c r="B634" s="17"/>
      <c r="C634" s="17"/>
      <c r="D634" s="17"/>
      <c r="E634" s="17"/>
      <c r="F634" s="17"/>
      <c r="G634" s="17"/>
      <c r="H634" s="17"/>
      <c r="I634" s="17"/>
      <c r="J634" s="18" t="str">
        <f aca="false">IF(COUNT(E634:I634)&lt;5,"",SUM(E634:I634))</f>
        <v/>
      </c>
      <c r="K634" s="18" t="str">
        <f aca="false">IF(J634="","",IF(M634&lt;설정!$B$3,"",ROUND(AVERAGEIFS($J$2:$J$1001,$B$2:$B$1001,B634,$A$2:$A$1001,"&lt;"&amp;A634,$A$2:$A$1001,"&gt;="&amp;(A634-설정!$B$2)),2)))</f>
        <v/>
      </c>
      <c r="L634" s="18" t="str">
        <f aca="false">IF(K634="","",ROUND(SQRT(MAX(0,(SUMIFS($R$2:$R$1001,$B$2:$B$1001,B634,$A$2:$A$1001,"&lt;"&amp;A634,$A$2:$A$1001,"&gt;="&amp;(A634-설정!$B$2))-M634*AVERAGEIFS($J$2:$J$1001,$B$2:$B$1001,B634,$A$2:$A$1001,"&lt;"&amp;A634,$A$2:$A$1001,"&gt;="&amp;(A634-설정!$B$2))^2)/(M634-1))),2))</f>
        <v/>
      </c>
      <c r="M634" s="18" t="str">
        <f aca="false">IF(J634="","",COUNTIFS($B$2:$B$1001,B634,$A$2:$A$1001,"&lt;"&amp;A634,$A$2:$A$1001,"&gt;="&amp;(A634-설정!$B$2),$J$2:$J$1001,"&gt;=0"))</f>
        <v/>
      </c>
      <c r="N634" s="18" t="str">
        <f aca="false">IF(K634="","",IF(L634=0,"",ROUND((J634-K634)/L634,2)))</f>
        <v/>
      </c>
      <c r="O634" s="19" t="str">
        <f aca="false">IF(J634="","",IF(MIN(F634,G634)&lt;=설정!$B$5,"예",""))</f>
        <v/>
      </c>
      <c r="P634" s="19" t="str">
        <f aca="false">IF(J634="","",IF(M634&lt;설정!$B$3,"baseline 수집 중",IF(N634="","정상",IF(N634&lt;=설정!$B$4,"낮음","정상"))))</f>
        <v/>
      </c>
      <c r="Q634" s="20"/>
      <c r="R634" s="18" t="str">
        <f aca="false">IF(J634="","",J634^2)</f>
        <v/>
      </c>
    </row>
    <row r="635" customFormat="false" ht="15" hidden="false" customHeight="false" outlineLevel="0" collapsed="false">
      <c r="A635" s="16"/>
      <c r="B635" s="17"/>
      <c r="C635" s="17"/>
      <c r="D635" s="17"/>
      <c r="E635" s="17"/>
      <c r="F635" s="17"/>
      <c r="G635" s="17"/>
      <c r="H635" s="17"/>
      <c r="I635" s="17"/>
      <c r="J635" s="18" t="str">
        <f aca="false">IF(COUNT(E635:I635)&lt;5,"",SUM(E635:I635))</f>
        <v/>
      </c>
      <c r="K635" s="18" t="str">
        <f aca="false">IF(J635="","",IF(M635&lt;설정!$B$3,"",ROUND(AVERAGEIFS($J$2:$J$1001,$B$2:$B$1001,B635,$A$2:$A$1001,"&lt;"&amp;A635,$A$2:$A$1001,"&gt;="&amp;(A635-설정!$B$2)),2)))</f>
        <v/>
      </c>
      <c r="L635" s="18" t="str">
        <f aca="false">IF(K635="","",ROUND(SQRT(MAX(0,(SUMIFS($R$2:$R$1001,$B$2:$B$1001,B635,$A$2:$A$1001,"&lt;"&amp;A635,$A$2:$A$1001,"&gt;="&amp;(A635-설정!$B$2))-M635*AVERAGEIFS($J$2:$J$1001,$B$2:$B$1001,B635,$A$2:$A$1001,"&lt;"&amp;A635,$A$2:$A$1001,"&gt;="&amp;(A635-설정!$B$2))^2)/(M635-1))),2))</f>
        <v/>
      </c>
      <c r="M635" s="18" t="str">
        <f aca="false">IF(J635="","",COUNTIFS($B$2:$B$1001,B635,$A$2:$A$1001,"&lt;"&amp;A635,$A$2:$A$1001,"&gt;="&amp;(A635-설정!$B$2),$J$2:$J$1001,"&gt;=0"))</f>
        <v/>
      </c>
      <c r="N635" s="18" t="str">
        <f aca="false">IF(K635="","",IF(L635=0,"",ROUND((J635-K635)/L635,2)))</f>
        <v/>
      </c>
      <c r="O635" s="19" t="str">
        <f aca="false">IF(J635="","",IF(MIN(F635,G635)&lt;=설정!$B$5,"예",""))</f>
        <v/>
      </c>
      <c r="P635" s="19" t="str">
        <f aca="false">IF(J635="","",IF(M635&lt;설정!$B$3,"baseline 수집 중",IF(N635="","정상",IF(N635&lt;=설정!$B$4,"낮음","정상"))))</f>
        <v/>
      </c>
      <c r="Q635" s="20"/>
      <c r="R635" s="18" t="str">
        <f aca="false">IF(J635="","",J635^2)</f>
        <v/>
      </c>
    </row>
    <row r="636" customFormat="false" ht="15" hidden="false" customHeight="false" outlineLevel="0" collapsed="false">
      <c r="A636" s="16"/>
      <c r="B636" s="17"/>
      <c r="C636" s="17"/>
      <c r="D636" s="17"/>
      <c r="E636" s="17"/>
      <c r="F636" s="17"/>
      <c r="G636" s="17"/>
      <c r="H636" s="17"/>
      <c r="I636" s="17"/>
      <c r="J636" s="18" t="str">
        <f aca="false">IF(COUNT(E636:I636)&lt;5,"",SUM(E636:I636))</f>
        <v/>
      </c>
      <c r="K636" s="18" t="str">
        <f aca="false">IF(J636="","",IF(M636&lt;설정!$B$3,"",ROUND(AVERAGEIFS($J$2:$J$1001,$B$2:$B$1001,B636,$A$2:$A$1001,"&lt;"&amp;A636,$A$2:$A$1001,"&gt;="&amp;(A636-설정!$B$2)),2)))</f>
        <v/>
      </c>
      <c r="L636" s="18" t="str">
        <f aca="false">IF(K636="","",ROUND(SQRT(MAX(0,(SUMIFS($R$2:$R$1001,$B$2:$B$1001,B636,$A$2:$A$1001,"&lt;"&amp;A636,$A$2:$A$1001,"&gt;="&amp;(A636-설정!$B$2))-M636*AVERAGEIFS($J$2:$J$1001,$B$2:$B$1001,B636,$A$2:$A$1001,"&lt;"&amp;A636,$A$2:$A$1001,"&gt;="&amp;(A636-설정!$B$2))^2)/(M636-1))),2))</f>
        <v/>
      </c>
      <c r="M636" s="18" t="str">
        <f aca="false">IF(J636="","",COUNTIFS($B$2:$B$1001,B636,$A$2:$A$1001,"&lt;"&amp;A636,$A$2:$A$1001,"&gt;="&amp;(A636-설정!$B$2),$J$2:$J$1001,"&gt;=0"))</f>
        <v/>
      </c>
      <c r="N636" s="18" t="str">
        <f aca="false">IF(K636="","",IF(L636=0,"",ROUND((J636-K636)/L636,2)))</f>
        <v/>
      </c>
      <c r="O636" s="19" t="str">
        <f aca="false">IF(J636="","",IF(MIN(F636,G636)&lt;=설정!$B$5,"예",""))</f>
        <v/>
      </c>
      <c r="P636" s="19" t="str">
        <f aca="false">IF(J636="","",IF(M636&lt;설정!$B$3,"baseline 수집 중",IF(N636="","정상",IF(N636&lt;=설정!$B$4,"낮음","정상"))))</f>
        <v/>
      </c>
      <c r="Q636" s="20"/>
      <c r="R636" s="18" t="str">
        <f aca="false">IF(J636="","",J636^2)</f>
        <v/>
      </c>
    </row>
    <row r="637" customFormat="false" ht="15" hidden="false" customHeight="false" outlineLevel="0" collapsed="false">
      <c r="A637" s="16"/>
      <c r="B637" s="17"/>
      <c r="C637" s="17"/>
      <c r="D637" s="17"/>
      <c r="E637" s="17"/>
      <c r="F637" s="17"/>
      <c r="G637" s="17"/>
      <c r="H637" s="17"/>
      <c r="I637" s="17"/>
      <c r="J637" s="18" t="str">
        <f aca="false">IF(COUNT(E637:I637)&lt;5,"",SUM(E637:I637))</f>
        <v/>
      </c>
      <c r="K637" s="18" t="str">
        <f aca="false">IF(J637="","",IF(M637&lt;설정!$B$3,"",ROUND(AVERAGEIFS($J$2:$J$1001,$B$2:$B$1001,B637,$A$2:$A$1001,"&lt;"&amp;A637,$A$2:$A$1001,"&gt;="&amp;(A637-설정!$B$2)),2)))</f>
        <v/>
      </c>
      <c r="L637" s="18" t="str">
        <f aca="false">IF(K637="","",ROUND(SQRT(MAX(0,(SUMIFS($R$2:$R$1001,$B$2:$B$1001,B637,$A$2:$A$1001,"&lt;"&amp;A637,$A$2:$A$1001,"&gt;="&amp;(A637-설정!$B$2))-M637*AVERAGEIFS($J$2:$J$1001,$B$2:$B$1001,B637,$A$2:$A$1001,"&lt;"&amp;A637,$A$2:$A$1001,"&gt;="&amp;(A637-설정!$B$2))^2)/(M637-1))),2))</f>
        <v/>
      </c>
      <c r="M637" s="18" t="str">
        <f aca="false">IF(J637="","",COUNTIFS($B$2:$B$1001,B637,$A$2:$A$1001,"&lt;"&amp;A637,$A$2:$A$1001,"&gt;="&amp;(A637-설정!$B$2),$J$2:$J$1001,"&gt;=0"))</f>
        <v/>
      </c>
      <c r="N637" s="18" t="str">
        <f aca="false">IF(K637="","",IF(L637=0,"",ROUND((J637-K637)/L637,2)))</f>
        <v/>
      </c>
      <c r="O637" s="19" t="str">
        <f aca="false">IF(J637="","",IF(MIN(F637,G637)&lt;=설정!$B$5,"예",""))</f>
        <v/>
      </c>
      <c r="P637" s="19" t="str">
        <f aca="false">IF(J637="","",IF(M637&lt;설정!$B$3,"baseline 수집 중",IF(N637="","정상",IF(N637&lt;=설정!$B$4,"낮음","정상"))))</f>
        <v/>
      </c>
      <c r="Q637" s="20"/>
      <c r="R637" s="18" t="str">
        <f aca="false">IF(J637="","",J637^2)</f>
        <v/>
      </c>
    </row>
    <row r="638" customFormat="false" ht="15" hidden="false" customHeight="false" outlineLevel="0" collapsed="false">
      <c r="A638" s="16"/>
      <c r="B638" s="17"/>
      <c r="C638" s="17"/>
      <c r="D638" s="17"/>
      <c r="E638" s="17"/>
      <c r="F638" s="17"/>
      <c r="G638" s="17"/>
      <c r="H638" s="17"/>
      <c r="I638" s="17"/>
      <c r="J638" s="18" t="str">
        <f aca="false">IF(COUNT(E638:I638)&lt;5,"",SUM(E638:I638))</f>
        <v/>
      </c>
      <c r="K638" s="18" t="str">
        <f aca="false">IF(J638="","",IF(M638&lt;설정!$B$3,"",ROUND(AVERAGEIFS($J$2:$J$1001,$B$2:$B$1001,B638,$A$2:$A$1001,"&lt;"&amp;A638,$A$2:$A$1001,"&gt;="&amp;(A638-설정!$B$2)),2)))</f>
        <v/>
      </c>
      <c r="L638" s="18" t="str">
        <f aca="false">IF(K638="","",ROUND(SQRT(MAX(0,(SUMIFS($R$2:$R$1001,$B$2:$B$1001,B638,$A$2:$A$1001,"&lt;"&amp;A638,$A$2:$A$1001,"&gt;="&amp;(A638-설정!$B$2))-M638*AVERAGEIFS($J$2:$J$1001,$B$2:$B$1001,B638,$A$2:$A$1001,"&lt;"&amp;A638,$A$2:$A$1001,"&gt;="&amp;(A638-설정!$B$2))^2)/(M638-1))),2))</f>
        <v/>
      </c>
      <c r="M638" s="18" t="str">
        <f aca="false">IF(J638="","",COUNTIFS($B$2:$B$1001,B638,$A$2:$A$1001,"&lt;"&amp;A638,$A$2:$A$1001,"&gt;="&amp;(A638-설정!$B$2),$J$2:$J$1001,"&gt;=0"))</f>
        <v/>
      </c>
      <c r="N638" s="18" t="str">
        <f aca="false">IF(K638="","",IF(L638=0,"",ROUND((J638-K638)/L638,2)))</f>
        <v/>
      </c>
      <c r="O638" s="19" t="str">
        <f aca="false">IF(J638="","",IF(MIN(F638,G638)&lt;=설정!$B$5,"예",""))</f>
        <v/>
      </c>
      <c r="P638" s="19" t="str">
        <f aca="false">IF(J638="","",IF(M638&lt;설정!$B$3,"baseline 수집 중",IF(N638="","정상",IF(N638&lt;=설정!$B$4,"낮음","정상"))))</f>
        <v/>
      </c>
      <c r="Q638" s="20"/>
      <c r="R638" s="18" t="str">
        <f aca="false">IF(J638="","",J638^2)</f>
        <v/>
      </c>
    </row>
    <row r="639" customFormat="false" ht="15" hidden="false" customHeight="false" outlineLevel="0" collapsed="false">
      <c r="A639" s="16"/>
      <c r="B639" s="17"/>
      <c r="C639" s="17"/>
      <c r="D639" s="17"/>
      <c r="E639" s="17"/>
      <c r="F639" s="17"/>
      <c r="G639" s="17"/>
      <c r="H639" s="17"/>
      <c r="I639" s="17"/>
      <c r="J639" s="18" t="str">
        <f aca="false">IF(COUNT(E639:I639)&lt;5,"",SUM(E639:I639))</f>
        <v/>
      </c>
      <c r="K639" s="18" t="str">
        <f aca="false">IF(J639="","",IF(M639&lt;설정!$B$3,"",ROUND(AVERAGEIFS($J$2:$J$1001,$B$2:$B$1001,B639,$A$2:$A$1001,"&lt;"&amp;A639,$A$2:$A$1001,"&gt;="&amp;(A639-설정!$B$2)),2)))</f>
        <v/>
      </c>
      <c r="L639" s="18" t="str">
        <f aca="false">IF(K639="","",ROUND(SQRT(MAX(0,(SUMIFS($R$2:$R$1001,$B$2:$B$1001,B639,$A$2:$A$1001,"&lt;"&amp;A639,$A$2:$A$1001,"&gt;="&amp;(A639-설정!$B$2))-M639*AVERAGEIFS($J$2:$J$1001,$B$2:$B$1001,B639,$A$2:$A$1001,"&lt;"&amp;A639,$A$2:$A$1001,"&gt;="&amp;(A639-설정!$B$2))^2)/(M639-1))),2))</f>
        <v/>
      </c>
      <c r="M639" s="18" t="str">
        <f aca="false">IF(J639="","",COUNTIFS($B$2:$B$1001,B639,$A$2:$A$1001,"&lt;"&amp;A639,$A$2:$A$1001,"&gt;="&amp;(A639-설정!$B$2),$J$2:$J$1001,"&gt;=0"))</f>
        <v/>
      </c>
      <c r="N639" s="18" t="str">
        <f aca="false">IF(K639="","",IF(L639=0,"",ROUND((J639-K639)/L639,2)))</f>
        <v/>
      </c>
      <c r="O639" s="19" t="str">
        <f aca="false">IF(J639="","",IF(MIN(F639,G639)&lt;=설정!$B$5,"예",""))</f>
        <v/>
      </c>
      <c r="P639" s="19" t="str">
        <f aca="false">IF(J639="","",IF(M639&lt;설정!$B$3,"baseline 수집 중",IF(N639="","정상",IF(N639&lt;=설정!$B$4,"낮음","정상"))))</f>
        <v/>
      </c>
      <c r="Q639" s="20"/>
      <c r="R639" s="18" t="str">
        <f aca="false">IF(J639="","",J639^2)</f>
        <v/>
      </c>
    </row>
    <row r="640" customFormat="false" ht="15" hidden="false" customHeight="false" outlineLevel="0" collapsed="false">
      <c r="A640" s="16"/>
      <c r="B640" s="17"/>
      <c r="C640" s="17"/>
      <c r="D640" s="17"/>
      <c r="E640" s="17"/>
      <c r="F640" s="17"/>
      <c r="G640" s="17"/>
      <c r="H640" s="17"/>
      <c r="I640" s="17"/>
      <c r="J640" s="18" t="str">
        <f aca="false">IF(COUNT(E640:I640)&lt;5,"",SUM(E640:I640))</f>
        <v/>
      </c>
      <c r="K640" s="18" t="str">
        <f aca="false">IF(J640="","",IF(M640&lt;설정!$B$3,"",ROUND(AVERAGEIFS($J$2:$J$1001,$B$2:$B$1001,B640,$A$2:$A$1001,"&lt;"&amp;A640,$A$2:$A$1001,"&gt;="&amp;(A640-설정!$B$2)),2)))</f>
        <v/>
      </c>
      <c r="L640" s="18" t="str">
        <f aca="false">IF(K640="","",ROUND(SQRT(MAX(0,(SUMIFS($R$2:$R$1001,$B$2:$B$1001,B640,$A$2:$A$1001,"&lt;"&amp;A640,$A$2:$A$1001,"&gt;="&amp;(A640-설정!$B$2))-M640*AVERAGEIFS($J$2:$J$1001,$B$2:$B$1001,B640,$A$2:$A$1001,"&lt;"&amp;A640,$A$2:$A$1001,"&gt;="&amp;(A640-설정!$B$2))^2)/(M640-1))),2))</f>
        <v/>
      </c>
      <c r="M640" s="18" t="str">
        <f aca="false">IF(J640="","",COUNTIFS($B$2:$B$1001,B640,$A$2:$A$1001,"&lt;"&amp;A640,$A$2:$A$1001,"&gt;="&amp;(A640-설정!$B$2),$J$2:$J$1001,"&gt;=0"))</f>
        <v/>
      </c>
      <c r="N640" s="18" t="str">
        <f aca="false">IF(K640="","",IF(L640=0,"",ROUND((J640-K640)/L640,2)))</f>
        <v/>
      </c>
      <c r="O640" s="19" t="str">
        <f aca="false">IF(J640="","",IF(MIN(F640,G640)&lt;=설정!$B$5,"예",""))</f>
        <v/>
      </c>
      <c r="P640" s="19" t="str">
        <f aca="false">IF(J640="","",IF(M640&lt;설정!$B$3,"baseline 수집 중",IF(N640="","정상",IF(N640&lt;=설정!$B$4,"낮음","정상"))))</f>
        <v/>
      </c>
      <c r="Q640" s="20"/>
      <c r="R640" s="18" t="str">
        <f aca="false">IF(J640="","",J640^2)</f>
        <v/>
      </c>
    </row>
    <row r="641" customFormat="false" ht="15" hidden="false" customHeight="false" outlineLevel="0" collapsed="false">
      <c r="A641" s="16"/>
      <c r="B641" s="17"/>
      <c r="C641" s="17"/>
      <c r="D641" s="17"/>
      <c r="E641" s="17"/>
      <c r="F641" s="17"/>
      <c r="G641" s="17"/>
      <c r="H641" s="17"/>
      <c r="I641" s="17"/>
      <c r="J641" s="18" t="str">
        <f aca="false">IF(COUNT(E641:I641)&lt;5,"",SUM(E641:I641))</f>
        <v/>
      </c>
      <c r="K641" s="18" t="str">
        <f aca="false">IF(J641="","",IF(M641&lt;설정!$B$3,"",ROUND(AVERAGEIFS($J$2:$J$1001,$B$2:$B$1001,B641,$A$2:$A$1001,"&lt;"&amp;A641,$A$2:$A$1001,"&gt;="&amp;(A641-설정!$B$2)),2)))</f>
        <v/>
      </c>
      <c r="L641" s="18" t="str">
        <f aca="false">IF(K641="","",ROUND(SQRT(MAX(0,(SUMIFS($R$2:$R$1001,$B$2:$B$1001,B641,$A$2:$A$1001,"&lt;"&amp;A641,$A$2:$A$1001,"&gt;="&amp;(A641-설정!$B$2))-M641*AVERAGEIFS($J$2:$J$1001,$B$2:$B$1001,B641,$A$2:$A$1001,"&lt;"&amp;A641,$A$2:$A$1001,"&gt;="&amp;(A641-설정!$B$2))^2)/(M641-1))),2))</f>
        <v/>
      </c>
      <c r="M641" s="18" t="str">
        <f aca="false">IF(J641="","",COUNTIFS($B$2:$B$1001,B641,$A$2:$A$1001,"&lt;"&amp;A641,$A$2:$A$1001,"&gt;="&amp;(A641-설정!$B$2),$J$2:$J$1001,"&gt;=0"))</f>
        <v/>
      </c>
      <c r="N641" s="18" t="str">
        <f aca="false">IF(K641="","",IF(L641=0,"",ROUND((J641-K641)/L641,2)))</f>
        <v/>
      </c>
      <c r="O641" s="19" t="str">
        <f aca="false">IF(J641="","",IF(MIN(F641,G641)&lt;=설정!$B$5,"예",""))</f>
        <v/>
      </c>
      <c r="P641" s="19" t="str">
        <f aca="false">IF(J641="","",IF(M641&lt;설정!$B$3,"baseline 수집 중",IF(N641="","정상",IF(N641&lt;=설정!$B$4,"낮음","정상"))))</f>
        <v/>
      </c>
      <c r="Q641" s="20"/>
      <c r="R641" s="18" t="str">
        <f aca="false">IF(J641="","",J641^2)</f>
        <v/>
      </c>
    </row>
    <row r="642" customFormat="false" ht="15" hidden="false" customHeight="false" outlineLevel="0" collapsed="false">
      <c r="A642" s="16"/>
      <c r="B642" s="17"/>
      <c r="C642" s="17"/>
      <c r="D642" s="17"/>
      <c r="E642" s="17"/>
      <c r="F642" s="17"/>
      <c r="G642" s="17"/>
      <c r="H642" s="17"/>
      <c r="I642" s="17"/>
      <c r="J642" s="18" t="str">
        <f aca="false">IF(COUNT(E642:I642)&lt;5,"",SUM(E642:I642))</f>
        <v/>
      </c>
      <c r="K642" s="18" t="str">
        <f aca="false">IF(J642="","",IF(M642&lt;설정!$B$3,"",ROUND(AVERAGEIFS($J$2:$J$1001,$B$2:$B$1001,B642,$A$2:$A$1001,"&lt;"&amp;A642,$A$2:$A$1001,"&gt;="&amp;(A642-설정!$B$2)),2)))</f>
        <v/>
      </c>
      <c r="L642" s="18" t="str">
        <f aca="false">IF(K642="","",ROUND(SQRT(MAX(0,(SUMIFS($R$2:$R$1001,$B$2:$B$1001,B642,$A$2:$A$1001,"&lt;"&amp;A642,$A$2:$A$1001,"&gt;="&amp;(A642-설정!$B$2))-M642*AVERAGEIFS($J$2:$J$1001,$B$2:$B$1001,B642,$A$2:$A$1001,"&lt;"&amp;A642,$A$2:$A$1001,"&gt;="&amp;(A642-설정!$B$2))^2)/(M642-1))),2))</f>
        <v/>
      </c>
      <c r="M642" s="18" t="str">
        <f aca="false">IF(J642="","",COUNTIFS($B$2:$B$1001,B642,$A$2:$A$1001,"&lt;"&amp;A642,$A$2:$A$1001,"&gt;="&amp;(A642-설정!$B$2),$J$2:$J$1001,"&gt;=0"))</f>
        <v/>
      </c>
      <c r="N642" s="18" t="str">
        <f aca="false">IF(K642="","",IF(L642=0,"",ROUND((J642-K642)/L642,2)))</f>
        <v/>
      </c>
      <c r="O642" s="19" t="str">
        <f aca="false">IF(J642="","",IF(MIN(F642,G642)&lt;=설정!$B$5,"예",""))</f>
        <v/>
      </c>
      <c r="P642" s="19" t="str">
        <f aca="false">IF(J642="","",IF(M642&lt;설정!$B$3,"baseline 수집 중",IF(N642="","정상",IF(N642&lt;=설정!$B$4,"낮음","정상"))))</f>
        <v/>
      </c>
      <c r="Q642" s="20"/>
      <c r="R642" s="18" t="str">
        <f aca="false">IF(J642="","",J642^2)</f>
        <v/>
      </c>
    </row>
    <row r="643" customFormat="false" ht="15" hidden="false" customHeight="false" outlineLevel="0" collapsed="false">
      <c r="A643" s="16"/>
      <c r="B643" s="17"/>
      <c r="C643" s="17"/>
      <c r="D643" s="17"/>
      <c r="E643" s="17"/>
      <c r="F643" s="17"/>
      <c r="G643" s="17"/>
      <c r="H643" s="17"/>
      <c r="I643" s="17"/>
      <c r="J643" s="18" t="str">
        <f aca="false">IF(COUNT(E643:I643)&lt;5,"",SUM(E643:I643))</f>
        <v/>
      </c>
      <c r="K643" s="18" t="str">
        <f aca="false">IF(J643="","",IF(M643&lt;설정!$B$3,"",ROUND(AVERAGEIFS($J$2:$J$1001,$B$2:$B$1001,B643,$A$2:$A$1001,"&lt;"&amp;A643,$A$2:$A$1001,"&gt;="&amp;(A643-설정!$B$2)),2)))</f>
        <v/>
      </c>
      <c r="L643" s="18" t="str">
        <f aca="false">IF(K643="","",ROUND(SQRT(MAX(0,(SUMIFS($R$2:$R$1001,$B$2:$B$1001,B643,$A$2:$A$1001,"&lt;"&amp;A643,$A$2:$A$1001,"&gt;="&amp;(A643-설정!$B$2))-M643*AVERAGEIFS($J$2:$J$1001,$B$2:$B$1001,B643,$A$2:$A$1001,"&lt;"&amp;A643,$A$2:$A$1001,"&gt;="&amp;(A643-설정!$B$2))^2)/(M643-1))),2))</f>
        <v/>
      </c>
      <c r="M643" s="18" t="str">
        <f aca="false">IF(J643="","",COUNTIFS($B$2:$B$1001,B643,$A$2:$A$1001,"&lt;"&amp;A643,$A$2:$A$1001,"&gt;="&amp;(A643-설정!$B$2),$J$2:$J$1001,"&gt;=0"))</f>
        <v/>
      </c>
      <c r="N643" s="18" t="str">
        <f aca="false">IF(K643="","",IF(L643=0,"",ROUND((J643-K643)/L643,2)))</f>
        <v/>
      </c>
      <c r="O643" s="19" t="str">
        <f aca="false">IF(J643="","",IF(MIN(F643,G643)&lt;=설정!$B$5,"예",""))</f>
        <v/>
      </c>
      <c r="P643" s="19" t="str">
        <f aca="false">IF(J643="","",IF(M643&lt;설정!$B$3,"baseline 수집 중",IF(N643="","정상",IF(N643&lt;=설정!$B$4,"낮음","정상"))))</f>
        <v/>
      </c>
      <c r="Q643" s="20"/>
      <c r="R643" s="18" t="str">
        <f aca="false">IF(J643="","",J643^2)</f>
        <v/>
      </c>
    </row>
    <row r="644" customFormat="false" ht="15" hidden="false" customHeight="false" outlineLevel="0" collapsed="false">
      <c r="A644" s="16"/>
      <c r="B644" s="17"/>
      <c r="C644" s="17"/>
      <c r="D644" s="17"/>
      <c r="E644" s="17"/>
      <c r="F644" s="17"/>
      <c r="G644" s="17"/>
      <c r="H644" s="17"/>
      <c r="I644" s="17"/>
      <c r="J644" s="18" t="str">
        <f aca="false">IF(COUNT(E644:I644)&lt;5,"",SUM(E644:I644))</f>
        <v/>
      </c>
      <c r="K644" s="18" t="str">
        <f aca="false">IF(J644="","",IF(M644&lt;설정!$B$3,"",ROUND(AVERAGEIFS($J$2:$J$1001,$B$2:$B$1001,B644,$A$2:$A$1001,"&lt;"&amp;A644,$A$2:$A$1001,"&gt;="&amp;(A644-설정!$B$2)),2)))</f>
        <v/>
      </c>
      <c r="L644" s="18" t="str">
        <f aca="false">IF(K644="","",ROUND(SQRT(MAX(0,(SUMIFS($R$2:$R$1001,$B$2:$B$1001,B644,$A$2:$A$1001,"&lt;"&amp;A644,$A$2:$A$1001,"&gt;="&amp;(A644-설정!$B$2))-M644*AVERAGEIFS($J$2:$J$1001,$B$2:$B$1001,B644,$A$2:$A$1001,"&lt;"&amp;A644,$A$2:$A$1001,"&gt;="&amp;(A644-설정!$B$2))^2)/(M644-1))),2))</f>
        <v/>
      </c>
      <c r="M644" s="18" t="str">
        <f aca="false">IF(J644="","",COUNTIFS($B$2:$B$1001,B644,$A$2:$A$1001,"&lt;"&amp;A644,$A$2:$A$1001,"&gt;="&amp;(A644-설정!$B$2),$J$2:$J$1001,"&gt;=0"))</f>
        <v/>
      </c>
      <c r="N644" s="18" t="str">
        <f aca="false">IF(K644="","",IF(L644=0,"",ROUND((J644-K644)/L644,2)))</f>
        <v/>
      </c>
      <c r="O644" s="19" t="str">
        <f aca="false">IF(J644="","",IF(MIN(F644,G644)&lt;=설정!$B$5,"예",""))</f>
        <v/>
      </c>
      <c r="P644" s="19" t="str">
        <f aca="false">IF(J644="","",IF(M644&lt;설정!$B$3,"baseline 수집 중",IF(N644="","정상",IF(N644&lt;=설정!$B$4,"낮음","정상"))))</f>
        <v/>
      </c>
      <c r="Q644" s="20"/>
      <c r="R644" s="18" t="str">
        <f aca="false">IF(J644="","",J644^2)</f>
        <v/>
      </c>
    </row>
    <row r="645" customFormat="false" ht="15" hidden="false" customHeight="false" outlineLevel="0" collapsed="false">
      <c r="A645" s="16"/>
      <c r="B645" s="17"/>
      <c r="C645" s="17"/>
      <c r="D645" s="17"/>
      <c r="E645" s="17"/>
      <c r="F645" s="17"/>
      <c r="G645" s="17"/>
      <c r="H645" s="17"/>
      <c r="I645" s="17"/>
      <c r="J645" s="18" t="str">
        <f aca="false">IF(COUNT(E645:I645)&lt;5,"",SUM(E645:I645))</f>
        <v/>
      </c>
      <c r="K645" s="18" t="str">
        <f aca="false">IF(J645="","",IF(M645&lt;설정!$B$3,"",ROUND(AVERAGEIFS($J$2:$J$1001,$B$2:$B$1001,B645,$A$2:$A$1001,"&lt;"&amp;A645,$A$2:$A$1001,"&gt;="&amp;(A645-설정!$B$2)),2)))</f>
        <v/>
      </c>
      <c r="L645" s="18" t="str">
        <f aca="false">IF(K645="","",ROUND(SQRT(MAX(0,(SUMIFS($R$2:$R$1001,$B$2:$B$1001,B645,$A$2:$A$1001,"&lt;"&amp;A645,$A$2:$A$1001,"&gt;="&amp;(A645-설정!$B$2))-M645*AVERAGEIFS($J$2:$J$1001,$B$2:$B$1001,B645,$A$2:$A$1001,"&lt;"&amp;A645,$A$2:$A$1001,"&gt;="&amp;(A645-설정!$B$2))^2)/(M645-1))),2))</f>
        <v/>
      </c>
      <c r="M645" s="18" t="str">
        <f aca="false">IF(J645="","",COUNTIFS($B$2:$B$1001,B645,$A$2:$A$1001,"&lt;"&amp;A645,$A$2:$A$1001,"&gt;="&amp;(A645-설정!$B$2),$J$2:$J$1001,"&gt;=0"))</f>
        <v/>
      </c>
      <c r="N645" s="18" t="str">
        <f aca="false">IF(K645="","",IF(L645=0,"",ROUND((J645-K645)/L645,2)))</f>
        <v/>
      </c>
      <c r="O645" s="19" t="str">
        <f aca="false">IF(J645="","",IF(MIN(F645,G645)&lt;=설정!$B$5,"예",""))</f>
        <v/>
      </c>
      <c r="P645" s="19" t="str">
        <f aca="false">IF(J645="","",IF(M645&lt;설정!$B$3,"baseline 수집 중",IF(N645="","정상",IF(N645&lt;=설정!$B$4,"낮음","정상"))))</f>
        <v/>
      </c>
      <c r="Q645" s="20"/>
      <c r="R645" s="18" t="str">
        <f aca="false">IF(J645="","",J645^2)</f>
        <v/>
      </c>
    </row>
    <row r="646" customFormat="false" ht="15" hidden="false" customHeight="false" outlineLevel="0" collapsed="false">
      <c r="A646" s="16"/>
      <c r="B646" s="17"/>
      <c r="C646" s="17"/>
      <c r="D646" s="17"/>
      <c r="E646" s="17"/>
      <c r="F646" s="17"/>
      <c r="G646" s="17"/>
      <c r="H646" s="17"/>
      <c r="I646" s="17"/>
      <c r="J646" s="18" t="str">
        <f aca="false">IF(COUNT(E646:I646)&lt;5,"",SUM(E646:I646))</f>
        <v/>
      </c>
      <c r="K646" s="18" t="str">
        <f aca="false">IF(J646="","",IF(M646&lt;설정!$B$3,"",ROUND(AVERAGEIFS($J$2:$J$1001,$B$2:$B$1001,B646,$A$2:$A$1001,"&lt;"&amp;A646,$A$2:$A$1001,"&gt;="&amp;(A646-설정!$B$2)),2)))</f>
        <v/>
      </c>
      <c r="L646" s="18" t="str">
        <f aca="false">IF(K646="","",ROUND(SQRT(MAX(0,(SUMIFS($R$2:$R$1001,$B$2:$B$1001,B646,$A$2:$A$1001,"&lt;"&amp;A646,$A$2:$A$1001,"&gt;="&amp;(A646-설정!$B$2))-M646*AVERAGEIFS($J$2:$J$1001,$B$2:$B$1001,B646,$A$2:$A$1001,"&lt;"&amp;A646,$A$2:$A$1001,"&gt;="&amp;(A646-설정!$B$2))^2)/(M646-1))),2))</f>
        <v/>
      </c>
      <c r="M646" s="18" t="str">
        <f aca="false">IF(J646="","",COUNTIFS($B$2:$B$1001,B646,$A$2:$A$1001,"&lt;"&amp;A646,$A$2:$A$1001,"&gt;="&amp;(A646-설정!$B$2),$J$2:$J$1001,"&gt;=0"))</f>
        <v/>
      </c>
      <c r="N646" s="18" t="str">
        <f aca="false">IF(K646="","",IF(L646=0,"",ROUND((J646-K646)/L646,2)))</f>
        <v/>
      </c>
      <c r="O646" s="19" t="str">
        <f aca="false">IF(J646="","",IF(MIN(F646,G646)&lt;=설정!$B$5,"예",""))</f>
        <v/>
      </c>
      <c r="P646" s="19" t="str">
        <f aca="false">IF(J646="","",IF(M646&lt;설정!$B$3,"baseline 수집 중",IF(N646="","정상",IF(N646&lt;=설정!$B$4,"낮음","정상"))))</f>
        <v/>
      </c>
      <c r="Q646" s="20"/>
      <c r="R646" s="18" t="str">
        <f aca="false">IF(J646="","",J646^2)</f>
        <v/>
      </c>
    </row>
    <row r="647" customFormat="false" ht="15" hidden="false" customHeight="false" outlineLevel="0" collapsed="false">
      <c r="A647" s="16"/>
      <c r="B647" s="17"/>
      <c r="C647" s="17"/>
      <c r="D647" s="17"/>
      <c r="E647" s="17"/>
      <c r="F647" s="17"/>
      <c r="G647" s="17"/>
      <c r="H647" s="17"/>
      <c r="I647" s="17"/>
      <c r="J647" s="18" t="str">
        <f aca="false">IF(COUNT(E647:I647)&lt;5,"",SUM(E647:I647))</f>
        <v/>
      </c>
      <c r="K647" s="18" t="str">
        <f aca="false">IF(J647="","",IF(M647&lt;설정!$B$3,"",ROUND(AVERAGEIFS($J$2:$J$1001,$B$2:$B$1001,B647,$A$2:$A$1001,"&lt;"&amp;A647,$A$2:$A$1001,"&gt;="&amp;(A647-설정!$B$2)),2)))</f>
        <v/>
      </c>
      <c r="L647" s="18" t="str">
        <f aca="false">IF(K647="","",ROUND(SQRT(MAX(0,(SUMIFS($R$2:$R$1001,$B$2:$B$1001,B647,$A$2:$A$1001,"&lt;"&amp;A647,$A$2:$A$1001,"&gt;="&amp;(A647-설정!$B$2))-M647*AVERAGEIFS($J$2:$J$1001,$B$2:$B$1001,B647,$A$2:$A$1001,"&lt;"&amp;A647,$A$2:$A$1001,"&gt;="&amp;(A647-설정!$B$2))^2)/(M647-1))),2))</f>
        <v/>
      </c>
      <c r="M647" s="18" t="str">
        <f aca="false">IF(J647="","",COUNTIFS($B$2:$B$1001,B647,$A$2:$A$1001,"&lt;"&amp;A647,$A$2:$A$1001,"&gt;="&amp;(A647-설정!$B$2),$J$2:$J$1001,"&gt;=0"))</f>
        <v/>
      </c>
      <c r="N647" s="18" t="str">
        <f aca="false">IF(K647="","",IF(L647=0,"",ROUND((J647-K647)/L647,2)))</f>
        <v/>
      </c>
      <c r="O647" s="19" t="str">
        <f aca="false">IF(J647="","",IF(MIN(F647,G647)&lt;=설정!$B$5,"예",""))</f>
        <v/>
      </c>
      <c r="P647" s="19" t="str">
        <f aca="false">IF(J647="","",IF(M647&lt;설정!$B$3,"baseline 수집 중",IF(N647="","정상",IF(N647&lt;=설정!$B$4,"낮음","정상"))))</f>
        <v/>
      </c>
      <c r="Q647" s="20"/>
      <c r="R647" s="18" t="str">
        <f aca="false">IF(J647="","",J647^2)</f>
        <v/>
      </c>
    </row>
    <row r="648" customFormat="false" ht="15" hidden="false" customHeight="false" outlineLevel="0" collapsed="false">
      <c r="A648" s="16"/>
      <c r="B648" s="17"/>
      <c r="C648" s="17"/>
      <c r="D648" s="17"/>
      <c r="E648" s="17"/>
      <c r="F648" s="17"/>
      <c r="G648" s="17"/>
      <c r="H648" s="17"/>
      <c r="I648" s="17"/>
      <c r="J648" s="18" t="str">
        <f aca="false">IF(COUNT(E648:I648)&lt;5,"",SUM(E648:I648))</f>
        <v/>
      </c>
      <c r="K648" s="18" t="str">
        <f aca="false">IF(J648="","",IF(M648&lt;설정!$B$3,"",ROUND(AVERAGEIFS($J$2:$J$1001,$B$2:$B$1001,B648,$A$2:$A$1001,"&lt;"&amp;A648,$A$2:$A$1001,"&gt;="&amp;(A648-설정!$B$2)),2)))</f>
        <v/>
      </c>
      <c r="L648" s="18" t="str">
        <f aca="false">IF(K648="","",ROUND(SQRT(MAX(0,(SUMIFS($R$2:$R$1001,$B$2:$B$1001,B648,$A$2:$A$1001,"&lt;"&amp;A648,$A$2:$A$1001,"&gt;="&amp;(A648-설정!$B$2))-M648*AVERAGEIFS($J$2:$J$1001,$B$2:$B$1001,B648,$A$2:$A$1001,"&lt;"&amp;A648,$A$2:$A$1001,"&gt;="&amp;(A648-설정!$B$2))^2)/(M648-1))),2))</f>
        <v/>
      </c>
      <c r="M648" s="18" t="str">
        <f aca="false">IF(J648="","",COUNTIFS($B$2:$B$1001,B648,$A$2:$A$1001,"&lt;"&amp;A648,$A$2:$A$1001,"&gt;="&amp;(A648-설정!$B$2),$J$2:$J$1001,"&gt;=0"))</f>
        <v/>
      </c>
      <c r="N648" s="18" t="str">
        <f aca="false">IF(K648="","",IF(L648=0,"",ROUND((J648-K648)/L648,2)))</f>
        <v/>
      </c>
      <c r="O648" s="19" t="str">
        <f aca="false">IF(J648="","",IF(MIN(F648,G648)&lt;=설정!$B$5,"예",""))</f>
        <v/>
      </c>
      <c r="P648" s="19" t="str">
        <f aca="false">IF(J648="","",IF(M648&lt;설정!$B$3,"baseline 수집 중",IF(N648="","정상",IF(N648&lt;=설정!$B$4,"낮음","정상"))))</f>
        <v/>
      </c>
      <c r="Q648" s="20"/>
      <c r="R648" s="18" t="str">
        <f aca="false">IF(J648="","",J648^2)</f>
        <v/>
      </c>
    </row>
    <row r="649" customFormat="false" ht="15" hidden="false" customHeight="false" outlineLevel="0" collapsed="false">
      <c r="A649" s="16"/>
      <c r="B649" s="17"/>
      <c r="C649" s="17"/>
      <c r="D649" s="17"/>
      <c r="E649" s="17"/>
      <c r="F649" s="17"/>
      <c r="G649" s="17"/>
      <c r="H649" s="17"/>
      <c r="I649" s="17"/>
      <c r="J649" s="18" t="str">
        <f aca="false">IF(COUNT(E649:I649)&lt;5,"",SUM(E649:I649))</f>
        <v/>
      </c>
      <c r="K649" s="18" t="str">
        <f aca="false">IF(J649="","",IF(M649&lt;설정!$B$3,"",ROUND(AVERAGEIFS($J$2:$J$1001,$B$2:$B$1001,B649,$A$2:$A$1001,"&lt;"&amp;A649,$A$2:$A$1001,"&gt;="&amp;(A649-설정!$B$2)),2)))</f>
        <v/>
      </c>
      <c r="L649" s="18" t="str">
        <f aca="false">IF(K649="","",ROUND(SQRT(MAX(0,(SUMIFS($R$2:$R$1001,$B$2:$B$1001,B649,$A$2:$A$1001,"&lt;"&amp;A649,$A$2:$A$1001,"&gt;="&amp;(A649-설정!$B$2))-M649*AVERAGEIFS($J$2:$J$1001,$B$2:$B$1001,B649,$A$2:$A$1001,"&lt;"&amp;A649,$A$2:$A$1001,"&gt;="&amp;(A649-설정!$B$2))^2)/(M649-1))),2))</f>
        <v/>
      </c>
      <c r="M649" s="18" t="str">
        <f aca="false">IF(J649="","",COUNTIFS($B$2:$B$1001,B649,$A$2:$A$1001,"&lt;"&amp;A649,$A$2:$A$1001,"&gt;="&amp;(A649-설정!$B$2),$J$2:$J$1001,"&gt;=0"))</f>
        <v/>
      </c>
      <c r="N649" s="18" t="str">
        <f aca="false">IF(K649="","",IF(L649=0,"",ROUND((J649-K649)/L649,2)))</f>
        <v/>
      </c>
      <c r="O649" s="19" t="str">
        <f aca="false">IF(J649="","",IF(MIN(F649,G649)&lt;=설정!$B$5,"예",""))</f>
        <v/>
      </c>
      <c r="P649" s="19" t="str">
        <f aca="false">IF(J649="","",IF(M649&lt;설정!$B$3,"baseline 수집 중",IF(N649="","정상",IF(N649&lt;=설정!$B$4,"낮음","정상"))))</f>
        <v/>
      </c>
      <c r="Q649" s="20"/>
      <c r="R649" s="18" t="str">
        <f aca="false">IF(J649="","",J649^2)</f>
        <v/>
      </c>
    </row>
    <row r="650" customFormat="false" ht="15" hidden="false" customHeight="false" outlineLevel="0" collapsed="false">
      <c r="A650" s="16"/>
      <c r="B650" s="17"/>
      <c r="C650" s="17"/>
      <c r="D650" s="17"/>
      <c r="E650" s="17"/>
      <c r="F650" s="17"/>
      <c r="G650" s="17"/>
      <c r="H650" s="17"/>
      <c r="I650" s="17"/>
      <c r="J650" s="18" t="str">
        <f aca="false">IF(COUNT(E650:I650)&lt;5,"",SUM(E650:I650))</f>
        <v/>
      </c>
      <c r="K650" s="18" t="str">
        <f aca="false">IF(J650="","",IF(M650&lt;설정!$B$3,"",ROUND(AVERAGEIFS($J$2:$J$1001,$B$2:$B$1001,B650,$A$2:$A$1001,"&lt;"&amp;A650,$A$2:$A$1001,"&gt;="&amp;(A650-설정!$B$2)),2)))</f>
        <v/>
      </c>
      <c r="L650" s="18" t="str">
        <f aca="false">IF(K650="","",ROUND(SQRT(MAX(0,(SUMIFS($R$2:$R$1001,$B$2:$B$1001,B650,$A$2:$A$1001,"&lt;"&amp;A650,$A$2:$A$1001,"&gt;="&amp;(A650-설정!$B$2))-M650*AVERAGEIFS($J$2:$J$1001,$B$2:$B$1001,B650,$A$2:$A$1001,"&lt;"&amp;A650,$A$2:$A$1001,"&gt;="&amp;(A650-설정!$B$2))^2)/(M650-1))),2))</f>
        <v/>
      </c>
      <c r="M650" s="18" t="str">
        <f aca="false">IF(J650="","",COUNTIFS($B$2:$B$1001,B650,$A$2:$A$1001,"&lt;"&amp;A650,$A$2:$A$1001,"&gt;="&amp;(A650-설정!$B$2),$J$2:$J$1001,"&gt;=0"))</f>
        <v/>
      </c>
      <c r="N650" s="18" t="str">
        <f aca="false">IF(K650="","",IF(L650=0,"",ROUND((J650-K650)/L650,2)))</f>
        <v/>
      </c>
      <c r="O650" s="19" t="str">
        <f aca="false">IF(J650="","",IF(MIN(F650,G650)&lt;=설정!$B$5,"예",""))</f>
        <v/>
      </c>
      <c r="P650" s="19" t="str">
        <f aca="false">IF(J650="","",IF(M650&lt;설정!$B$3,"baseline 수집 중",IF(N650="","정상",IF(N650&lt;=설정!$B$4,"낮음","정상"))))</f>
        <v/>
      </c>
      <c r="Q650" s="20"/>
      <c r="R650" s="18" t="str">
        <f aca="false">IF(J650="","",J650^2)</f>
        <v/>
      </c>
    </row>
    <row r="651" customFormat="false" ht="15" hidden="false" customHeight="false" outlineLevel="0" collapsed="false">
      <c r="A651" s="16"/>
      <c r="B651" s="17"/>
      <c r="C651" s="17"/>
      <c r="D651" s="17"/>
      <c r="E651" s="17"/>
      <c r="F651" s="17"/>
      <c r="G651" s="17"/>
      <c r="H651" s="17"/>
      <c r="I651" s="17"/>
      <c r="J651" s="18" t="str">
        <f aca="false">IF(COUNT(E651:I651)&lt;5,"",SUM(E651:I651))</f>
        <v/>
      </c>
      <c r="K651" s="18" t="str">
        <f aca="false">IF(J651="","",IF(M651&lt;설정!$B$3,"",ROUND(AVERAGEIFS($J$2:$J$1001,$B$2:$B$1001,B651,$A$2:$A$1001,"&lt;"&amp;A651,$A$2:$A$1001,"&gt;="&amp;(A651-설정!$B$2)),2)))</f>
        <v/>
      </c>
      <c r="L651" s="18" t="str">
        <f aca="false">IF(K651="","",ROUND(SQRT(MAX(0,(SUMIFS($R$2:$R$1001,$B$2:$B$1001,B651,$A$2:$A$1001,"&lt;"&amp;A651,$A$2:$A$1001,"&gt;="&amp;(A651-설정!$B$2))-M651*AVERAGEIFS($J$2:$J$1001,$B$2:$B$1001,B651,$A$2:$A$1001,"&lt;"&amp;A651,$A$2:$A$1001,"&gt;="&amp;(A651-설정!$B$2))^2)/(M651-1))),2))</f>
        <v/>
      </c>
      <c r="M651" s="18" t="str">
        <f aca="false">IF(J651="","",COUNTIFS($B$2:$B$1001,B651,$A$2:$A$1001,"&lt;"&amp;A651,$A$2:$A$1001,"&gt;="&amp;(A651-설정!$B$2),$J$2:$J$1001,"&gt;=0"))</f>
        <v/>
      </c>
      <c r="N651" s="18" t="str">
        <f aca="false">IF(K651="","",IF(L651=0,"",ROUND((J651-K651)/L651,2)))</f>
        <v/>
      </c>
      <c r="O651" s="19" t="str">
        <f aca="false">IF(J651="","",IF(MIN(F651,G651)&lt;=설정!$B$5,"예",""))</f>
        <v/>
      </c>
      <c r="P651" s="19" t="str">
        <f aca="false">IF(J651="","",IF(M651&lt;설정!$B$3,"baseline 수집 중",IF(N651="","정상",IF(N651&lt;=설정!$B$4,"낮음","정상"))))</f>
        <v/>
      </c>
      <c r="Q651" s="20"/>
      <c r="R651" s="18" t="str">
        <f aca="false">IF(J651="","",J651^2)</f>
        <v/>
      </c>
    </row>
    <row r="652" customFormat="false" ht="15" hidden="false" customHeight="false" outlineLevel="0" collapsed="false">
      <c r="A652" s="16"/>
      <c r="B652" s="17"/>
      <c r="C652" s="17"/>
      <c r="D652" s="17"/>
      <c r="E652" s="17"/>
      <c r="F652" s="17"/>
      <c r="G652" s="17"/>
      <c r="H652" s="17"/>
      <c r="I652" s="17"/>
      <c r="J652" s="18" t="str">
        <f aca="false">IF(COUNT(E652:I652)&lt;5,"",SUM(E652:I652))</f>
        <v/>
      </c>
      <c r="K652" s="18" t="str">
        <f aca="false">IF(J652="","",IF(M652&lt;설정!$B$3,"",ROUND(AVERAGEIFS($J$2:$J$1001,$B$2:$B$1001,B652,$A$2:$A$1001,"&lt;"&amp;A652,$A$2:$A$1001,"&gt;="&amp;(A652-설정!$B$2)),2)))</f>
        <v/>
      </c>
      <c r="L652" s="18" t="str">
        <f aca="false">IF(K652="","",ROUND(SQRT(MAX(0,(SUMIFS($R$2:$R$1001,$B$2:$B$1001,B652,$A$2:$A$1001,"&lt;"&amp;A652,$A$2:$A$1001,"&gt;="&amp;(A652-설정!$B$2))-M652*AVERAGEIFS($J$2:$J$1001,$B$2:$B$1001,B652,$A$2:$A$1001,"&lt;"&amp;A652,$A$2:$A$1001,"&gt;="&amp;(A652-설정!$B$2))^2)/(M652-1))),2))</f>
        <v/>
      </c>
      <c r="M652" s="18" t="str">
        <f aca="false">IF(J652="","",COUNTIFS($B$2:$B$1001,B652,$A$2:$A$1001,"&lt;"&amp;A652,$A$2:$A$1001,"&gt;="&amp;(A652-설정!$B$2),$J$2:$J$1001,"&gt;=0"))</f>
        <v/>
      </c>
      <c r="N652" s="18" t="str">
        <f aca="false">IF(K652="","",IF(L652=0,"",ROUND((J652-K652)/L652,2)))</f>
        <v/>
      </c>
      <c r="O652" s="19" t="str">
        <f aca="false">IF(J652="","",IF(MIN(F652,G652)&lt;=설정!$B$5,"예",""))</f>
        <v/>
      </c>
      <c r="P652" s="19" t="str">
        <f aca="false">IF(J652="","",IF(M652&lt;설정!$B$3,"baseline 수집 중",IF(N652="","정상",IF(N652&lt;=설정!$B$4,"낮음","정상"))))</f>
        <v/>
      </c>
      <c r="Q652" s="20"/>
      <c r="R652" s="18" t="str">
        <f aca="false">IF(J652="","",J652^2)</f>
        <v/>
      </c>
    </row>
    <row r="653" customFormat="false" ht="15" hidden="false" customHeight="false" outlineLevel="0" collapsed="false">
      <c r="A653" s="16"/>
      <c r="B653" s="17"/>
      <c r="C653" s="17"/>
      <c r="D653" s="17"/>
      <c r="E653" s="17"/>
      <c r="F653" s="17"/>
      <c r="G653" s="17"/>
      <c r="H653" s="17"/>
      <c r="I653" s="17"/>
      <c r="J653" s="18" t="str">
        <f aca="false">IF(COUNT(E653:I653)&lt;5,"",SUM(E653:I653))</f>
        <v/>
      </c>
      <c r="K653" s="18" t="str">
        <f aca="false">IF(J653="","",IF(M653&lt;설정!$B$3,"",ROUND(AVERAGEIFS($J$2:$J$1001,$B$2:$B$1001,B653,$A$2:$A$1001,"&lt;"&amp;A653,$A$2:$A$1001,"&gt;="&amp;(A653-설정!$B$2)),2)))</f>
        <v/>
      </c>
      <c r="L653" s="18" t="str">
        <f aca="false">IF(K653="","",ROUND(SQRT(MAX(0,(SUMIFS($R$2:$R$1001,$B$2:$B$1001,B653,$A$2:$A$1001,"&lt;"&amp;A653,$A$2:$A$1001,"&gt;="&amp;(A653-설정!$B$2))-M653*AVERAGEIFS($J$2:$J$1001,$B$2:$B$1001,B653,$A$2:$A$1001,"&lt;"&amp;A653,$A$2:$A$1001,"&gt;="&amp;(A653-설정!$B$2))^2)/(M653-1))),2))</f>
        <v/>
      </c>
      <c r="M653" s="18" t="str">
        <f aca="false">IF(J653="","",COUNTIFS($B$2:$B$1001,B653,$A$2:$A$1001,"&lt;"&amp;A653,$A$2:$A$1001,"&gt;="&amp;(A653-설정!$B$2),$J$2:$J$1001,"&gt;=0"))</f>
        <v/>
      </c>
      <c r="N653" s="18" t="str">
        <f aca="false">IF(K653="","",IF(L653=0,"",ROUND((J653-K653)/L653,2)))</f>
        <v/>
      </c>
      <c r="O653" s="19" t="str">
        <f aca="false">IF(J653="","",IF(MIN(F653,G653)&lt;=설정!$B$5,"예",""))</f>
        <v/>
      </c>
      <c r="P653" s="19" t="str">
        <f aca="false">IF(J653="","",IF(M653&lt;설정!$B$3,"baseline 수집 중",IF(N653="","정상",IF(N653&lt;=설정!$B$4,"낮음","정상"))))</f>
        <v/>
      </c>
      <c r="Q653" s="20"/>
      <c r="R653" s="18" t="str">
        <f aca="false">IF(J653="","",J653^2)</f>
        <v/>
      </c>
    </row>
    <row r="654" customFormat="false" ht="15" hidden="false" customHeight="false" outlineLevel="0" collapsed="false">
      <c r="A654" s="16"/>
      <c r="B654" s="17"/>
      <c r="C654" s="17"/>
      <c r="D654" s="17"/>
      <c r="E654" s="17"/>
      <c r="F654" s="17"/>
      <c r="G654" s="17"/>
      <c r="H654" s="17"/>
      <c r="I654" s="17"/>
      <c r="J654" s="18" t="str">
        <f aca="false">IF(COUNT(E654:I654)&lt;5,"",SUM(E654:I654))</f>
        <v/>
      </c>
      <c r="K654" s="18" t="str">
        <f aca="false">IF(J654="","",IF(M654&lt;설정!$B$3,"",ROUND(AVERAGEIFS($J$2:$J$1001,$B$2:$B$1001,B654,$A$2:$A$1001,"&lt;"&amp;A654,$A$2:$A$1001,"&gt;="&amp;(A654-설정!$B$2)),2)))</f>
        <v/>
      </c>
      <c r="L654" s="18" t="str">
        <f aca="false">IF(K654="","",ROUND(SQRT(MAX(0,(SUMIFS($R$2:$R$1001,$B$2:$B$1001,B654,$A$2:$A$1001,"&lt;"&amp;A654,$A$2:$A$1001,"&gt;="&amp;(A654-설정!$B$2))-M654*AVERAGEIFS($J$2:$J$1001,$B$2:$B$1001,B654,$A$2:$A$1001,"&lt;"&amp;A654,$A$2:$A$1001,"&gt;="&amp;(A654-설정!$B$2))^2)/(M654-1))),2))</f>
        <v/>
      </c>
      <c r="M654" s="18" t="str">
        <f aca="false">IF(J654="","",COUNTIFS($B$2:$B$1001,B654,$A$2:$A$1001,"&lt;"&amp;A654,$A$2:$A$1001,"&gt;="&amp;(A654-설정!$B$2),$J$2:$J$1001,"&gt;=0"))</f>
        <v/>
      </c>
      <c r="N654" s="18" t="str">
        <f aca="false">IF(K654="","",IF(L654=0,"",ROUND((J654-K654)/L654,2)))</f>
        <v/>
      </c>
      <c r="O654" s="19" t="str">
        <f aca="false">IF(J654="","",IF(MIN(F654,G654)&lt;=설정!$B$5,"예",""))</f>
        <v/>
      </c>
      <c r="P654" s="19" t="str">
        <f aca="false">IF(J654="","",IF(M654&lt;설정!$B$3,"baseline 수집 중",IF(N654="","정상",IF(N654&lt;=설정!$B$4,"낮음","정상"))))</f>
        <v/>
      </c>
      <c r="Q654" s="20"/>
      <c r="R654" s="18" t="str">
        <f aca="false">IF(J654="","",J654^2)</f>
        <v/>
      </c>
    </row>
    <row r="655" customFormat="false" ht="15" hidden="false" customHeight="false" outlineLevel="0" collapsed="false">
      <c r="A655" s="16"/>
      <c r="B655" s="17"/>
      <c r="C655" s="17"/>
      <c r="D655" s="17"/>
      <c r="E655" s="17"/>
      <c r="F655" s="17"/>
      <c r="G655" s="17"/>
      <c r="H655" s="17"/>
      <c r="I655" s="17"/>
      <c r="J655" s="18" t="str">
        <f aca="false">IF(COUNT(E655:I655)&lt;5,"",SUM(E655:I655))</f>
        <v/>
      </c>
      <c r="K655" s="18" t="str">
        <f aca="false">IF(J655="","",IF(M655&lt;설정!$B$3,"",ROUND(AVERAGEIFS($J$2:$J$1001,$B$2:$B$1001,B655,$A$2:$A$1001,"&lt;"&amp;A655,$A$2:$A$1001,"&gt;="&amp;(A655-설정!$B$2)),2)))</f>
        <v/>
      </c>
      <c r="L655" s="18" t="str">
        <f aca="false">IF(K655="","",ROUND(SQRT(MAX(0,(SUMIFS($R$2:$R$1001,$B$2:$B$1001,B655,$A$2:$A$1001,"&lt;"&amp;A655,$A$2:$A$1001,"&gt;="&amp;(A655-설정!$B$2))-M655*AVERAGEIFS($J$2:$J$1001,$B$2:$B$1001,B655,$A$2:$A$1001,"&lt;"&amp;A655,$A$2:$A$1001,"&gt;="&amp;(A655-설정!$B$2))^2)/(M655-1))),2))</f>
        <v/>
      </c>
      <c r="M655" s="18" t="str">
        <f aca="false">IF(J655="","",COUNTIFS($B$2:$B$1001,B655,$A$2:$A$1001,"&lt;"&amp;A655,$A$2:$A$1001,"&gt;="&amp;(A655-설정!$B$2),$J$2:$J$1001,"&gt;=0"))</f>
        <v/>
      </c>
      <c r="N655" s="18" t="str">
        <f aca="false">IF(K655="","",IF(L655=0,"",ROUND((J655-K655)/L655,2)))</f>
        <v/>
      </c>
      <c r="O655" s="19" t="str">
        <f aca="false">IF(J655="","",IF(MIN(F655,G655)&lt;=설정!$B$5,"예",""))</f>
        <v/>
      </c>
      <c r="P655" s="19" t="str">
        <f aca="false">IF(J655="","",IF(M655&lt;설정!$B$3,"baseline 수집 중",IF(N655="","정상",IF(N655&lt;=설정!$B$4,"낮음","정상"))))</f>
        <v/>
      </c>
      <c r="Q655" s="20"/>
      <c r="R655" s="18" t="str">
        <f aca="false">IF(J655="","",J655^2)</f>
        <v/>
      </c>
    </row>
    <row r="656" customFormat="false" ht="15" hidden="false" customHeight="false" outlineLevel="0" collapsed="false">
      <c r="A656" s="16"/>
      <c r="B656" s="17"/>
      <c r="C656" s="17"/>
      <c r="D656" s="17"/>
      <c r="E656" s="17"/>
      <c r="F656" s="17"/>
      <c r="G656" s="17"/>
      <c r="H656" s="17"/>
      <c r="I656" s="17"/>
      <c r="J656" s="18" t="str">
        <f aca="false">IF(COUNT(E656:I656)&lt;5,"",SUM(E656:I656))</f>
        <v/>
      </c>
      <c r="K656" s="18" t="str">
        <f aca="false">IF(J656="","",IF(M656&lt;설정!$B$3,"",ROUND(AVERAGEIFS($J$2:$J$1001,$B$2:$B$1001,B656,$A$2:$A$1001,"&lt;"&amp;A656,$A$2:$A$1001,"&gt;="&amp;(A656-설정!$B$2)),2)))</f>
        <v/>
      </c>
      <c r="L656" s="18" t="str">
        <f aca="false">IF(K656="","",ROUND(SQRT(MAX(0,(SUMIFS($R$2:$R$1001,$B$2:$B$1001,B656,$A$2:$A$1001,"&lt;"&amp;A656,$A$2:$A$1001,"&gt;="&amp;(A656-설정!$B$2))-M656*AVERAGEIFS($J$2:$J$1001,$B$2:$B$1001,B656,$A$2:$A$1001,"&lt;"&amp;A656,$A$2:$A$1001,"&gt;="&amp;(A656-설정!$B$2))^2)/(M656-1))),2))</f>
        <v/>
      </c>
      <c r="M656" s="18" t="str">
        <f aca="false">IF(J656="","",COUNTIFS($B$2:$B$1001,B656,$A$2:$A$1001,"&lt;"&amp;A656,$A$2:$A$1001,"&gt;="&amp;(A656-설정!$B$2),$J$2:$J$1001,"&gt;=0"))</f>
        <v/>
      </c>
      <c r="N656" s="18" t="str">
        <f aca="false">IF(K656="","",IF(L656=0,"",ROUND((J656-K656)/L656,2)))</f>
        <v/>
      </c>
      <c r="O656" s="19" t="str">
        <f aca="false">IF(J656="","",IF(MIN(F656,G656)&lt;=설정!$B$5,"예",""))</f>
        <v/>
      </c>
      <c r="P656" s="19" t="str">
        <f aca="false">IF(J656="","",IF(M656&lt;설정!$B$3,"baseline 수집 중",IF(N656="","정상",IF(N656&lt;=설정!$B$4,"낮음","정상"))))</f>
        <v/>
      </c>
      <c r="Q656" s="20"/>
      <c r="R656" s="18" t="str">
        <f aca="false">IF(J656="","",J656^2)</f>
        <v/>
      </c>
    </row>
    <row r="657" customFormat="false" ht="15" hidden="false" customHeight="false" outlineLevel="0" collapsed="false">
      <c r="A657" s="16"/>
      <c r="B657" s="17"/>
      <c r="C657" s="17"/>
      <c r="D657" s="17"/>
      <c r="E657" s="17"/>
      <c r="F657" s="17"/>
      <c r="G657" s="17"/>
      <c r="H657" s="17"/>
      <c r="I657" s="17"/>
      <c r="J657" s="18" t="str">
        <f aca="false">IF(COUNT(E657:I657)&lt;5,"",SUM(E657:I657))</f>
        <v/>
      </c>
      <c r="K657" s="18" t="str">
        <f aca="false">IF(J657="","",IF(M657&lt;설정!$B$3,"",ROUND(AVERAGEIFS($J$2:$J$1001,$B$2:$B$1001,B657,$A$2:$A$1001,"&lt;"&amp;A657,$A$2:$A$1001,"&gt;="&amp;(A657-설정!$B$2)),2)))</f>
        <v/>
      </c>
      <c r="L657" s="18" t="str">
        <f aca="false">IF(K657="","",ROUND(SQRT(MAX(0,(SUMIFS($R$2:$R$1001,$B$2:$B$1001,B657,$A$2:$A$1001,"&lt;"&amp;A657,$A$2:$A$1001,"&gt;="&amp;(A657-설정!$B$2))-M657*AVERAGEIFS($J$2:$J$1001,$B$2:$B$1001,B657,$A$2:$A$1001,"&lt;"&amp;A657,$A$2:$A$1001,"&gt;="&amp;(A657-설정!$B$2))^2)/(M657-1))),2))</f>
        <v/>
      </c>
      <c r="M657" s="18" t="str">
        <f aca="false">IF(J657="","",COUNTIFS($B$2:$B$1001,B657,$A$2:$A$1001,"&lt;"&amp;A657,$A$2:$A$1001,"&gt;="&amp;(A657-설정!$B$2),$J$2:$J$1001,"&gt;=0"))</f>
        <v/>
      </c>
      <c r="N657" s="18" t="str">
        <f aca="false">IF(K657="","",IF(L657=0,"",ROUND((J657-K657)/L657,2)))</f>
        <v/>
      </c>
      <c r="O657" s="19" t="str">
        <f aca="false">IF(J657="","",IF(MIN(F657,G657)&lt;=설정!$B$5,"예",""))</f>
        <v/>
      </c>
      <c r="P657" s="19" t="str">
        <f aca="false">IF(J657="","",IF(M657&lt;설정!$B$3,"baseline 수집 중",IF(N657="","정상",IF(N657&lt;=설정!$B$4,"낮음","정상"))))</f>
        <v/>
      </c>
      <c r="Q657" s="20"/>
      <c r="R657" s="18" t="str">
        <f aca="false">IF(J657="","",J657^2)</f>
        <v/>
      </c>
    </row>
    <row r="658" customFormat="false" ht="15" hidden="false" customHeight="false" outlineLevel="0" collapsed="false">
      <c r="A658" s="16"/>
      <c r="B658" s="17"/>
      <c r="C658" s="17"/>
      <c r="D658" s="17"/>
      <c r="E658" s="17"/>
      <c r="F658" s="17"/>
      <c r="G658" s="17"/>
      <c r="H658" s="17"/>
      <c r="I658" s="17"/>
      <c r="J658" s="18" t="str">
        <f aca="false">IF(COUNT(E658:I658)&lt;5,"",SUM(E658:I658))</f>
        <v/>
      </c>
      <c r="K658" s="18" t="str">
        <f aca="false">IF(J658="","",IF(M658&lt;설정!$B$3,"",ROUND(AVERAGEIFS($J$2:$J$1001,$B$2:$B$1001,B658,$A$2:$A$1001,"&lt;"&amp;A658,$A$2:$A$1001,"&gt;="&amp;(A658-설정!$B$2)),2)))</f>
        <v/>
      </c>
      <c r="L658" s="18" t="str">
        <f aca="false">IF(K658="","",ROUND(SQRT(MAX(0,(SUMIFS($R$2:$R$1001,$B$2:$B$1001,B658,$A$2:$A$1001,"&lt;"&amp;A658,$A$2:$A$1001,"&gt;="&amp;(A658-설정!$B$2))-M658*AVERAGEIFS($J$2:$J$1001,$B$2:$B$1001,B658,$A$2:$A$1001,"&lt;"&amp;A658,$A$2:$A$1001,"&gt;="&amp;(A658-설정!$B$2))^2)/(M658-1))),2))</f>
        <v/>
      </c>
      <c r="M658" s="18" t="str">
        <f aca="false">IF(J658="","",COUNTIFS($B$2:$B$1001,B658,$A$2:$A$1001,"&lt;"&amp;A658,$A$2:$A$1001,"&gt;="&amp;(A658-설정!$B$2),$J$2:$J$1001,"&gt;=0"))</f>
        <v/>
      </c>
      <c r="N658" s="18" t="str">
        <f aca="false">IF(K658="","",IF(L658=0,"",ROUND((J658-K658)/L658,2)))</f>
        <v/>
      </c>
      <c r="O658" s="19" t="str">
        <f aca="false">IF(J658="","",IF(MIN(F658,G658)&lt;=설정!$B$5,"예",""))</f>
        <v/>
      </c>
      <c r="P658" s="19" t="str">
        <f aca="false">IF(J658="","",IF(M658&lt;설정!$B$3,"baseline 수집 중",IF(N658="","정상",IF(N658&lt;=설정!$B$4,"낮음","정상"))))</f>
        <v/>
      </c>
      <c r="Q658" s="20"/>
      <c r="R658" s="18" t="str">
        <f aca="false">IF(J658="","",J658^2)</f>
        <v/>
      </c>
    </row>
    <row r="659" customFormat="false" ht="15" hidden="false" customHeight="false" outlineLevel="0" collapsed="false">
      <c r="A659" s="16"/>
      <c r="B659" s="17"/>
      <c r="C659" s="17"/>
      <c r="D659" s="17"/>
      <c r="E659" s="17"/>
      <c r="F659" s="17"/>
      <c r="G659" s="17"/>
      <c r="H659" s="17"/>
      <c r="I659" s="17"/>
      <c r="J659" s="18" t="str">
        <f aca="false">IF(COUNT(E659:I659)&lt;5,"",SUM(E659:I659))</f>
        <v/>
      </c>
      <c r="K659" s="18" t="str">
        <f aca="false">IF(J659="","",IF(M659&lt;설정!$B$3,"",ROUND(AVERAGEIFS($J$2:$J$1001,$B$2:$B$1001,B659,$A$2:$A$1001,"&lt;"&amp;A659,$A$2:$A$1001,"&gt;="&amp;(A659-설정!$B$2)),2)))</f>
        <v/>
      </c>
      <c r="L659" s="18" t="str">
        <f aca="false">IF(K659="","",ROUND(SQRT(MAX(0,(SUMIFS($R$2:$R$1001,$B$2:$B$1001,B659,$A$2:$A$1001,"&lt;"&amp;A659,$A$2:$A$1001,"&gt;="&amp;(A659-설정!$B$2))-M659*AVERAGEIFS($J$2:$J$1001,$B$2:$B$1001,B659,$A$2:$A$1001,"&lt;"&amp;A659,$A$2:$A$1001,"&gt;="&amp;(A659-설정!$B$2))^2)/(M659-1))),2))</f>
        <v/>
      </c>
      <c r="M659" s="18" t="str">
        <f aca="false">IF(J659="","",COUNTIFS($B$2:$B$1001,B659,$A$2:$A$1001,"&lt;"&amp;A659,$A$2:$A$1001,"&gt;="&amp;(A659-설정!$B$2),$J$2:$J$1001,"&gt;=0"))</f>
        <v/>
      </c>
      <c r="N659" s="18" t="str">
        <f aca="false">IF(K659="","",IF(L659=0,"",ROUND((J659-K659)/L659,2)))</f>
        <v/>
      </c>
      <c r="O659" s="19" t="str">
        <f aca="false">IF(J659="","",IF(MIN(F659,G659)&lt;=설정!$B$5,"예",""))</f>
        <v/>
      </c>
      <c r="P659" s="19" t="str">
        <f aca="false">IF(J659="","",IF(M659&lt;설정!$B$3,"baseline 수집 중",IF(N659="","정상",IF(N659&lt;=설정!$B$4,"낮음","정상"))))</f>
        <v/>
      </c>
      <c r="Q659" s="20"/>
      <c r="R659" s="18" t="str">
        <f aca="false">IF(J659="","",J659^2)</f>
        <v/>
      </c>
    </row>
    <row r="660" customFormat="false" ht="15" hidden="false" customHeight="false" outlineLevel="0" collapsed="false">
      <c r="A660" s="16"/>
      <c r="B660" s="17"/>
      <c r="C660" s="17"/>
      <c r="D660" s="17"/>
      <c r="E660" s="17"/>
      <c r="F660" s="17"/>
      <c r="G660" s="17"/>
      <c r="H660" s="17"/>
      <c r="I660" s="17"/>
      <c r="J660" s="18" t="str">
        <f aca="false">IF(COUNT(E660:I660)&lt;5,"",SUM(E660:I660))</f>
        <v/>
      </c>
      <c r="K660" s="18" t="str">
        <f aca="false">IF(J660="","",IF(M660&lt;설정!$B$3,"",ROUND(AVERAGEIFS($J$2:$J$1001,$B$2:$B$1001,B660,$A$2:$A$1001,"&lt;"&amp;A660,$A$2:$A$1001,"&gt;="&amp;(A660-설정!$B$2)),2)))</f>
        <v/>
      </c>
      <c r="L660" s="18" t="str">
        <f aca="false">IF(K660="","",ROUND(SQRT(MAX(0,(SUMIFS($R$2:$R$1001,$B$2:$B$1001,B660,$A$2:$A$1001,"&lt;"&amp;A660,$A$2:$A$1001,"&gt;="&amp;(A660-설정!$B$2))-M660*AVERAGEIFS($J$2:$J$1001,$B$2:$B$1001,B660,$A$2:$A$1001,"&lt;"&amp;A660,$A$2:$A$1001,"&gt;="&amp;(A660-설정!$B$2))^2)/(M660-1))),2))</f>
        <v/>
      </c>
      <c r="M660" s="18" t="str">
        <f aca="false">IF(J660="","",COUNTIFS($B$2:$B$1001,B660,$A$2:$A$1001,"&lt;"&amp;A660,$A$2:$A$1001,"&gt;="&amp;(A660-설정!$B$2),$J$2:$J$1001,"&gt;=0"))</f>
        <v/>
      </c>
      <c r="N660" s="18" t="str">
        <f aca="false">IF(K660="","",IF(L660=0,"",ROUND((J660-K660)/L660,2)))</f>
        <v/>
      </c>
      <c r="O660" s="19" t="str">
        <f aca="false">IF(J660="","",IF(MIN(F660,G660)&lt;=설정!$B$5,"예",""))</f>
        <v/>
      </c>
      <c r="P660" s="19" t="str">
        <f aca="false">IF(J660="","",IF(M660&lt;설정!$B$3,"baseline 수집 중",IF(N660="","정상",IF(N660&lt;=설정!$B$4,"낮음","정상"))))</f>
        <v/>
      </c>
      <c r="Q660" s="20"/>
      <c r="R660" s="18" t="str">
        <f aca="false">IF(J660="","",J660^2)</f>
        <v/>
      </c>
    </row>
    <row r="661" customFormat="false" ht="15" hidden="false" customHeight="false" outlineLevel="0" collapsed="false">
      <c r="A661" s="16"/>
      <c r="B661" s="17"/>
      <c r="C661" s="17"/>
      <c r="D661" s="17"/>
      <c r="E661" s="17"/>
      <c r="F661" s="17"/>
      <c r="G661" s="17"/>
      <c r="H661" s="17"/>
      <c r="I661" s="17"/>
      <c r="J661" s="18" t="str">
        <f aca="false">IF(COUNT(E661:I661)&lt;5,"",SUM(E661:I661))</f>
        <v/>
      </c>
      <c r="K661" s="18" t="str">
        <f aca="false">IF(J661="","",IF(M661&lt;설정!$B$3,"",ROUND(AVERAGEIFS($J$2:$J$1001,$B$2:$B$1001,B661,$A$2:$A$1001,"&lt;"&amp;A661,$A$2:$A$1001,"&gt;="&amp;(A661-설정!$B$2)),2)))</f>
        <v/>
      </c>
      <c r="L661" s="18" t="str">
        <f aca="false">IF(K661="","",ROUND(SQRT(MAX(0,(SUMIFS($R$2:$R$1001,$B$2:$B$1001,B661,$A$2:$A$1001,"&lt;"&amp;A661,$A$2:$A$1001,"&gt;="&amp;(A661-설정!$B$2))-M661*AVERAGEIFS($J$2:$J$1001,$B$2:$B$1001,B661,$A$2:$A$1001,"&lt;"&amp;A661,$A$2:$A$1001,"&gt;="&amp;(A661-설정!$B$2))^2)/(M661-1))),2))</f>
        <v/>
      </c>
      <c r="M661" s="18" t="str">
        <f aca="false">IF(J661="","",COUNTIFS($B$2:$B$1001,B661,$A$2:$A$1001,"&lt;"&amp;A661,$A$2:$A$1001,"&gt;="&amp;(A661-설정!$B$2),$J$2:$J$1001,"&gt;=0"))</f>
        <v/>
      </c>
      <c r="N661" s="18" t="str">
        <f aca="false">IF(K661="","",IF(L661=0,"",ROUND((J661-K661)/L661,2)))</f>
        <v/>
      </c>
      <c r="O661" s="19" t="str">
        <f aca="false">IF(J661="","",IF(MIN(F661,G661)&lt;=설정!$B$5,"예",""))</f>
        <v/>
      </c>
      <c r="P661" s="19" t="str">
        <f aca="false">IF(J661="","",IF(M661&lt;설정!$B$3,"baseline 수집 중",IF(N661="","정상",IF(N661&lt;=설정!$B$4,"낮음","정상"))))</f>
        <v/>
      </c>
      <c r="Q661" s="20"/>
      <c r="R661" s="18" t="str">
        <f aca="false">IF(J661="","",J661^2)</f>
        <v/>
      </c>
    </row>
    <row r="662" customFormat="false" ht="15" hidden="false" customHeight="false" outlineLevel="0" collapsed="false">
      <c r="A662" s="16"/>
      <c r="B662" s="17"/>
      <c r="C662" s="17"/>
      <c r="D662" s="17"/>
      <c r="E662" s="17"/>
      <c r="F662" s="17"/>
      <c r="G662" s="17"/>
      <c r="H662" s="17"/>
      <c r="I662" s="17"/>
      <c r="J662" s="18" t="str">
        <f aca="false">IF(COUNT(E662:I662)&lt;5,"",SUM(E662:I662))</f>
        <v/>
      </c>
      <c r="K662" s="18" t="str">
        <f aca="false">IF(J662="","",IF(M662&lt;설정!$B$3,"",ROUND(AVERAGEIFS($J$2:$J$1001,$B$2:$B$1001,B662,$A$2:$A$1001,"&lt;"&amp;A662,$A$2:$A$1001,"&gt;="&amp;(A662-설정!$B$2)),2)))</f>
        <v/>
      </c>
      <c r="L662" s="18" t="str">
        <f aca="false">IF(K662="","",ROUND(SQRT(MAX(0,(SUMIFS($R$2:$R$1001,$B$2:$B$1001,B662,$A$2:$A$1001,"&lt;"&amp;A662,$A$2:$A$1001,"&gt;="&amp;(A662-설정!$B$2))-M662*AVERAGEIFS($J$2:$J$1001,$B$2:$B$1001,B662,$A$2:$A$1001,"&lt;"&amp;A662,$A$2:$A$1001,"&gt;="&amp;(A662-설정!$B$2))^2)/(M662-1))),2))</f>
        <v/>
      </c>
      <c r="M662" s="18" t="str">
        <f aca="false">IF(J662="","",COUNTIFS($B$2:$B$1001,B662,$A$2:$A$1001,"&lt;"&amp;A662,$A$2:$A$1001,"&gt;="&amp;(A662-설정!$B$2),$J$2:$J$1001,"&gt;=0"))</f>
        <v/>
      </c>
      <c r="N662" s="18" t="str">
        <f aca="false">IF(K662="","",IF(L662=0,"",ROUND((J662-K662)/L662,2)))</f>
        <v/>
      </c>
      <c r="O662" s="19" t="str">
        <f aca="false">IF(J662="","",IF(MIN(F662,G662)&lt;=설정!$B$5,"예",""))</f>
        <v/>
      </c>
      <c r="P662" s="19" t="str">
        <f aca="false">IF(J662="","",IF(M662&lt;설정!$B$3,"baseline 수집 중",IF(N662="","정상",IF(N662&lt;=설정!$B$4,"낮음","정상"))))</f>
        <v/>
      </c>
      <c r="Q662" s="20"/>
      <c r="R662" s="18" t="str">
        <f aca="false">IF(J662="","",J662^2)</f>
        <v/>
      </c>
    </row>
    <row r="663" customFormat="false" ht="15" hidden="false" customHeight="false" outlineLevel="0" collapsed="false">
      <c r="A663" s="16"/>
      <c r="B663" s="17"/>
      <c r="C663" s="17"/>
      <c r="D663" s="17"/>
      <c r="E663" s="17"/>
      <c r="F663" s="17"/>
      <c r="G663" s="17"/>
      <c r="H663" s="17"/>
      <c r="I663" s="17"/>
      <c r="J663" s="18" t="str">
        <f aca="false">IF(COUNT(E663:I663)&lt;5,"",SUM(E663:I663))</f>
        <v/>
      </c>
      <c r="K663" s="18" t="str">
        <f aca="false">IF(J663="","",IF(M663&lt;설정!$B$3,"",ROUND(AVERAGEIFS($J$2:$J$1001,$B$2:$B$1001,B663,$A$2:$A$1001,"&lt;"&amp;A663,$A$2:$A$1001,"&gt;="&amp;(A663-설정!$B$2)),2)))</f>
        <v/>
      </c>
      <c r="L663" s="18" t="str">
        <f aca="false">IF(K663="","",ROUND(SQRT(MAX(0,(SUMIFS($R$2:$R$1001,$B$2:$B$1001,B663,$A$2:$A$1001,"&lt;"&amp;A663,$A$2:$A$1001,"&gt;="&amp;(A663-설정!$B$2))-M663*AVERAGEIFS($J$2:$J$1001,$B$2:$B$1001,B663,$A$2:$A$1001,"&lt;"&amp;A663,$A$2:$A$1001,"&gt;="&amp;(A663-설정!$B$2))^2)/(M663-1))),2))</f>
        <v/>
      </c>
      <c r="M663" s="18" t="str">
        <f aca="false">IF(J663="","",COUNTIFS($B$2:$B$1001,B663,$A$2:$A$1001,"&lt;"&amp;A663,$A$2:$A$1001,"&gt;="&amp;(A663-설정!$B$2),$J$2:$J$1001,"&gt;=0"))</f>
        <v/>
      </c>
      <c r="N663" s="18" t="str">
        <f aca="false">IF(K663="","",IF(L663=0,"",ROUND((J663-K663)/L663,2)))</f>
        <v/>
      </c>
      <c r="O663" s="19" t="str">
        <f aca="false">IF(J663="","",IF(MIN(F663,G663)&lt;=설정!$B$5,"예",""))</f>
        <v/>
      </c>
      <c r="P663" s="19" t="str">
        <f aca="false">IF(J663="","",IF(M663&lt;설정!$B$3,"baseline 수집 중",IF(N663="","정상",IF(N663&lt;=설정!$B$4,"낮음","정상"))))</f>
        <v/>
      </c>
      <c r="Q663" s="20"/>
      <c r="R663" s="18" t="str">
        <f aca="false">IF(J663="","",J663^2)</f>
        <v/>
      </c>
    </row>
    <row r="664" customFormat="false" ht="15" hidden="false" customHeight="false" outlineLevel="0" collapsed="false">
      <c r="A664" s="16"/>
      <c r="B664" s="17"/>
      <c r="C664" s="17"/>
      <c r="D664" s="17"/>
      <c r="E664" s="17"/>
      <c r="F664" s="17"/>
      <c r="G664" s="17"/>
      <c r="H664" s="17"/>
      <c r="I664" s="17"/>
      <c r="J664" s="18" t="str">
        <f aca="false">IF(COUNT(E664:I664)&lt;5,"",SUM(E664:I664))</f>
        <v/>
      </c>
      <c r="K664" s="18" t="str">
        <f aca="false">IF(J664="","",IF(M664&lt;설정!$B$3,"",ROUND(AVERAGEIFS($J$2:$J$1001,$B$2:$B$1001,B664,$A$2:$A$1001,"&lt;"&amp;A664,$A$2:$A$1001,"&gt;="&amp;(A664-설정!$B$2)),2)))</f>
        <v/>
      </c>
      <c r="L664" s="18" t="str">
        <f aca="false">IF(K664="","",ROUND(SQRT(MAX(0,(SUMIFS($R$2:$R$1001,$B$2:$B$1001,B664,$A$2:$A$1001,"&lt;"&amp;A664,$A$2:$A$1001,"&gt;="&amp;(A664-설정!$B$2))-M664*AVERAGEIFS($J$2:$J$1001,$B$2:$B$1001,B664,$A$2:$A$1001,"&lt;"&amp;A664,$A$2:$A$1001,"&gt;="&amp;(A664-설정!$B$2))^2)/(M664-1))),2))</f>
        <v/>
      </c>
      <c r="M664" s="18" t="str">
        <f aca="false">IF(J664="","",COUNTIFS($B$2:$B$1001,B664,$A$2:$A$1001,"&lt;"&amp;A664,$A$2:$A$1001,"&gt;="&amp;(A664-설정!$B$2),$J$2:$J$1001,"&gt;=0"))</f>
        <v/>
      </c>
      <c r="N664" s="18" t="str">
        <f aca="false">IF(K664="","",IF(L664=0,"",ROUND((J664-K664)/L664,2)))</f>
        <v/>
      </c>
      <c r="O664" s="19" t="str">
        <f aca="false">IF(J664="","",IF(MIN(F664,G664)&lt;=설정!$B$5,"예",""))</f>
        <v/>
      </c>
      <c r="P664" s="19" t="str">
        <f aca="false">IF(J664="","",IF(M664&lt;설정!$B$3,"baseline 수집 중",IF(N664="","정상",IF(N664&lt;=설정!$B$4,"낮음","정상"))))</f>
        <v/>
      </c>
      <c r="Q664" s="20"/>
      <c r="R664" s="18" t="str">
        <f aca="false">IF(J664="","",J664^2)</f>
        <v/>
      </c>
    </row>
    <row r="665" customFormat="false" ht="15" hidden="false" customHeight="false" outlineLevel="0" collapsed="false">
      <c r="A665" s="16"/>
      <c r="B665" s="17"/>
      <c r="C665" s="17"/>
      <c r="D665" s="17"/>
      <c r="E665" s="17"/>
      <c r="F665" s="17"/>
      <c r="G665" s="17"/>
      <c r="H665" s="17"/>
      <c r="I665" s="17"/>
      <c r="J665" s="18" t="str">
        <f aca="false">IF(COUNT(E665:I665)&lt;5,"",SUM(E665:I665))</f>
        <v/>
      </c>
      <c r="K665" s="18" t="str">
        <f aca="false">IF(J665="","",IF(M665&lt;설정!$B$3,"",ROUND(AVERAGEIFS($J$2:$J$1001,$B$2:$B$1001,B665,$A$2:$A$1001,"&lt;"&amp;A665,$A$2:$A$1001,"&gt;="&amp;(A665-설정!$B$2)),2)))</f>
        <v/>
      </c>
      <c r="L665" s="18" t="str">
        <f aca="false">IF(K665="","",ROUND(SQRT(MAX(0,(SUMIFS($R$2:$R$1001,$B$2:$B$1001,B665,$A$2:$A$1001,"&lt;"&amp;A665,$A$2:$A$1001,"&gt;="&amp;(A665-설정!$B$2))-M665*AVERAGEIFS($J$2:$J$1001,$B$2:$B$1001,B665,$A$2:$A$1001,"&lt;"&amp;A665,$A$2:$A$1001,"&gt;="&amp;(A665-설정!$B$2))^2)/(M665-1))),2))</f>
        <v/>
      </c>
      <c r="M665" s="18" t="str">
        <f aca="false">IF(J665="","",COUNTIFS($B$2:$B$1001,B665,$A$2:$A$1001,"&lt;"&amp;A665,$A$2:$A$1001,"&gt;="&amp;(A665-설정!$B$2),$J$2:$J$1001,"&gt;=0"))</f>
        <v/>
      </c>
      <c r="N665" s="18" t="str">
        <f aca="false">IF(K665="","",IF(L665=0,"",ROUND((J665-K665)/L665,2)))</f>
        <v/>
      </c>
      <c r="O665" s="19" t="str">
        <f aca="false">IF(J665="","",IF(MIN(F665,G665)&lt;=설정!$B$5,"예",""))</f>
        <v/>
      </c>
      <c r="P665" s="19" t="str">
        <f aca="false">IF(J665="","",IF(M665&lt;설정!$B$3,"baseline 수집 중",IF(N665="","정상",IF(N665&lt;=설정!$B$4,"낮음","정상"))))</f>
        <v/>
      </c>
      <c r="Q665" s="20"/>
      <c r="R665" s="18" t="str">
        <f aca="false">IF(J665="","",J665^2)</f>
        <v/>
      </c>
    </row>
    <row r="666" customFormat="false" ht="15" hidden="false" customHeight="false" outlineLevel="0" collapsed="false">
      <c r="A666" s="16"/>
      <c r="B666" s="17"/>
      <c r="C666" s="17"/>
      <c r="D666" s="17"/>
      <c r="E666" s="17"/>
      <c r="F666" s="17"/>
      <c r="G666" s="17"/>
      <c r="H666" s="17"/>
      <c r="I666" s="17"/>
      <c r="J666" s="18" t="str">
        <f aca="false">IF(COUNT(E666:I666)&lt;5,"",SUM(E666:I666))</f>
        <v/>
      </c>
      <c r="K666" s="18" t="str">
        <f aca="false">IF(J666="","",IF(M666&lt;설정!$B$3,"",ROUND(AVERAGEIFS($J$2:$J$1001,$B$2:$B$1001,B666,$A$2:$A$1001,"&lt;"&amp;A666,$A$2:$A$1001,"&gt;="&amp;(A666-설정!$B$2)),2)))</f>
        <v/>
      </c>
      <c r="L666" s="18" t="str">
        <f aca="false">IF(K666="","",ROUND(SQRT(MAX(0,(SUMIFS($R$2:$R$1001,$B$2:$B$1001,B666,$A$2:$A$1001,"&lt;"&amp;A666,$A$2:$A$1001,"&gt;="&amp;(A666-설정!$B$2))-M666*AVERAGEIFS($J$2:$J$1001,$B$2:$B$1001,B666,$A$2:$A$1001,"&lt;"&amp;A666,$A$2:$A$1001,"&gt;="&amp;(A666-설정!$B$2))^2)/(M666-1))),2))</f>
        <v/>
      </c>
      <c r="M666" s="18" t="str">
        <f aca="false">IF(J666="","",COUNTIFS($B$2:$B$1001,B666,$A$2:$A$1001,"&lt;"&amp;A666,$A$2:$A$1001,"&gt;="&amp;(A666-설정!$B$2),$J$2:$J$1001,"&gt;=0"))</f>
        <v/>
      </c>
      <c r="N666" s="18" t="str">
        <f aca="false">IF(K666="","",IF(L666=0,"",ROUND((J666-K666)/L666,2)))</f>
        <v/>
      </c>
      <c r="O666" s="19" t="str">
        <f aca="false">IF(J666="","",IF(MIN(F666,G666)&lt;=설정!$B$5,"예",""))</f>
        <v/>
      </c>
      <c r="P666" s="19" t="str">
        <f aca="false">IF(J666="","",IF(M666&lt;설정!$B$3,"baseline 수집 중",IF(N666="","정상",IF(N666&lt;=설정!$B$4,"낮음","정상"))))</f>
        <v/>
      </c>
      <c r="Q666" s="20"/>
      <c r="R666" s="18" t="str">
        <f aca="false">IF(J666="","",J666^2)</f>
        <v/>
      </c>
    </row>
    <row r="667" customFormat="false" ht="15" hidden="false" customHeight="false" outlineLevel="0" collapsed="false">
      <c r="A667" s="16"/>
      <c r="B667" s="17"/>
      <c r="C667" s="17"/>
      <c r="D667" s="17"/>
      <c r="E667" s="17"/>
      <c r="F667" s="17"/>
      <c r="G667" s="17"/>
      <c r="H667" s="17"/>
      <c r="I667" s="17"/>
      <c r="J667" s="18" t="str">
        <f aca="false">IF(COUNT(E667:I667)&lt;5,"",SUM(E667:I667))</f>
        <v/>
      </c>
      <c r="K667" s="18" t="str">
        <f aca="false">IF(J667="","",IF(M667&lt;설정!$B$3,"",ROUND(AVERAGEIFS($J$2:$J$1001,$B$2:$B$1001,B667,$A$2:$A$1001,"&lt;"&amp;A667,$A$2:$A$1001,"&gt;="&amp;(A667-설정!$B$2)),2)))</f>
        <v/>
      </c>
      <c r="L667" s="18" t="str">
        <f aca="false">IF(K667="","",ROUND(SQRT(MAX(0,(SUMIFS($R$2:$R$1001,$B$2:$B$1001,B667,$A$2:$A$1001,"&lt;"&amp;A667,$A$2:$A$1001,"&gt;="&amp;(A667-설정!$B$2))-M667*AVERAGEIFS($J$2:$J$1001,$B$2:$B$1001,B667,$A$2:$A$1001,"&lt;"&amp;A667,$A$2:$A$1001,"&gt;="&amp;(A667-설정!$B$2))^2)/(M667-1))),2))</f>
        <v/>
      </c>
      <c r="M667" s="18" t="str">
        <f aca="false">IF(J667="","",COUNTIFS($B$2:$B$1001,B667,$A$2:$A$1001,"&lt;"&amp;A667,$A$2:$A$1001,"&gt;="&amp;(A667-설정!$B$2),$J$2:$J$1001,"&gt;=0"))</f>
        <v/>
      </c>
      <c r="N667" s="18" t="str">
        <f aca="false">IF(K667="","",IF(L667=0,"",ROUND((J667-K667)/L667,2)))</f>
        <v/>
      </c>
      <c r="O667" s="19" t="str">
        <f aca="false">IF(J667="","",IF(MIN(F667,G667)&lt;=설정!$B$5,"예",""))</f>
        <v/>
      </c>
      <c r="P667" s="19" t="str">
        <f aca="false">IF(J667="","",IF(M667&lt;설정!$B$3,"baseline 수집 중",IF(N667="","정상",IF(N667&lt;=설정!$B$4,"낮음","정상"))))</f>
        <v/>
      </c>
      <c r="Q667" s="20"/>
      <c r="R667" s="18" t="str">
        <f aca="false">IF(J667="","",J667^2)</f>
        <v/>
      </c>
    </row>
    <row r="668" customFormat="false" ht="15" hidden="false" customHeight="false" outlineLevel="0" collapsed="false">
      <c r="A668" s="16"/>
      <c r="B668" s="17"/>
      <c r="C668" s="17"/>
      <c r="D668" s="17"/>
      <c r="E668" s="17"/>
      <c r="F668" s="17"/>
      <c r="G668" s="17"/>
      <c r="H668" s="17"/>
      <c r="I668" s="17"/>
      <c r="J668" s="18" t="str">
        <f aca="false">IF(COUNT(E668:I668)&lt;5,"",SUM(E668:I668))</f>
        <v/>
      </c>
      <c r="K668" s="18" t="str">
        <f aca="false">IF(J668="","",IF(M668&lt;설정!$B$3,"",ROUND(AVERAGEIFS($J$2:$J$1001,$B$2:$B$1001,B668,$A$2:$A$1001,"&lt;"&amp;A668,$A$2:$A$1001,"&gt;="&amp;(A668-설정!$B$2)),2)))</f>
        <v/>
      </c>
      <c r="L668" s="18" t="str">
        <f aca="false">IF(K668="","",ROUND(SQRT(MAX(0,(SUMIFS($R$2:$R$1001,$B$2:$B$1001,B668,$A$2:$A$1001,"&lt;"&amp;A668,$A$2:$A$1001,"&gt;="&amp;(A668-설정!$B$2))-M668*AVERAGEIFS($J$2:$J$1001,$B$2:$B$1001,B668,$A$2:$A$1001,"&lt;"&amp;A668,$A$2:$A$1001,"&gt;="&amp;(A668-설정!$B$2))^2)/(M668-1))),2))</f>
        <v/>
      </c>
      <c r="M668" s="18" t="str">
        <f aca="false">IF(J668="","",COUNTIFS($B$2:$B$1001,B668,$A$2:$A$1001,"&lt;"&amp;A668,$A$2:$A$1001,"&gt;="&amp;(A668-설정!$B$2),$J$2:$J$1001,"&gt;=0"))</f>
        <v/>
      </c>
      <c r="N668" s="18" t="str">
        <f aca="false">IF(K668="","",IF(L668=0,"",ROUND((J668-K668)/L668,2)))</f>
        <v/>
      </c>
      <c r="O668" s="19" t="str">
        <f aca="false">IF(J668="","",IF(MIN(F668,G668)&lt;=설정!$B$5,"예",""))</f>
        <v/>
      </c>
      <c r="P668" s="19" t="str">
        <f aca="false">IF(J668="","",IF(M668&lt;설정!$B$3,"baseline 수집 중",IF(N668="","정상",IF(N668&lt;=설정!$B$4,"낮음","정상"))))</f>
        <v/>
      </c>
      <c r="Q668" s="20"/>
      <c r="R668" s="18" t="str">
        <f aca="false">IF(J668="","",J668^2)</f>
        <v/>
      </c>
    </row>
    <row r="669" customFormat="false" ht="15" hidden="false" customHeight="false" outlineLevel="0" collapsed="false">
      <c r="A669" s="16"/>
      <c r="B669" s="17"/>
      <c r="C669" s="17"/>
      <c r="D669" s="17"/>
      <c r="E669" s="17"/>
      <c r="F669" s="17"/>
      <c r="G669" s="17"/>
      <c r="H669" s="17"/>
      <c r="I669" s="17"/>
      <c r="J669" s="18" t="str">
        <f aca="false">IF(COUNT(E669:I669)&lt;5,"",SUM(E669:I669))</f>
        <v/>
      </c>
      <c r="K669" s="18" t="str">
        <f aca="false">IF(J669="","",IF(M669&lt;설정!$B$3,"",ROUND(AVERAGEIFS($J$2:$J$1001,$B$2:$B$1001,B669,$A$2:$A$1001,"&lt;"&amp;A669,$A$2:$A$1001,"&gt;="&amp;(A669-설정!$B$2)),2)))</f>
        <v/>
      </c>
      <c r="L669" s="18" t="str">
        <f aca="false">IF(K669="","",ROUND(SQRT(MAX(0,(SUMIFS($R$2:$R$1001,$B$2:$B$1001,B669,$A$2:$A$1001,"&lt;"&amp;A669,$A$2:$A$1001,"&gt;="&amp;(A669-설정!$B$2))-M669*AVERAGEIFS($J$2:$J$1001,$B$2:$B$1001,B669,$A$2:$A$1001,"&lt;"&amp;A669,$A$2:$A$1001,"&gt;="&amp;(A669-설정!$B$2))^2)/(M669-1))),2))</f>
        <v/>
      </c>
      <c r="M669" s="18" t="str">
        <f aca="false">IF(J669="","",COUNTIFS($B$2:$B$1001,B669,$A$2:$A$1001,"&lt;"&amp;A669,$A$2:$A$1001,"&gt;="&amp;(A669-설정!$B$2),$J$2:$J$1001,"&gt;=0"))</f>
        <v/>
      </c>
      <c r="N669" s="18" t="str">
        <f aca="false">IF(K669="","",IF(L669=0,"",ROUND((J669-K669)/L669,2)))</f>
        <v/>
      </c>
      <c r="O669" s="19" t="str">
        <f aca="false">IF(J669="","",IF(MIN(F669,G669)&lt;=설정!$B$5,"예",""))</f>
        <v/>
      </c>
      <c r="P669" s="19" t="str">
        <f aca="false">IF(J669="","",IF(M669&lt;설정!$B$3,"baseline 수집 중",IF(N669="","정상",IF(N669&lt;=설정!$B$4,"낮음","정상"))))</f>
        <v/>
      </c>
      <c r="Q669" s="20"/>
      <c r="R669" s="18" t="str">
        <f aca="false">IF(J669="","",J669^2)</f>
        <v/>
      </c>
    </row>
    <row r="670" customFormat="false" ht="15" hidden="false" customHeight="false" outlineLevel="0" collapsed="false">
      <c r="A670" s="16"/>
      <c r="B670" s="17"/>
      <c r="C670" s="17"/>
      <c r="D670" s="17"/>
      <c r="E670" s="17"/>
      <c r="F670" s="17"/>
      <c r="G670" s="17"/>
      <c r="H670" s="17"/>
      <c r="I670" s="17"/>
      <c r="J670" s="18" t="str">
        <f aca="false">IF(COUNT(E670:I670)&lt;5,"",SUM(E670:I670))</f>
        <v/>
      </c>
      <c r="K670" s="18" t="str">
        <f aca="false">IF(J670="","",IF(M670&lt;설정!$B$3,"",ROUND(AVERAGEIFS($J$2:$J$1001,$B$2:$B$1001,B670,$A$2:$A$1001,"&lt;"&amp;A670,$A$2:$A$1001,"&gt;="&amp;(A670-설정!$B$2)),2)))</f>
        <v/>
      </c>
      <c r="L670" s="18" t="str">
        <f aca="false">IF(K670="","",ROUND(SQRT(MAX(0,(SUMIFS($R$2:$R$1001,$B$2:$B$1001,B670,$A$2:$A$1001,"&lt;"&amp;A670,$A$2:$A$1001,"&gt;="&amp;(A670-설정!$B$2))-M670*AVERAGEIFS($J$2:$J$1001,$B$2:$B$1001,B670,$A$2:$A$1001,"&lt;"&amp;A670,$A$2:$A$1001,"&gt;="&amp;(A670-설정!$B$2))^2)/(M670-1))),2))</f>
        <v/>
      </c>
      <c r="M670" s="18" t="str">
        <f aca="false">IF(J670="","",COUNTIFS($B$2:$B$1001,B670,$A$2:$A$1001,"&lt;"&amp;A670,$A$2:$A$1001,"&gt;="&amp;(A670-설정!$B$2),$J$2:$J$1001,"&gt;=0"))</f>
        <v/>
      </c>
      <c r="N670" s="18" t="str">
        <f aca="false">IF(K670="","",IF(L670=0,"",ROUND((J670-K670)/L670,2)))</f>
        <v/>
      </c>
      <c r="O670" s="19" t="str">
        <f aca="false">IF(J670="","",IF(MIN(F670,G670)&lt;=설정!$B$5,"예",""))</f>
        <v/>
      </c>
      <c r="P670" s="19" t="str">
        <f aca="false">IF(J670="","",IF(M670&lt;설정!$B$3,"baseline 수집 중",IF(N670="","정상",IF(N670&lt;=설정!$B$4,"낮음","정상"))))</f>
        <v/>
      </c>
      <c r="Q670" s="20"/>
      <c r="R670" s="18" t="str">
        <f aca="false">IF(J670="","",J670^2)</f>
        <v/>
      </c>
    </row>
    <row r="671" customFormat="false" ht="15" hidden="false" customHeight="false" outlineLevel="0" collapsed="false">
      <c r="A671" s="16"/>
      <c r="B671" s="17"/>
      <c r="C671" s="17"/>
      <c r="D671" s="17"/>
      <c r="E671" s="17"/>
      <c r="F671" s="17"/>
      <c r="G671" s="17"/>
      <c r="H671" s="17"/>
      <c r="I671" s="17"/>
      <c r="J671" s="18" t="str">
        <f aca="false">IF(COUNT(E671:I671)&lt;5,"",SUM(E671:I671))</f>
        <v/>
      </c>
      <c r="K671" s="18" t="str">
        <f aca="false">IF(J671="","",IF(M671&lt;설정!$B$3,"",ROUND(AVERAGEIFS($J$2:$J$1001,$B$2:$B$1001,B671,$A$2:$A$1001,"&lt;"&amp;A671,$A$2:$A$1001,"&gt;="&amp;(A671-설정!$B$2)),2)))</f>
        <v/>
      </c>
      <c r="L671" s="18" t="str">
        <f aca="false">IF(K671="","",ROUND(SQRT(MAX(0,(SUMIFS($R$2:$R$1001,$B$2:$B$1001,B671,$A$2:$A$1001,"&lt;"&amp;A671,$A$2:$A$1001,"&gt;="&amp;(A671-설정!$B$2))-M671*AVERAGEIFS($J$2:$J$1001,$B$2:$B$1001,B671,$A$2:$A$1001,"&lt;"&amp;A671,$A$2:$A$1001,"&gt;="&amp;(A671-설정!$B$2))^2)/(M671-1))),2))</f>
        <v/>
      </c>
      <c r="M671" s="18" t="str">
        <f aca="false">IF(J671="","",COUNTIFS($B$2:$B$1001,B671,$A$2:$A$1001,"&lt;"&amp;A671,$A$2:$A$1001,"&gt;="&amp;(A671-설정!$B$2),$J$2:$J$1001,"&gt;=0"))</f>
        <v/>
      </c>
      <c r="N671" s="18" t="str">
        <f aca="false">IF(K671="","",IF(L671=0,"",ROUND((J671-K671)/L671,2)))</f>
        <v/>
      </c>
      <c r="O671" s="19" t="str">
        <f aca="false">IF(J671="","",IF(MIN(F671,G671)&lt;=설정!$B$5,"예",""))</f>
        <v/>
      </c>
      <c r="P671" s="19" t="str">
        <f aca="false">IF(J671="","",IF(M671&lt;설정!$B$3,"baseline 수집 중",IF(N671="","정상",IF(N671&lt;=설정!$B$4,"낮음","정상"))))</f>
        <v/>
      </c>
      <c r="Q671" s="20"/>
      <c r="R671" s="18" t="str">
        <f aca="false">IF(J671="","",J671^2)</f>
        <v/>
      </c>
    </row>
    <row r="672" customFormat="false" ht="15" hidden="false" customHeight="false" outlineLevel="0" collapsed="false">
      <c r="A672" s="16"/>
      <c r="B672" s="17"/>
      <c r="C672" s="17"/>
      <c r="D672" s="17"/>
      <c r="E672" s="17"/>
      <c r="F672" s="17"/>
      <c r="G672" s="17"/>
      <c r="H672" s="17"/>
      <c r="I672" s="17"/>
      <c r="J672" s="18" t="str">
        <f aca="false">IF(COUNT(E672:I672)&lt;5,"",SUM(E672:I672))</f>
        <v/>
      </c>
      <c r="K672" s="18" t="str">
        <f aca="false">IF(J672="","",IF(M672&lt;설정!$B$3,"",ROUND(AVERAGEIFS($J$2:$J$1001,$B$2:$B$1001,B672,$A$2:$A$1001,"&lt;"&amp;A672,$A$2:$A$1001,"&gt;="&amp;(A672-설정!$B$2)),2)))</f>
        <v/>
      </c>
      <c r="L672" s="18" t="str">
        <f aca="false">IF(K672="","",ROUND(SQRT(MAX(0,(SUMIFS($R$2:$R$1001,$B$2:$B$1001,B672,$A$2:$A$1001,"&lt;"&amp;A672,$A$2:$A$1001,"&gt;="&amp;(A672-설정!$B$2))-M672*AVERAGEIFS($J$2:$J$1001,$B$2:$B$1001,B672,$A$2:$A$1001,"&lt;"&amp;A672,$A$2:$A$1001,"&gt;="&amp;(A672-설정!$B$2))^2)/(M672-1))),2))</f>
        <v/>
      </c>
      <c r="M672" s="18" t="str">
        <f aca="false">IF(J672="","",COUNTIFS($B$2:$B$1001,B672,$A$2:$A$1001,"&lt;"&amp;A672,$A$2:$A$1001,"&gt;="&amp;(A672-설정!$B$2),$J$2:$J$1001,"&gt;=0"))</f>
        <v/>
      </c>
      <c r="N672" s="18" t="str">
        <f aca="false">IF(K672="","",IF(L672=0,"",ROUND((J672-K672)/L672,2)))</f>
        <v/>
      </c>
      <c r="O672" s="19" t="str">
        <f aca="false">IF(J672="","",IF(MIN(F672,G672)&lt;=설정!$B$5,"예",""))</f>
        <v/>
      </c>
      <c r="P672" s="19" t="str">
        <f aca="false">IF(J672="","",IF(M672&lt;설정!$B$3,"baseline 수집 중",IF(N672="","정상",IF(N672&lt;=설정!$B$4,"낮음","정상"))))</f>
        <v/>
      </c>
      <c r="Q672" s="20"/>
      <c r="R672" s="18" t="str">
        <f aca="false">IF(J672="","",J672^2)</f>
        <v/>
      </c>
    </row>
    <row r="673" customFormat="false" ht="15" hidden="false" customHeight="false" outlineLevel="0" collapsed="false">
      <c r="A673" s="16"/>
      <c r="B673" s="17"/>
      <c r="C673" s="17"/>
      <c r="D673" s="17"/>
      <c r="E673" s="17"/>
      <c r="F673" s="17"/>
      <c r="G673" s="17"/>
      <c r="H673" s="17"/>
      <c r="I673" s="17"/>
      <c r="J673" s="18" t="str">
        <f aca="false">IF(COUNT(E673:I673)&lt;5,"",SUM(E673:I673))</f>
        <v/>
      </c>
      <c r="K673" s="18" t="str">
        <f aca="false">IF(J673="","",IF(M673&lt;설정!$B$3,"",ROUND(AVERAGEIFS($J$2:$J$1001,$B$2:$B$1001,B673,$A$2:$A$1001,"&lt;"&amp;A673,$A$2:$A$1001,"&gt;="&amp;(A673-설정!$B$2)),2)))</f>
        <v/>
      </c>
      <c r="L673" s="18" t="str">
        <f aca="false">IF(K673="","",ROUND(SQRT(MAX(0,(SUMIFS($R$2:$R$1001,$B$2:$B$1001,B673,$A$2:$A$1001,"&lt;"&amp;A673,$A$2:$A$1001,"&gt;="&amp;(A673-설정!$B$2))-M673*AVERAGEIFS($J$2:$J$1001,$B$2:$B$1001,B673,$A$2:$A$1001,"&lt;"&amp;A673,$A$2:$A$1001,"&gt;="&amp;(A673-설정!$B$2))^2)/(M673-1))),2))</f>
        <v/>
      </c>
      <c r="M673" s="18" t="str">
        <f aca="false">IF(J673="","",COUNTIFS($B$2:$B$1001,B673,$A$2:$A$1001,"&lt;"&amp;A673,$A$2:$A$1001,"&gt;="&amp;(A673-설정!$B$2),$J$2:$J$1001,"&gt;=0"))</f>
        <v/>
      </c>
      <c r="N673" s="18" t="str">
        <f aca="false">IF(K673="","",IF(L673=0,"",ROUND((J673-K673)/L673,2)))</f>
        <v/>
      </c>
      <c r="O673" s="19" t="str">
        <f aca="false">IF(J673="","",IF(MIN(F673,G673)&lt;=설정!$B$5,"예",""))</f>
        <v/>
      </c>
      <c r="P673" s="19" t="str">
        <f aca="false">IF(J673="","",IF(M673&lt;설정!$B$3,"baseline 수집 중",IF(N673="","정상",IF(N673&lt;=설정!$B$4,"낮음","정상"))))</f>
        <v/>
      </c>
      <c r="Q673" s="20"/>
      <c r="R673" s="18" t="str">
        <f aca="false">IF(J673="","",J673^2)</f>
        <v/>
      </c>
    </row>
    <row r="674" customFormat="false" ht="15" hidden="false" customHeight="false" outlineLevel="0" collapsed="false">
      <c r="A674" s="16"/>
      <c r="B674" s="17"/>
      <c r="C674" s="17"/>
      <c r="D674" s="17"/>
      <c r="E674" s="17"/>
      <c r="F674" s="17"/>
      <c r="G674" s="17"/>
      <c r="H674" s="17"/>
      <c r="I674" s="17"/>
      <c r="J674" s="18" t="str">
        <f aca="false">IF(COUNT(E674:I674)&lt;5,"",SUM(E674:I674))</f>
        <v/>
      </c>
      <c r="K674" s="18" t="str">
        <f aca="false">IF(J674="","",IF(M674&lt;설정!$B$3,"",ROUND(AVERAGEIFS($J$2:$J$1001,$B$2:$B$1001,B674,$A$2:$A$1001,"&lt;"&amp;A674,$A$2:$A$1001,"&gt;="&amp;(A674-설정!$B$2)),2)))</f>
        <v/>
      </c>
      <c r="L674" s="18" t="str">
        <f aca="false">IF(K674="","",ROUND(SQRT(MAX(0,(SUMIFS($R$2:$R$1001,$B$2:$B$1001,B674,$A$2:$A$1001,"&lt;"&amp;A674,$A$2:$A$1001,"&gt;="&amp;(A674-설정!$B$2))-M674*AVERAGEIFS($J$2:$J$1001,$B$2:$B$1001,B674,$A$2:$A$1001,"&lt;"&amp;A674,$A$2:$A$1001,"&gt;="&amp;(A674-설정!$B$2))^2)/(M674-1))),2))</f>
        <v/>
      </c>
      <c r="M674" s="18" t="str">
        <f aca="false">IF(J674="","",COUNTIFS($B$2:$B$1001,B674,$A$2:$A$1001,"&lt;"&amp;A674,$A$2:$A$1001,"&gt;="&amp;(A674-설정!$B$2),$J$2:$J$1001,"&gt;=0"))</f>
        <v/>
      </c>
      <c r="N674" s="18" t="str">
        <f aca="false">IF(K674="","",IF(L674=0,"",ROUND((J674-K674)/L674,2)))</f>
        <v/>
      </c>
      <c r="O674" s="19" t="str">
        <f aca="false">IF(J674="","",IF(MIN(F674,G674)&lt;=설정!$B$5,"예",""))</f>
        <v/>
      </c>
      <c r="P674" s="19" t="str">
        <f aca="false">IF(J674="","",IF(M674&lt;설정!$B$3,"baseline 수집 중",IF(N674="","정상",IF(N674&lt;=설정!$B$4,"낮음","정상"))))</f>
        <v/>
      </c>
      <c r="Q674" s="20"/>
      <c r="R674" s="18" t="str">
        <f aca="false">IF(J674="","",J674^2)</f>
        <v/>
      </c>
    </row>
    <row r="675" customFormat="false" ht="15" hidden="false" customHeight="false" outlineLevel="0" collapsed="false">
      <c r="A675" s="16"/>
      <c r="B675" s="17"/>
      <c r="C675" s="17"/>
      <c r="D675" s="17"/>
      <c r="E675" s="17"/>
      <c r="F675" s="17"/>
      <c r="G675" s="17"/>
      <c r="H675" s="17"/>
      <c r="I675" s="17"/>
      <c r="J675" s="18" t="str">
        <f aca="false">IF(COUNT(E675:I675)&lt;5,"",SUM(E675:I675))</f>
        <v/>
      </c>
      <c r="K675" s="18" t="str">
        <f aca="false">IF(J675="","",IF(M675&lt;설정!$B$3,"",ROUND(AVERAGEIFS($J$2:$J$1001,$B$2:$B$1001,B675,$A$2:$A$1001,"&lt;"&amp;A675,$A$2:$A$1001,"&gt;="&amp;(A675-설정!$B$2)),2)))</f>
        <v/>
      </c>
      <c r="L675" s="18" t="str">
        <f aca="false">IF(K675="","",ROUND(SQRT(MAX(0,(SUMIFS($R$2:$R$1001,$B$2:$B$1001,B675,$A$2:$A$1001,"&lt;"&amp;A675,$A$2:$A$1001,"&gt;="&amp;(A675-설정!$B$2))-M675*AVERAGEIFS($J$2:$J$1001,$B$2:$B$1001,B675,$A$2:$A$1001,"&lt;"&amp;A675,$A$2:$A$1001,"&gt;="&amp;(A675-설정!$B$2))^2)/(M675-1))),2))</f>
        <v/>
      </c>
      <c r="M675" s="18" t="str">
        <f aca="false">IF(J675="","",COUNTIFS($B$2:$B$1001,B675,$A$2:$A$1001,"&lt;"&amp;A675,$A$2:$A$1001,"&gt;="&amp;(A675-설정!$B$2),$J$2:$J$1001,"&gt;=0"))</f>
        <v/>
      </c>
      <c r="N675" s="18" t="str">
        <f aca="false">IF(K675="","",IF(L675=0,"",ROUND((J675-K675)/L675,2)))</f>
        <v/>
      </c>
      <c r="O675" s="19" t="str">
        <f aca="false">IF(J675="","",IF(MIN(F675,G675)&lt;=설정!$B$5,"예",""))</f>
        <v/>
      </c>
      <c r="P675" s="19" t="str">
        <f aca="false">IF(J675="","",IF(M675&lt;설정!$B$3,"baseline 수집 중",IF(N675="","정상",IF(N675&lt;=설정!$B$4,"낮음","정상"))))</f>
        <v/>
      </c>
      <c r="Q675" s="20"/>
      <c r="R675" s="18" t="str">
        <f aca="false">IF(J675="","",J675^2)</f>
        <v/>
      </c>
    </row>
    <row r="676" customFormat="false" ht="15" hidden="false" customHeight="false" outlineLevel="0" collapsed="false">
      <c r="A676" s="16"/>
      <c r="B676" s="17"/>
      <c r="C676" s="17"/>
      <c r="D676" s="17"/>
      <c r="E676" s="17"/>
      <c r="F676" s="17"/>
      <c r="G676" s="17"/>
      <c r="H676" s="17"/>
      <c r="I676" s="17"/>
      <c r="J676" s="18" t="str">
        <f aca="false">IF(COUNT(E676:I676)&lt;5,"",SUM(E676:I676))</f>
        <v/>
      </c>
      <c r="K676" s="18" t="str">
        <f aca="false">IF(J676="","",IF(M676&lt;설정!$B$3,"",ROUND(AVERAGEIFS($J$2:$J$1001,$B$2:$B$1001,B676,$A$2:$A$1001,"&lt;"&amp;A676,$A$2:$A$1001,"&gt;="&amp;(A676-설정!$B$2)),2)))</f>
        <v/>
      </c>
      <c r="L676" s="18" t="str">
        <f aca="false">IF(K676="","",ROUND(SQRT(MAX(0,(SUMIFS($R$2:$R$1001,$B$2:$B$1001,B676,$A$2:$A$1001,"&lt;"&amp;A676,$A$2:$A$1001,"&gt;="&amp;(A676-설정!$B$2))-M676*AVERAGEIFS($J$2:$J$1001,$B$2:$B$1001,B676,$A$2:$A$1001,"&lt;"&amp;A676,$A$2:$A$1001,"&gt;="&amp;(A676-설정!$B$2))^2)/(M676-1))),2))</f>
        <v/>
      </c>
      <c r="M676" s="18" t="str">
        <f aca="false">IF(J676="","",COUNTIFS($B$2:$B$1001,B676,$A$2:$A$1001,"&lt;"&amp;A676,$A$2:$A$1001,"&gt;="&amp;(A676-설정!$B$2),$J$2:$J$1001,"&gt;=0"))</f>
        <v/>
      </c>
      <c r="N676" s="18" t="str">
        <f aca="false">IF(K676="","",IF(L676=0,"",ROUND((J676-K676)/L676,2)))</f>
        <v/>
      </c>
      <c r="O676" s="19" t="str">
        <f aca="false">IF(J676="","",IF(MIN(F676,G676)&lt;=설정!$B$5,"예",""))</f>
        <v/>
      </c>
      <c r="P676" s="19" t="str">
        <f aca="false">IF(J676="","",IF(M676&lt;설정!$B$3,"baseline 수집 중",IF(N676="","정상",IF(N676&lt;=설정!$B$4,"낮음","정상"))))</f>
        <v/>
      </c>
      <c r="Q676" s="20"/>
      <c r="R676" s="18" t="str">
        <f aca="false">IF(J676="","",J676^2)</f>
        <v/>
      </c>
    </row>
    <row r="677" customFormat="false" ht="15" hidden="false" customHeight="false" outlineLevel="0" collapsed="false">
      <c r="A677" s="16"/>
      <c r="B677" s="17"/>
      <c r="C677" s="17"/>
      <c r="D677" s="17"/>
      <c r="E677" s="17"/>
      <c r="F677" s="17"/>
      <c r="G677" s="17"/>
      <c r="H677" s="17"/>
      <c r="I677" s="17"/>
      <c r="J677" s="18" t="str">
        <f aca="false">IF(COUNT(E677:I677)&lt;5,"",SUM(E677:I677))</f>
        <v/>
      </c>
      <c r="K677" s="18" t="str">
        <f aca="false">IF(J677="","",IF(M677&lt;설정!$B$3,"",ROUND(AVERAGEIFS($J$2:$J$1001,$B$2:$B$1001,B677,$A$2:$A$1001,"&lt;"&amp;A677,$A$2:$A$1001,"&gt;="&amp;(A677-설정!$B$2)),2)))</f>
        <v/>
      </c>
      <c r="L677" s="18" t="str">
        <f aca="false">IF(K677="","",ROUND(SQRT(MAX(0,(SUMIFS($R$2:$R$1001,$B$2:$B$1001,B677,$A$2:$A$1001,"&lt;"&amp;A677,$A$2:$A$1001,"&gt;="&amp;(A677-설정!$B$2))-M677*AVERAGEIFS($J$2:$J$1001,$B$2:$B$1001,B677,$A$2:$A$1001,"&lt;"&amp;A677,$A$2:$A$1001,"&gt;="&amp;(A677-설정!$B$2))^2)/(M677-1))),2))</f>
        <v/>
      </c>
      <c r="M677" s="18" t="str">
        <f aca="false">IF(J677="","",COUNTIFS($B$2:$B$1001,B677,$A$2:$A$1001,"&lt;"&amp;A677,$A$2:$A$1001,"&gt;="&amp;(A677-설정!$B$2),$J$2:$J$1001,"&gt;=0"))</f>
        <v/>
      </c>
      <c r="N677" s="18" t="str">
        <f aca="false">IF(K677="","",IF(L677=0,"",ROUND((J677-K677)/L677,2)))</f>
        <v/>
      </c>
      <c r="O677" s="19" t="str">
        <f aca="false">IF(J677="","",IF(MIN(F677,G677)&lt;=설정!$B$5,"예",""))</f>
        <v/>
      </c>
      <c r="P677" s="19" t="str">
        <f aca="false">IF(J677="","",IF(M677&lt;설정!$B$3,"baseline 수집 중",IF(N677="","정상",IF(N677&lt;=설정!$B$4,"낮음","정상"))))</f>
        <v/>
      </c>
      <c r="Q677" s="20"/>
      <c r="R677" s="18" t="str">
        <f aca="false">IF(J677="","",J677^2)</f>
        <v/>
      </c>
    </row>
    <row r="678" customFormat="false" ht="15" hidden="false" customHeight="false" outlineLevel="0" collapsed="false">
      <c r="A678" s="16"/>
      <c r="B678" s="17"/>
      <c r="C678" s="17"/>
      <c r="D678" s="17"/>
      <c r="E678" s="17"/>
      <c r="F678" s="17"/>
      <c r="G678" s="17"/>
      <c r="H678" s="17"/>
      <c r="I678" s="17"/>
      <c r="J678" s="18" t="str">
        <f aca="false">IF(COUNT(E678:I678)&lt;5,"",SUM(E678:I678))</f>
        <v/>
      </c>
      <c r="K678" s="18" t="str">
        <f aca="false">IF(J678="","",IF(M678&lt;설정!$B$3,"",ROUND(AVERAGEIFS($J$2:$J$1001,$B$2:$B$1001,B678,$A$2:$A$1001,"&lt;"&amp;A678,$A$2:$A$1001,"&gt;="&amp;(A678-설정!$B$2)),2)))</f>
        <v/>
      </c>
      <c r="L678" s="18" t="str">
        <f aca="false">IF(K678="","",ROUND(SQRT(MAX(0,(SUMIFS($R$2:$R$1001,$B$2:$B$1001,B678,$A$2:$A$1001,"&lt;"&amp;A678,$A$2:$A$1001,"&gt;="&amp;(A678-설정!$B$2))-M678*AVERAGEIFS($J$2:$J$1001,$B$2:$B$1001,B678,$A$2:$A$1001,"&lt;"&amp;A678,$A$2:$A$1001,"&gt;="&amp;(A678-설정!$B$2))^2)/(M678-1))),2))</f>
        <v/>
      </c>
      <c r="M678" s="18" t="str">
        <f aca="false">IF(J678="","",COUNTIFS($B$2:$B$1001,B678,$A$2:$A$1001,"&lt;"&amp;A678,$A$2:$A$1001,"&gt;="&amp;(A678-설정!$B$2),$J$2:$J$1001,"&gt;=0"))</f>
        <v/>
      </c>
      <c r="N678" s="18" t="str">
        <f aca="false">IF(K678="","",IF(L678=0,"",ROUND((J678-K678)/L678,2)))</f>
        <v/>
      </c>
      <c r="O678" s="19" t="str">
        <f aca="false">IF(J678="","",IF(MIN(F678,G678)&lt;=설정!$B$5,"예",""))</f>
        <v/>
      </c>
      <c r="P678" s="19" t="str">
        <f aca="false">IF(J678="","",IF(M678&lt;설정!$B$3,"baseline 수집 중",IF(N678="","정상",IF(N678&lt;=설정!$B$4,"낮음","정상"))))</f>
        <v/>
      </c>
      <c r="Q678" s="20"/>
      <c r="R678" s="18" t="str">
        <f aca="false">IF(J678="","",J678^2)</f>
        <v/>
      </c>
    </row>
    <row r="679" customFormat="false" ht="15" hidden="false" customHeight="false" outlineLevel="0" collapsed="false">
      <c r="A679" s="16"/>
      <c r="B679" s="17"/>
      <c r="C679" s="17"/>
      <c r="D679" s="17"/>
      <c r="E679" s="17"/>
      <c r="F679" s="17"/>
      <c r="G679" s="17"/>
      <c r="H679" s="17"/>
      <c r="I679" s="17"/>
      <c r="J679" s="18" t="str">
        <f aca="false">IF(COUNT(E679:I679)&lt;5,"",SUM(E679:I679))</f>
        <v/>
      </c>
      <c r="K679" s="18" t="str">
        <f aca="false">IF(J679="","",IF(M679&lt;설정!$B$3,"",ROUND(AVERAGEIFS($J$2:$J$1001,$B$2:$B$1001,B679,$A$2:$A$1001,"&lt;"&amp;A679,$A$2:$A$1001,"&gt;="&amp;(A679-설정!$B$2)),2)))</f>
        <v/>
      </c>
      <c r="L679" s="18" t="str">
        <f aca="false">IF(K679="","",ROUND(SQRT(MAX(0,(SUMIFS($R$2:$R$1001,$B$2:$B$1001,B679,$A$2:$A$1001,"&lt;"&amp;A679,$A$2:$A$1001,"&gt;="&amp;(A679-설정!$B$2))-M679*AVERAGEIFS($J$2:$J$1001,$B$2:$B$1001,B679,$A$2:$A$1001,"&lt;"&amp;A679,$A$2:$A$1001,"&gt;="&amp;(A679-설정!$B$2))^2)/(M679-1))),2))</f>
        <v/>
      </c>
      <c r="M679" s="18" t="str">
        <f aca="false">IF(J679="","",COUNTIFS($B$2:$B$1001,B679,$A$2:$A$1001,"&lt;"&amp;A679,$A$2:$A$1001,"&gt;="&amp;(A679-설정!$B$2),$J$2:$J$1001,"&gt;=0"))</f>
        <v/>
      </c>
      <c r="N679" s="18" t="str">
        <f aca="false">IF(K679="","",IF(L679=0,"",ROUND((J679-K679)/L679,2)))</f>
        <v/>
      </c>
      <c r="O679" s="19" t="str">
        <f aca="false">IF(J679="","",IF(MIN(F679,G679)&lt;=설정!$B$5,"예",""))</f>
        <v/>
      </c>
      <c r="P679" s="19" t="str">
        <f aca="false">IF(J679="","",IF(M679&lt;설정!$B$3,"baseline 수집 중",IF(N679="","정상",IF(N679&lt;=설정!$B$4,"낮음","정상"))))</f>
        <v/>
      </c>
      <c r="Q679" s="20"/>
      <c r="R679" s="18" t="str">
        <f aca="false">IF(J679="","",J679^2)</f>
        <v/>
      </c>
    </row>
    <row r="680" customFormat="false" ht="15" hidden="false" customHeight="false" outlineLevel="0" collapsed="false">
      <c r="A680" s="16"/>
      <c r="B680" s="17"/>
      <c r="C680" s="17"/>
      <c r="D680" s="17"/>
      <c r="E680" s="17"/>
      <c r="F680" s="17"/>
      <c r="G680" s="17"/>
      <c r="H680" s="17"/>
      <c r="I680" s="17"/>
      <c r="J680" s="18" t="str">
        <f aca="false">IF(COUNT(E680:I680)&lt;5,"",SUM(E680:I680))</f>
        <v/>
      </c>
      <c r="K680" s="18" t="str">
        <f aca="false">IF(J680="","",IF(M680&lt;설정!$B$3,"",ROUND(AVERAGEIFS($J$2:$J$1001,$B$2:$B$1001,B680,$A$2:$A$1001,"&lt;"&amp;A680,$A$2:$A$1001,"&gt;="&amp;(A680-설정!$B$2)),2)))</f>
        <v/>
      </c>
      <c r="L680" s="18" t="str">
        <f aca="false">IF(K680="","",ROUND(SQRT(MAX(0,(SUMIFS($R$2:$R$1001,$B$2:$B$1001,B680,$A$2:$A$1001,"&lt;"&amp;A680,$A$2:$A$1001,"&gt;="&amp;(A680-설정!$B$2))-M680*AVERAGEIFS($J$2:$J$1001,$B$2:$B$1001,B680,$A$2:$A$1001,"&lt;"&amp;A680,$A$2:$A$1001,"&gt;="&amp;(A680-설정!$B$2))^2)/(M680-1))),2))</f>
        <v/>
      </c>
      <c r="M680" s="18" t="str">
        <f aca="false">IF(J680="","",COUNTIFS($B$2:$B$1001,B680,$A$2:$A$1001,"&lt;"&amp;A680,$A$2:$A$1001,"&gt;="&amp;(A680-설정!$B$2),$J$2:$J$1001,"&gt;=0"))</f>
        <v/>
      </c>
      <c r="N680" s="18" t="str">
        <f aca="false">IF(K680="","",IF(L680=0,"",ROUND((J680-K680)/L680,2)))</f>
        <v/>
      </c>
      <c r="O680" s="19" t="str">
        <f aca="false">IF(J680="","",IF(MIN(F680,G680)&lt;=설정!$B$5,"예",""))</f>
        <v/>
      </c>
      <c r="P680" s="19" t="str">
        <f aca="false">IF(J680="","",IF(M680&lt;설정!$B$3,"baseline 수집 중",IF(N680="","정상",IF(N680&lt;=설정!$B$4,"낮음","정상"))))</f>
        <v/>
      </c>
      <c r="Q680" s="20"/>
      <c r="R680" s="18" t="str">
        <f aca="false">IF(J680="","",J680^2)</f>
        <v/>
      </c>
    </row>
    <row r="681" customFormat="false" ht="15" hidden="false" customHeight="false" outlineLevel="0" collapsed="false">
      <c r="A681" s="16"/>
      <c r="B681" s="17"/>
      <c r="C681" s="17"/>
      <c r="D681" s="17"/>
      <c r="E681" s="17"/>
      <c r="F681" s="17"/>
      <c r="G681" s="17"/>
      <c r="H681" s="17"/>
      <c r="I681" s="17"/>
      <c r="J681" s="18" t="str">
        <f aca="false">IF(COUNT(E681:I681)&lt;5,"",SUM(E681:I681))</f>
        <v/>
      </c>
      <c r="K681" s="18" t="str">
        <f aca="false">IF(J681="","",IF(M681&lt;설정!$B$3,"",ROUND(AVERAGEIFS($J$2:$J$1001,$B$2:$B$1001,B681,$A$2:$A$1001,"&lt;"&amp;A681,$A$2:$A$1001,"&gt;="&amp;(A681-설정!$B$2)),2)))</f>
        <v/>
      </c>
      <c r="L681" s="18" t="str">
        <f aca="false">IF(K681="","",ROUND(SQRT(MAX(0,(SUMIFS($R$2:$R$1001,$B$2:$B$1001,B681,$A$2:$A$1001,"&lt;"&amp;A681,$A$2:$A$1001,"&gt;="&amp;(A681-설정!$B$2))-M681*AVERAGEIFS($J$2:$J$1001,$B$2:$B$1001,B681,$A$2:$A$1001,"&lt;"&amp;A681,$A$2:$A$1001,"&gt;="&amp;(A681-설정!$B$2))^2)/(M681-1))),2))</f>
        <v/>
      </c>
      <c r="M681" s="18" t="str">
        <f aca="false">IF(J681="","",COUNTIFS($B$2:$B$1001,B681,$A$2:$A$1001,"&lt;"&amp;A681,$A$2:$A$1001,"&gt;="&amp;(A681-설정!$B$2),$J$2:$J$1001,"&gt;=0"))</f>
        <v/>
      </c>
      <c r="N681" s="18" t="str">
        <f aca="false">IF(K681="","",IF(L681=0,"",ROUND((J681-K681)/L681,2)))</f>
        <v/>
      </c>
      <c r="O681" s="19" t="str">
        <f aca="false">IF(J681="","",IF(MIN(F681,G681)&lt;=설정!$B$5,"예",""))</f>
        <v/>
      </c>
      <c r="P681" s="19" t="str">
        <f aca="false">IF(J681="","",IF(M681&lt;설정!$B$3,"baseline 수집 중",IF(N681="","정상",IF(N681&lt;=설정!$B$4,"낮음","정상"))))</f>
        <v/>
      </c>
      <c r="Q681" s="20"/>
      <c r="R681" s="18" t="str">
        <f aca="false">IF(J681="","",J681^2)</f>
        <v/>
      </c>
    </row>
    <row r="682" customFormat="false" ht="15" hidden="false" customHeight="false" outlineLevel="0" collapsed="false">
      <c r="A682" s="16"/>
      <c r="B682" s="17"/>
      <c r="C682" s="17"/>
      <c r="D682" s="17"/>
      <c r="E682" s="17"/>
      <c r="F682" s="17"/>
      <c r="G682" s="17"/>
      <c r="H682" s="17"/>
      <c r="I682" s="17"/>
      <c r="J682" s="18" t="str">
        <f aca="false">IF(COUNT(E682:I682)&lt;5,"",SUM(E682:I682))</f>
        <v/>
      </c>
      <c r="K682" s="18" t="str">
        <f aca="false">IF(J682="","",IF(M682&lt;설정!$B$3,"",ROUND(AVERAGEIFS($J$2:$J$1001,$B$2:$B$1001,B682,$A$2:$A$1001,"&lt;"&amp;A682,$A$2:$A$1001,"&gt;="&amp;(A682-설정!$B$2)),2)))</f>
        <v/>
      </c>
      <c r="L682" s="18" t="str">
        <f aca="false">IF(K682="","",ROUND(SQRT(MAX(0,(SUMIFS($R$2:$R$1001,$B$2:$B$1001,B682,$A$2:$A$1001,"&lt;"&amp;A682,$A$2:$A$1001,"&gt;="&amp;(A682-설정!$B$2))-M682*AVERAGEIFS($J$2:$J$1001,$B$2:$B$1001,B682,$A$2:$A$1001,"&lt;"&amp;A682,$A$2:$A$1001,"&gt;="&amp;(A682-설정!$B$2))^2)/(M682-1))),2))</f>
        <v/>
      </c>
      <c r="M682" s="18" t="str">
        <f aca="false">IF(J682="","",COUNTIFS($B$2:$B$1001,B682,$A$2:$A$1001,"&lt;"&amp;A682,$A$2:$A$1001,"&gt;="&amp;(A682-설정!$B$2),$J$2:$J$1001,"&gt;=0"))</f>
        <v/>
      </c>
      <c r="N682" s="18" t="str">
        <f aca="false">IF(K682="","",IF(L682=0,"",ROUND((J682-K682)/L682,2)))</f>
        <v/>
      </c>
      <c r="O682" s="19" t="str">
        <f aca="false">IF(J682="","",IF(MIN(F682,G682)&lt;=설정!$B$5,"예",""))</f>
        <v/>
      </c>
      <c r="P682" s="19" t="str">
        <f aca="false">IF(J682="","",IF(M682&lt;설정!$B$3,"baseline 수집 중",IF(N682="","정상",IF(N682&lt;=설정!$B$4,"낮음","정상"))))</f>
        <v/>
      </c>
      <c r="Q682" s="20"/>
      <c r="R682" s="18" t="str">
        <f aca="false">IF(J682="","",J682^2)</f>
        <v/>
      </c>
    </row>
    <row r="683" customFormat="false" ht="15" hidden="false" customHeight="false" outlineLevel="0" collapsed="false">
      <c r="A683" s="16"/>
      <c r="B683" s="17"/>
      <c r="C683" s="17"/>
      <c r="D683" s="17"/>
      <c r="E683" s="17"/>
      <c r="F683" s="17"/>
      <c r="G683" s="17"/>
      <c r="H683" s="17"/>
      <c r="I683" s="17"/>
      <c r="J683" s="18" t="str">
        <f aca="false">IF(COUNT(E683:I683)&lt;5,"",SUM(E683:I683))</f>
        <v/>
      </c>
      <c r="K683" s="18" t="str">
        <f aca="false">IF(J683="","",IF(M683&lt;설정!$B$3,"",ROUND(AVERAGEIFS($J$2:$J$1001,$B$2:$B$1001,B683,$A$2:$A$1001,"&lt;"&amp;A683,$A$2:$A$1001,"&gt;="&amp;(A683-설정!$B$2)),2)))</f>
        <v/>
      </c>
      <c r="L683" s="18" t="str">
        <f aca="false">IF(K683="","",ROUND(SQRT(MAX(0,(SUMIFS($R$2:$R$1001,$B$2:$B$1001,B683,$A$2:$A$1001,"&lt;"&amp;A683,$A$2:$A$1001,"&gt;="&amp;(A683-설정!$B$2))-M683*AVERAGEIFS($J$2:$J$1001,$B$2:$B$1001,B683,$A$2:$A$1001,"&lt;"&amp;A683,$A$2:$A$1001,"&gt;="&amp;(A683-설정!$B$2))^2)/(M683-1))),2))</f>
        <v/>
      </c>
      <c r="M683" s="18" t="str">
        <f aca="false">IF(J683="","",COUNTIFS($B$2:$B$1001,B683,$A$2:$A$1001,"&lt;"&amp;A683,$A$2:$A$1001,"&gt;="&amp;(A683-설정!$B$2),$J$2:$J$1001,"&gt;=0"))</f>
        <v/>
      </c>
      <c r="N683" s="18" t="str">
        <f aca="false">IF(K683="","",IF(L683=0,"",ROUND((J683-K683)/L683,2)))</f>
        <v/>
      </c>
      <c r="O683" s="19" t="str">
        <f aca="false">IF(J683="","",IF(MIN(F683,G683)&lt;=설정!$B$5,"예",""))</f>
        <v/>
      </c>
      <c r="P683" s="19" t="str">
        <f aca="false">IF(J683="","",IF(M683&lt;설정!$B$3,"baseline 수집 중",IF(N683="","정상",IF(N683&lt;=설정!$B$4,"낮음","정상"))))</f>
        <v/>
      </c>
      <c r="Q683" s="20"/>
      <c r="R683" s="18" t="str">
        <f aca="false">IF(J683="","",J683^2)</f>
        <v/>
      </c>
    </row>
    <row r="684" customFormat="false" ht="15" hidden="false" customHeight="false" outlineLevel="0" collapsed="false">
      <c r="A684" s="16"/>
      <c r="B684" s="17"/>
      <c r="C684" s="17"/>
      <c r="D684" s="17"/>
      <c r="E684" s="17"/>
      <c r="F684" s="17"/>
      <c r="G684" s="17"/>
      <c r="H684" s="17"/>
      <c r="I684" s="17"/>
      <c r="J684" s="18" t="str">
        <f aca="false">IF(COUNT(E684:I684)&lt;5,"",SUM(E684:I684))</f>
        <v/>
      </c>
      <c r="K684" s="18" t="str">
        <f aca="false">IF(J684="","",IF(M684&lt;설정!$B$3,"",ROUND(AVERAGEIFS($J$2:$J$1001,$B$2:$B$1001,B684,$A$2:$A$1001,"&lt;"&amp;A684,$A$2:$A$1001,"&gt;="&amp;(A684-설정!$B$2)),2)))</f>
        <v/>
      </c>
      <c r="L684" s="18" t="str">
        <f aca="false">IF(K684="","",ROUND(SQRT(MAX(0,(SUMIFS($R$2:$R$1001,$B$2:$B$1001,B684,$A$2:$A$1001,"&lt;"&amp;A684,$A$2:$A$1001,"&gt;="&amp;(A684-설정!$B$2))-M684*AVERAGEIFS($J$2:$J$1001,$B$2:$B$1001,B684,$A$2:$A$1001,"&lt;"&amp;A684,$A$2:$A$1001,"&gt;="&amp;(A684-설정!$B$2))^2)/(M684-1))),2))</f>
        <v/>
      </c>
      <c r="M684" s="18" t="str">
        <f aca="false">IF(J684="","",COUNTIFS($B$2:$B$1001,B684,$A$2:$A$1001,"&lt;"&amp;A684,$A$2:$A$1001,"&gt;="&amp;(A684-설정!$B$2),$J$2:$J$1001,"&gt;=0"))</f>
        <v/>
      </c>
      <c r="N684" s="18" t="str">
        <f aca="false">IF(K684="","",IF(L684=0,"",ROUND((J684-K684)/L684,2)))</f>
        <v/>
      </c>
      <c r="O684" s="19" t="str">
        <f aca="false">IF(J684="","",IF(MIN(F684,G684)&lt;=설정!$B$5,"예",""))</f>
        <v/>
      </c>
      <c r="P684" s="19" t="str">
        <f aca="false">IF(J684="","",IF(M684&lt;설정!$B$3,"baseline 수집 중",IF(N684="","정상",IF(N684&lt;=설정!$B$4,"낮음","정상"))))</f>
        <v/>
      </c>
      <c r="Q684" s="20"/>
      <c r="R684" s="18" t="str">
        <f aca="false">IF(J684="","",J684^2)</f>
        <v/>
      </c>
    </row>
    <row r="685" customFormat="false" ht="15" hidden="false" customHeight="false" outlineLevel="0" collapsed="false">
      <c r="A685" s="16"/>
      <c r="B685" s="17"/>
      <c r="C685" s="17"/>
      <c r="D685" s="17"/>
      <c r="E685" s="17"/>
      <c r="F685" s="17"/>
      <c r="G685" s="17"/>
      <c r="H685" s="17"/>
      <c r="I685" s="17"/>
      <c r="J685" s="18" t="str">
        <f aca="false">IF(COUNT(E685:I685)&lt;5,"",SUM(E685:I685))</f>
        <v/>
      </c>
      <c r="K685" s="18" t="str">
        <f aca="false">IF(J685="","",IF(M685&lt;설정!$B$3,"",ROUND(AVERAGEIFS($J$2:$J$1001,$B$2:$B$1001,B685,$A$2:$A$1001,"&lt;"&amp;A685,$A$2:$A$1001,"&gt;="&amp;(A685-설정!$B$2)),2)))</f>
        <v/>
      </c>
      <c r="L685" s="18" t="str">
        <f aca="false">IF(K685="","",ROUND(SQRT(MAX(0,(SUMIFS($R$2:$R$1001,$B$2:$B$1001,B685,$A$2:$A$1001,"&lt;"&amp;A685,$A$2:$A$1001,"&gt;="&amp;(A685-설정!$B$2))-M685*AVERAGEIFS($J$2:$J$1001,$B$2:$B$1001,B685,$A$2:$A$1001,"&lt;"&amp;A685,$A$2:$A$1001,"&gt;="&amp;(A685-설정!$B$2))^2)/(M685-1))),2))</f>
        <v/>
      </c>
      <c r="M685" s="18" t="str">
        <f aca="false">IF(J685="","",COUNTIFS($B$2:$B$1001,B685,$A$2:$A$1001,"&lt;"&amp;A685,$A$2:$A$1001,"&gt;="&amp;(A685-설정!$B$2),$J$2:$J$1001,"&gt;=0"))</f>
        <v/>
      </c>
      <c r="N685" s="18" t="str">
        <f aca="false">IF(K685="","",IF(L685=0,"",ROUND((J685-K685)/L685,2)))</f>
        <v/>
      </c>
      <c r="O685" s="19" t="str">
        <f aca="false">IF(J685="","",IF(MIN(F685,G685)&lt;=설정!$B$5,"예",""))</f>
        <v/>
      </c>
      <c r="P685" s="19" t="str">
        <f aca="false">IF(J685="","",IF(M685&lt;설정!$B$3,"baseline 수집 중",IF(N685="","정상",IF(N685&lt;=설정!$B$4,"낮음","정상"))))</f>
        <v/>
      </c>
      <c r="Q685" s="20"/>
      <c r="R685" s="18" t="str">
        <f aca="false">IF(J685="","",J685^2)</f>
        <v/>
      </c>
    </row>
    <row r="686" customFormat="false" ht="15" hidden="false" customHeight="false" outlineLevel="0" collapsed="false">
      <c r="A686" s="16"/>
      <c r="B686" s="17"/>
      <c r="C686" s="17"/>
      <c r="D686" s="17"/>
      <c r="E686" s="17"/>
      <c r="F686" s="17"/>
      <c r="G686" s="17"/>
      <c r="H686" s="17"/>
      <c r="I686" s="17"/>
      <c r="J686" s="18" t="str">
        <f aca="false">IF(COUNT(E686:I686)&lt;5,"",SUM(E686:I686))</f>
        <v/>
      </c>
      <c r="K686" s="18" t="str">
        <f aca="false">IF(J686="","",IF(M686&lt;설정!$B$3,"",ROUND(AVERAGEIFS($J$2:$J$1001,$B$2:$B$1001,B686,$A$2:$A$1001,"&lt;"&amp;A686,$A$2:$A$1001,"&gt;="&amp;(A686-설정!$B$2)),2)))</f>
        <v/>
      </c>
      <c r="L686" s="18" t="str">
        <f aca="false">IF(K686="","",ROUND(SQRT(MAX(0,(SUMIFS($R$2:$R$1001,$B$2:$B$1001,B686,$A$2:$A$1001,"&lt;"&amp;A686,$A$2:$A$1001,"&gt;="&amp;(A686-설정!$B$2))-M686*AVERAGEIFS($J$2:$J$1001,$B$2:$B$1001,B686,$A$2:$A$1001,"&lt;"&amp;A686,$A$2:$A$1001,"&gt;="&amp;(A686-설정!$B$2))^2)/(M686-1))),2))</f>
        <v/>
      </c>
      <c r="M686" s="18" t="str">
        <f aca="false">IF(J686="","",COUNTIFS($B$2:$B$1001,B686,$A$2:$A$1001,"&lt;"&amp;A686,$A$2:$A$1001,"&gt;="&amp;(A686-설정!$B$2),$J$2:$J$1001,"&gt;=0"))</f>
        <v/>
      </c>
      <c r="N686" s="18" t="str">
        <f aca="false">IF(K686="","",IF(L686=0,"",ROUND((J686-K686)/L686,2)))</f>
        <v/>
      </c>
      <c r="O686" s="19" t="str">
        <f aca="false">IF(J686="","",IF(MIN(F686,G686)&lt;=설정!$B$5,"예",""))</f>
        <v/>
      </c>
      <c r="P686" s="19" t="str">
        <f aca="false">IF(J686="","",IF(M686&lt;설정!$B$3,"baseline 수집 중",IF(N686="","정상",IF(N686&lt;=설정!$B$4,"낮음","정상"))))</f>
        <v/>
      </c>
      <c r="Q686" s="20"/>
      <c r="R686" s="18" t="str">
        <f aca="false">IF(J686="","",J686^2)</f>
        <v/>
      </c>
    </row>
    <row r="687" customFormat="false" ht="15" hidden="false" customHeight="false" outlineLevel="0" collapsed="false">
      <c r="A687" s="16"/>
      <c r="B687" s="17"/>
      <c r="C687" s="17"/>
      <c r="D687" s="17"/>
      <c r="E687" s="17"/>
      <c r="F687" s="17"/>
      <c r="G687" s="17"/>
      <c r="H687" s="17"/>
      <c r="I687" s="17"/>
      <c r="J687" s="18" t="str">
        <f aca="false">IF(COUNT(E687:I687)&lt;5,"",SUM(E687:I687))</f>
        <v/>
      </c>
      <c r="K687" s="18" t="str">
        <f aca="false">IF(J687="","",IF(M687&lt;설정!$B$3,"",ROUND(AVERAGEIFS($J$2:$J$1001,$B$2:$B$1001,B687,$A$2:$A$1001,"&lt;"&amp;A687,$A$2:$A$1001,"&gt;="&amp;(A687-설정!$B$2)),2)))</f>
        <v/>
      </c>
      <c r="L687" s="18" t="str">
        <f aca="false">IF(K687="","",ROUND(SQRT(MAX(0,(SUMIFS($R$2:$R$1001,$B$2:$B$1001,B687,$A$2:$A$1001,"&lt;"&amp;A687,$A$2:$A$1001,"&gt;="&amp;(A687-설정!$B$2))-M687*AVERAGEIFS($J$2:$J$1001,$B$2:$B$1001,B687,$A$2:$A$1001,"&lt;"&amp;A687,$A$2:$A$1001,"&gt;="&amp;(A687-설정!$B$2))^2)/(M687-1))),2))</f>
        <v/>
      </c>
      <c r="M687" s="18" t="str">
        <f aca="false">IF(J687="","",COUNTIFS($B$2:$B$1001,B687,$A$2:$A$1001,"&lt;"&amp;A687,$A$2:$A$1001,"&gt;="&amp;(A687-설정!$B$2),$J$2:$J$1001,"&gt;=0"))</f>
        <v/>
      </c>
      <c r="N687" s="18" t="str">
        <f aca="false">IF(K687="","",IF(L687=0,"",ROUND((J687-K687)/L687,2)))</f>
        <v/>
      </c>
      <c r="O687" s="19" t="str">
        <f aca="false">IF(J687="","",IF(MIN(F687,G687)&lt;=설정!$B$5,"예",""))</f>
        <v/>
      </c>
      <c r="P687" s="19" t="str">
        <f aca="false">IF(J687="","",IF(M687&lt;설정!$B$3,"baseline 수집 중",IF(N687="","정상",IF(N687&lt;=설정!$B$4,"낮음","정상"))))</f>
        <v/>
      </c>
      <c r="Q687" s="20"/>
      <c r="R687" s="18" t="str">
        <f aca="false">IF(J687="","",J687^2)</f>
        <v/>
      </c>
    </row>
    <row r="688" customFormat="false" ht="15" hidden="false" customHeight="false" outlineLevel="0" collapsed="false">
      <c r="A688" s="16"/>
      <c r="B688" s="17"/>
      <c r="C688" s="17"/>
      <c r="D688" s="17"/>
      <c r="E688" s="17"/>
      <c r="F688" s="17"/>
      <c r="G688" s="17"/>
      <c r="H688" s="17"/>
      <c r="I688" s="17"/>
      <c r="J688" s="18" t="str">
        <f aca="false">IF(COUNT(E688:I688)&lt;5,"",SUM(E688:I688))</f>
        <v/>
      </c>
      <c r="K688" s="18" t="str">
        <f aca="false">IF(J688="","",IF(M688&lt;설정!$B$3,"",ROUND(AVERAGEIFS($J$2:$J$1001,$B$2:$B$1001,B688,$A$2:$A$1001,"&lt;"&amp;A688,$A$2:$A$1001,"&gt;="&amp;(A688-설정!$B$2)),2)))</f>
        <v/>
      </c>
      <c r="L688" s="18" t="str">
        <f aca="false">IF(K688="","",ROUND(SQRT(MAX(0,(SUMIFS($R$2:$R$1001,$B$2:$B$1001,B688,$A$2:$A$1001,"&lt;"&amp;A688,$A$2:$A$1001,"&gt;="&amp;(A688-설정!$B$2))-M688*AVERAGEIFS($J$2:$J$1001,$B$2:$B$1001,B688,$A$2:$A$1001,"&lt;"&amp;A688,$A$2:$A$1001,"&gt;="&amp;(A688-설정!$B$2))^2)/(M688-1))),2))</f>
        <v/>
      </c>
      <c r="M688" s="18" t="str">
        <f aca="false">IF(J688="","",COUNTIFS($B$2:$B$1001,B688,$A$2:$A$1001,"&lt;"&amp;A688,$A$2:$A$1001,"&gt;="&amp;(A688-설정!$B$2),$J$2:$J$1001,"&gt;=0"))</f>
        <v/>
      </c>
      <c r="N688" s="18" t="str">
        <f aca="false">IF(K688="","",IF(L688=0,"",ROUND((J688-K688)/L688,2)))</f>
        <v/>
      </c>
      <c r="O688" s="19" t="str">
        <f aca="false">IF(J688="","",IF(MIN(F688,G688)&lt;=설정!$B$5,"예",""))</f>
        <v/>
      </c>
      <c r="P688" s="19" t="str">
        <f aca="false">IF(J688="","",IF(M688&lt;설정!$B$3,"baseline 수집 중",IF(N688="","정상",IF(N688&lt;=설정!$B$4,"낮음","정상"))))</f>
        <v/>
      </c>
      <c r="Q688" s="20"/>
      <c r="R688" s="18" t="str">
        <f aca="false">IF(J688="","",J688^2)</f>
        <v/>
      </c>
    </row>
    <row r="689" customFormat="false" ht="15" hidden="false" customHeight="false" outlineLevel="0" collapsed="false">
      <c r="A689" s="16"/>
      <c r="B689" s="17"/>
      <c r="C689" s="17"/>
      <c r="D689" s="17"/>
      <c r="E689" s="17"/>
      <c r="F689" s="17"/>
      <c r="G689" s="17"/>
      <c r="H689" s="17"/>
      <c r="I689" s="17"/>
      <c r="J689" s="18" t="str">
        <f aca="false">IF(COUNT(E689:I689)&lt;5,"",SUM(E689:I689))</f>
        <v/>
      </c>
      <c r="K689" s="18" t="str">
        <f aca="false">IF(J689="","",IF(M689&lt;설정!$B$3,"",ROUND(AVERAGEIFS($J$2:$J$1001,$B$2:$B$1001,B689,$A$2:$A$1001,"&lt;"&amp;A689,$A$2:$A$1001,"&gt;="&amp;(A689-설정!$B$2)),2)))</f>
        <v/>
      </c>
      <c r="L689" s="18" t="str">
        <f aca="false">IF(K689="","",ROUND(SQRT(MAX(0,(SUMIFS($R$2:$R$1001,$B$2:$B$1001,B689,$A$2:$A$1001,"&lt;"&amp;A689,$A$2:$A$1001,"&gt;="&amp;(A689-설정!$B$2))-M689*AVERAGEIFS($J$2:$J$1001,$B$2:$B$1001,B689,$A$2:$A$1001,"&lt;"&amp;A689,$A$2:$A$1001,"&gt;="&amp;(A689-설정!$B$2))^2)/(M689-1))),2))</f>
        <v/>
      </c>
      <c r="M689" s="18" t="str">
        <f aca="false">IF(J689="","",COUNTIFS($B$2:$B$1001,B689,$A$2:$A$1001,"&lt;"&amp;A689,$A$2:$A$1001,"&gt;="&amp;(A689-설정!$B$2),$J$2:$J$1001,"&gt;=0"))</f>
        <v/>
      </c>
      <c r="N689" s="18" t="str">
        <f aca="false">IF(K689="","",IF(L689=0,"",ROUND((J689-K689)/L689,2)))</f>
        <v/>
      </c>
      <c r="O689" s="19" t="str">
        <f aca="false">IF(J689="","",IF(MIN(F689,G689)&lt;=설정!$B$5,"예",""))</f>
        <v/>
      </c>
      <c r="P689" s="19" t="str">
        <f aca="false">IF(J689="","",IF(M689&lt;설정!$B$3,"baseline 수집 중",IF(N689="","정상",IF(N689&lt;=설정!$B$4,"낮음","정상"))))</f>
        <v/>
      </c>
      <c r="Q689" s="20"/>
      <c r="R689" s="18" t="str">
        <f aca="false">IF(J689="","",J689^2)</f>
        <v/>
      </c>
    </row>
    <row r="690" customFormat="false" ht="15" hidden="false" customHeight="false" outlineLevel="0" collapsed="false">
      <c r="A690" s="16"/>
      <c r="B690" s="17"/>
      <c r="C690" s="17"/>
      <c r="D690" s="17"/>
      <c r="E690" s="17"/>
      <c r="F690" s="17"/>
      <c r="G690" s="17"/>
      <c r="H690" s="17"/>
      <c r="I690" s="17"/>
      <c r="J690" s="18" t="str">
        <f aca="false">IF(COUNT(E690:I690)&lt;5,"",SUM(E690:I690))</f>
        <v/>
      </c>
      <c r="K690" s="18" t="str">
        <f aca="false">IF(J690="","",IF(M690&lt;설정!$B$3,"",ROUND(AVERAGEIFS($J$2:$J$1001,$B$2:$B$1001,B690,$A$2:$A$1001,"&lt;"&amp;A690,$A$2:$A$1001,"&gt;="&amp;(A690-설정!$B$2)),2)))</f>
        <v/>
      </c>
      <c r="L690" s="18" t="str">
        <f aca="false">IF(K690="","",ROUND(SQRT(MAX(0,(SUMIFS($R$2:$R$1001,$B$2:$B$1001,B690,$A$2:$A$1001,"&lt;"&amp;A690,$A$2:$A$1001,"&gt;="&amp;(A690-설정!$B$2))-M690*AVERAGEIFS($J$2:$J$1001,$B$2:$B$1001,B690,$A$2:$A$1001,"&lt;"&amp;A690,$A$2:$A$1001,"&gt;="&amp;(A690-설정!$B$2))^2)/(M690-1))),2))</f>
        <v/>
      </c>
      <c r="M690" s="18" t="str">
        <f aca="false">IF(J690="","",COUNTIFS($B$2:$B$1001,B690,$A$2:$A$1001,"&lt;"&amp;A690,$A$2:$A$1001,"&gt;="&amp;(A690-설정!$B$2),$J$2:$J$1001,"&gt;=0"))</f>
        <v/>
      </c>
      <c r="N690" s="18" t="str">
        <f aca="false">IF(K690="","",IF(L690=0,"",ROUND((J690-K690)/L690,2)))</f>
        <v/>
      </c>
      <c r="O690" s="19" t="str">
        <f aca="false">IF(J690="","",IF(MIN(F690,G690)&lt;=설정!$B$5,"예",""))</f>
        <v/>
      </c>
      <c r="P690" s="19" t="str">
        <f aca="false">IF(J690="","",IF(M690&lt;설정!$B$3,"baseline 수집 중",IF(N690="","정상",IF(N690&lt;=설정!$B$4,"낮음","정상"))))</f>
        <v/>
      </c>
      <c r="Q690" s="20"/>
      <c r="R690" s="18" t="str">
        <f aca="false">IF(J690="","",J690^2)</f>
        <v/>
      </c>
    </row>
    <row r="691" customFormat="false" ht="15" hidden="false" customHeight="false" outlineLevel="0" collapsed="false">
      <c r="A691" s="16"/>
      <c r="B691" s="17"/>
      <c r="C691" s="17"/>
      <c r="D691" s="17"/>
      <c r="E691" s="17"/>
      <c r="F691" s="17"/>
      <c r="G691" s="17"/>
      <c r="H691" s="17"/>
      <c r="I691" s="17"/>
      <c r="J691" s="18" t="str">
        <f aca="false">IF(COUNT(E691:I691)&lt;5,"",SUM(E691:I691))</f>
        <v/>
      </c>
      <c r="K691" s="18" t="str">
        <f aca="false">IF(J691="","",IF(M691&lt;설정!$B$3,"",ROUND(AVERAGEIFS($J$2:$J$1001,$B$2:$B$1001,B691,$A$2:$A$1001,"&lt;"&amp;A691,$A$2:$A$1001,"&gt;="&amp;(A691-설정!$B$2)),2)))</f>
        <v/>
      </c>
      <c r="L691" s="18" t="str">
        <f aca="false">IF(K691="","",ROUND(SQRT(MAX(0,(SUMIFS($R$2:$R$1001,$B$2:$B$1001,B691,$A$2:$A$1001,"&lt;"&amp;A691,$A$2:$A$1001,"&gt;="&amp;(A691-설정!$B$2))-M691*AVERAGEIFS($J$2:$J$1001,$B$2:$B$1001,B691,$A$2:$A$1001,"&lt;"&amp;A691,$A$2:$A$1001,"&gt;="&amp;(A691-설정!$B$2))^2)/(M691-1))),2))</f>
        <v/>
      </c>
      <c r="M691" s="18" t="str">
        <f aca="false">IF(J691="","",COUNTIFS($B$2:$B$1001,B691,$A$2:$A$1001,"&lt;"&amp;A691,$A$2:$A$1001,"&gt;="&amp;(A691-설정!$B$2),$J$2:$J$1001,"&gt;=0"))</f>
        <v/>
      </c>
      <c r="N691" s="18" t="str">
        <f aca="false">IF(K691="","",IF(L691=0,"",ROUND((J691-K691)/L691,2)))</f>
        <v/>
      </c>
      <c r="O691" s="19" t="str">
        <f aca="false">IF(J691="","",IF(MIN(F691,G691)&lt;=설정!$B$5,"예",""))</f>
        <v/>
      </c>
      <c r="P691" s="19" t="str">
        <f aca="false">IF(J691="","",IF(M691&lt;설정!$B$3,"baseline 수집 중",IF(N691="","정상",IF(N691&lt;=설정!$B$4,"낮음","정상"))))</f>
        <v/>
      </c>
      <c r="Q691" s="20"/>
      <c r="R691" s="18" t="str">
        <f aca="false">IF(J691="","",J691^2)</f>
        <v/>
      </c>
    </row>
    <row r="692" customFormat="false" ht="15" hidden="false" customHeight="false" outlineLevel="0" collapsed="false">
      <c r="A692" s="16"/>
      <c r="B692" s="17"/>
      <c r="C692" s="17"/>
      <c r="D692" s="17"/>
      <c r="E692" s="17"/>
      <c r="F692" s="17"/>
      <c r="G692" s="17"/>
      <c r="H692" s="17"/>
      <c r="I692" s="17"/>
      <c r="J692" s="18" t="str">
        <f aca="false">IF(COUNT(E692:I692)&lt;5,"",SUM(E692:I692))</f>
        <v/>
      </c>
      <c r="K692" s="18" t="str">
        <f aca="false">IF(J692="","",IF(M692&lt;설정!$B$3,"",ROUND(AVERAGEIFS($J$2:$J$1001,$B$2:$B$1001,B692,$A$2:$A$1001,"&lt;"&amp;A692,$A$2:$A$1001,"&gt;="&amp;(A692-설정!$B$2)),2)))</f>
        <v/>
      </c>
      <c r="L692" s="18" t="str">
        <f aca="false">IF(K692="","",ROUND(SQRT(MAX(0,(SUMIFS($R$2:$R$1001,$B$2:$B$1001,B692,$A$2:$A$1001,"&lt;"&amp;A692,$A$2:$A$1001,"&gt;="&amp;(A692-설정!$B$2))-M692*AVERAGEIFS($J$2:$J$1001,$B$2:$B$1001,B692,$A$2:$A$1001,"&lt;"&amp;A692,$A$2:$A$1001,"&gt;="&amp;(A692-설정!$B$2))^2)/(M692-1))),2))</f>
        <v/>
      </c>
      <c r="M692" s="18" t="str">
        <f aca="false">IF(J692="","",COUNTIFS($B$2:$B$1001,B692,$A$2:$A$1001,"&lt;"&amp;A692,$A$2:$A$1001,"&gt;="&amp;(A692-설정!$B$2),$J$2:$J$1001,"&gt;=0"))</f>
        <v/>
      </c>
      <c r="N692" s="18" t="str">
        <f aca="false">IF(K692="","",IF(L692=0,"",ROUND((J692-K692)/L692,2)))</f>
        <v/>
      </c>
      <c r="O692" s="19" t="str">
        <f aca="false">IF(J692="","",IF(MIN(F692,G692)&lt;=설정!$B$5,"예",""))</f>
        <v/>
      </c>
      <c r="P692" s="19" t="str">
        <f aca="false">IF(J692="","",IF(M692&lt;설정!$B$3,"baseline 수집 중",IF(N692="","정상",IF(N692&lt;=설정!$B$4,"낮음","정상"))))</f>
        <v/>
      </c>
      <c r="Q692" s="20"/>
      <c r="R692" s="18" t="str">
        <f aca="false">IF(J692="","",J692^2)</f>
        <v/>
      </c>
    </row>
    <row r="693" customFormat="false" ht="15" hidden="false" customHeight="false" outlineLevel="0" collapsed="false">
      <c r="A693" s="16"/>
      <c r="B693" s="17"/>
      <c r="C693" s="17"/>
      <c r="D693" s="17"/>
      <c r="E693" s="17"/>
      <c r="F693" s="17"/>
      <c r="G693" s="17"/>
      <c r="H693" s="17"/>
      <c r="I693" s="17"/>
      <c r="J693" s="18" t="str">
        <f aca="false">IF(COUNT(E693:I693)&lt;5,"",SUM(E693:I693))</f>
        <v/>
      </c>
      <c r="K693" s="18" t="str">
        <f aca="false">IF(J693="","",IF(M693&lt;설정!$B$3,"",ROUND(AVERAGEIFS($J$2:$J$1001,$B$2:$B$1001,B693,$A$2:$A$1001,"&lt;"&amp;A693,$A$2:$A$1001,"&gt;="&amp;(A693-설정!$B$2)),2)))</f>
        <v/>
      </c>
      <c r="L693" s="18" t="str">
        <f aca="false">IF(K693="","",ROUND(SQRT(MAX(0,(SUMIFS($R$2:$R$1001,$B$2:$B$1001,B693,$A$2:$A$1001,"&lt;"&amp;A693,$A$2:$A$1001,"&gt;="&amp;(A693-설정!$B$2))-M693*AVERAGEIFS($J$2:$J$1001,$B$2:$B$1001,B693,$A$2:$A$1001,"&lt;"&amp;A693,$A$2:$A$1001,"&gt;="&amp;(A693-설정!$B$2))^2)/(M693-1))),2))</f>
        <v/>
      </c>
      <c r="M693" s="18" t="str">
        <f aca="false">IF(J693="","",COUNTIFS($B$2:$B$1001,B693,$A$2:$A$1001,"&lt;"&amp;A693,$A$2:$A$1001,"&gt;="&amp;(A693-설정!$B$2),$J$2:$J$1001,"&gt;=0"))</f>
        <v/>
      </c>
      <c r="N693" s="18" t="str">
        <f aca="false">IF(K693="","",IF(L693=0,"",ROUND((J693-K693)/L693,2)))</f>
        <v/>
      </c>
      <c r="O693" s="19" t="str">
        <f aca="false">IF(J693="","",IF(MIN(F693,G693)&lt;=설정!$B$5,"예",""))</f>
        <v/>
      </c>
      <c r="P693" s="19" t="str">
        <f aca="false">IF(J693="","",IF(M693&lt;설정!$B$3,"baseline 수집 중",IF(N693="","정상",IF(N693&lt;=설정!$B$4,"낮음","정상"))))</f>
        <v/>
      </c>
      <c r="Q693" s="20"/>
      <c r="R693" s="18" t="str">
        <f aca="false">IF(J693="","",J693^2)</f>
        <v/>
      </c>
    </row>
    <row r="694" customFormat="false" ht="15" hidden="false" customHeight="false" outlineLevel="0" collapsed="false">
      <c r="A694" s="16"/>
      <c r="B694" s="17"/>
      <c r="C694" s="17"/>
      <c r="D694" s="17"/>
      <c r="E694" s="17"/>
      <c r="F694" s="17"/>
      <c r="G694" s="17"/>
      <c r="H694" s="17"/>
      <c r="I694" s="17"/>
      <c r="J694" s="18" t="str">
        <f aca="false">IF(COUNT(E694:I694)&lt;5,"",SUM(E694:I694))</f>
        <v/>
      </c>
      <c r="K694" s="18" t="str">
        <f aca="false">IF(J694="","",IF(M694&lt;설정!$B$3,"",ROUND(AVERAGEIFS($J$2:$J$1001,$B$2:$B$1001,B694,$A$2:$A$1001,"&lt;"&amp;A694,$A$2:$A$1001,"&gt;="&amp;(A694-설정!$B$2)),2)))</f>
        <v/>
      </c>
      <c r="L694" s="18" t="str">
        <f aca="false">IF(K694="","",ROUND(SQRT(MAX(0,(SUMIFS($R$2:$R$1001,$B$2:$B$1001,B694,$A$2:$A$1001,"&lt;"&amp;A694,$A$2:$A$1001,"&gt;="&amp;(A694-설정!$B$2))-M694*AVERAGEIFS($J$2:$J$1001,$B$2:$B$1001,B694,$A$2:$A$1001,"&lt;"&amp;A694,$A$2:$A$1001,"&gt;="&amp;(A694-설정!$B$2))^2)/(M694-1))),2))</f>
        <v/>
      </c>
      <c r="M694" s="18" t="str">
        <f aca="false">IF(J694="","",COUNTIFS($B$2:$B$1001,B694,$A$2:$A$1001,"&lt;"&amp;A694,$A$2:$A$1001,"&gt;="&amp;(A694-설정!$B$2),$J$2:$J$1001,"&gt;=0"))</f>
        <v/>
      </c>
      <c r="N694" s="18" t="str">
        <f aca="false">IF(K694="","",IF(L694=0,"",ROUND((J694-K694)/L694,2)))</f>
        <v/>
      </c>
      <c r="O694" s="19" t="str">
        <f aca="false">IF(J694="","",IF(MIN(F694,G694)&lt;=설정!$B$5,"예",""))</f>
        <v/>
      </c>
      <c r="P694" s="19" t="str">
        <f aca="false">IF(J694="","",IF(M694&lt;설정!$B$3,"baseline 수집 중",IF(N694="","정상",IF(N694&lt;=설정!$B$4,"낮음","정상"))))</f>
        <v/>
      </c>
      <c r="Q694" s="20"/>
      <c r="R694" s="18" t="str">
        <f aca="false">IF(J694="","",J694^2)</f>
        <v/>
      </c>
    </row>
    <row r="695" customFormat="false" ht="15" hidden="false" customHeight="false" outlineLevel="0" collapsed="false">
      <c r="A695" s="16"/>
      <c r="B695" s="17"/>
      <c r="C695" s="17"/>
      <c r="D695" s="17"/>
      <c r="E695" s="17"/>
      <c r="F695" s="17"/>
      <c r="G695" s="17"/>
      <c r="H695" s="17"/>
      <c r="I695" s="17"/>
      <c r="J695" s="18" t="str">
        <f aca="false">IF(COUNT(E695:I695)&lt;5,"",SUM(E695:I695))</f>
        <v/>
      </c>
      <c r="K695" s="18" t="str">
        <f aca="false">IF(J695="","",IF(M695&lt;설정!$B$3,"",ROUND(AVERAGEIFS($J$2:$J$1001,$B$2:$B$1001,B695,$A$2:$A$1001,"&lt;"&amp;A695,$A$2:$A$1001,"&gt;="&amp;(A695-설정!$B$2)),2)))</f>
        <v/>
      </c>
      <c r="L695" s="18" t="str">
        <f aca="false">IF(K695="","",ROUND(SQRT(MAX(0,(SUMIFS($R$2:$R$1001,$B$2:$B$1001,B695,$A$2:$A$1001,"&lt;"&amp;A695,$A$2:$A$1001,"&gt;="&amp;(A695-설정!$B$2))-M695*AVERAGEIFS($J$2:$J$1001,$B$2:$B$1001,B695,$A$2:$A$1001,"&lt;"&amp;A695,$A$2:$A$1001,"&gt;="&amp;(A695-설정!$B$2))^2)/(M695-1))),2))</f>
        <v/>
      </c>
      <c r="M695" s="18" t="str">
        <f aca="false">IF(J695="","",COUNTIFS($B$2:$B$1001,B695,$A$2:$A$1001,"&lt;"&amp;A695,$A$2:$A$1001,"&gt;="&amp;(A695-설정!$B$2),$J$2:$J$1001,"&gt;=0"))</f>
        <v/>
      </c>
      <c r="N695" s="18" t="str">
        <f aca="false">IF(K695="","",IF(L695=0,"",ROUND((J695-K695)/L695,2)))</f>
        <v/>
      </c>
      <c r="O695" s="19" t="str">
        <f aca="false">IF(J695="","",IF(MIN(F695,G695)&lt;=설정!$B$5,"예",""))</f>
        <v/>
      </c>
      <c r="P695" s="19" t="str">
        <f aca="false">IF(J695="","",IF(M695&lt;설정!$B$3,"baseline 수집 중",IF(N695="","정상",IF(N695&lt;=설정!$B$4,"낮음","정상"))))</f>
        <v/>
      </c>
      <c r="Q695" s="20"/>
      <c r="R695" s="18" t="str">
        <f aca="false">IF(J695="","",J695^2)</f>
        <v/>
      </c>
    </row>
    <row r="696" customFormat="false" ht="15" hidden="false" customHeight="false" outlineLevel="0" collapsed="false">
      <c r="A696" s="16"/>
      <c r="B696" s="17"/>
      <c r="C696" s="17"/>
      <c r="D696" s="17"/>
      <c r="E696" s="17"/>
      <c r="F696" s="17"/>
      <c r="G696" s="17"/>
      <c r="H696" s="17"/>
      <c r="I696" s="17"/>
      <c r="J696" s="18" t="str">
        <f aca="false">IF(COUNT(E696:I696)&lt;5,"",SUM(E696:I696))</f>
        <v/>
      </c>
      <c r="K696" s="18" t="str">
        <f aca="false">IF(J696="","",IF(M696&lt;설정!$B$3,"",ROUND(AVERAGEIFS($J$2:$J$1001,$B$2:$B$1001,B696,$A$2:$A$1001,"&lt;"&amp;A696,$A$2:$A$1001,"&gt;="&amp;(A696-설정!$B$2)),2)))</f>
        <v/>
      </c>
      <c r="L696" s="18" t="str">
        <f aca="false">IF(K696="","",ROUND(SQRT(MAX(0,(SUMIFS($R$2:$R$1001,$B$2:$B$1001,B696,$A$2:$A$1001,"&lt;"&amp;A696,$A$2:$A$1001,"&gt;="&amp;(A696-설정!$B$2))-M696*AVERAGEIFS($J$2:$J$1001,$B$2:$B$1001,B696,$A$2:$A$1001,"&lt;"&amp;A696,$A$2:$A$1001,"&gt;="&amp;(A696-설정!$B$2))^2)/(M696-1))),2))</f>
        <v/>
      </c>
      <c r="M696" s="18" t="str">
        <f aca="false">IF(J696="","",COUNTIFS($B$2:$B$1001,B696,$A$2:$A$1001,"&lt;"&amp;A696,$A$2:$A$1001,"&gt;="&amp;(A696-설정!$B$2),$J$2:$J$1001,"&gt;=0"))</f>
        <v/>
      </c>
      <c r="N696" s="18" t="str">
        <f aca="false">IF(K696="","",IF(L696=0,"",ROUND((J696-K696)/L696,2)))</f>
        <v/>
      </c>
      <c r="O696" s="19" t="str">
        <f aca="false">IF(J696="","",IF(MIN(F696,G696)&lt;=설정!$B$5,"예",""))</f>
        <v/>
      </c>
      <c r="P696" s="19" t="str">
        <f aca="false">IF(J696="","",IF(M696&lt;설정!$B$3,"baseline 수집 중",IF(N696="","정상",IF(N696&lt;=설정!$B$4,"낮음","정상"))))</f>
        <v/>
      </c>
      <c r="Q696" s="20"/>
      <c r="R696" s="18" t="str">
        <f aca="false">IF(J696="","",J696^2)</f>
        <v/>
      </c>
    </row>
    <row r="697" customFormat="false" ht="15" hidden="false" customHeight="false" outlineLevel="0" collapsed="false">
      <c r="A697" s="16"/>
      <c r="B697" s="17"/>
      <c r="C697" s="17"/>
      <c r="D697" s="17"/>
      <c r="E697" s="17"/>
      <c r="F697" s="17"/>
      <c r="G697" s="17"/>
      <c r="H697" s="17"/>
      <c r="I697" s="17"/>
      <c r="J697" s="18" t="str">
        <f aca="false">IF(COUNT(E697:I697)&lt;5,"",SUM(E697:I697))</f>
        <v/>
      </c>
      <c r="K697" s="18" t="str">
        <f aca="false">IF(J697="","",IF(M697&lt;설정!$B$3,"",ROUND(AVERAGEIFS($J$2:$J$1001,$B$2:$B$1001,B697,$A$2:$A$1001,"&lt;"&amp;A697,$A$2:$A$1001,"&gt;="&amp;(A697-설정!$B$2)),2)))</f>
        <v/>
      </c>
      <c r="L697" s="18" t="str">
        <f aca="false">IF(K697="","",ROUND(SQRT(MAX(0,(SUMIFS($R$2:$R$1001,$B$2:$B$1001,B697,$A$2:$A$1001,"&lt;"&amp;A697,$A$2:$A$1001,"&gt;="&amp;(A697-설정!$B$2))-M697*AVERAGEIFS($J$2:$J$1001,$B$2:$B$1001,B697,$A$2:$A$1001,"&lt;"&amp;A697,$A$2:$A$1001,"&gt;="&amp;(A697-설정!$B$2))^2)/(M697-1))),2))</f>
        <v/>
      </c>
      <c r="M697" s="18" t="str">
        <f aca="false">IF(J697="","",COUNTIFS($B$2:$B$1001,B697,$A$2:$A$1001,"&lt;"&amp;A697,$A$2:$A$1001,"&gt;="&amp;(A697-설정!$B$2),$J$2:$J$1001,"&gt;=0"))</f>
        <v/>
      </c>
      <c r="N697" s="18" t="str">
        <f aca="false">IF(K697="","",IF(L697=0,"",ROUND((J697-K697)/L697,2)))</f>
        <v/>
      </c>
      <c r="O697" s="19" t="str">
        <f aca="false">IF(J697="","",IF(MIN(F697,G697)&lt;=설정!$B$5,"예",""))</f>
        <v/>
      </c>
      <c r="P697" s="19" t="str">
        <f aca="false">IF(J697="","",IF(M697&lt;설정!$B$3,"baseline 수집 중",IF(N697="","정상",IF(N697&lt;=설정!$B$4,"낮음","정상"))))</f>
        <v/>
      </c>
      <c r="Q697" s="20"/>
      <c r="R697" s="18" t="str">
        <f aca="false">IF(J697="","",J697^2)</f>
        <v/>
      </c>
    </row>
    <row r="698" customFormat="false" ht="15" hidden="false" customHeight="false" outlineLevel="0" collapsed="false">
      <c r="A698" s="16"/>
      <c r="B698" s="17"/>
      <c r="C698" s="17"/>
      <c r="D698" s="17"/>
      <c r="E698" s="17"/>
      <c r="F698" s="17"/>
      <c r="G698" s="17"/>
      <c r="H698" s="17"/>
      <c r="I698" s="17"/>
      <c r="J698" s="18" t="str">
        <f aca="false">IF(COUNT(E698:I698)&lt;5,"",SUM(E698:I698))</f>
        <v/>
      </c>
      <c r="K698" s="18" t="str">
        <f aca="false">IF(J698="","",IF(M698&lt;설정!$B$3,"",ROUND(AVERAGEIFS($J$2:$J$1001,$B$2:$B$1001,B698,$A$2:$A$1001,"&lt;"&amp;A698,$A$2:$A$1001,"&gt;="&amp;(A698-설정!$B$2)),2)))</f>
        <v/>
      </c>
      <c r="L698" s="18" t="str">
        <f aca="false">IF(K698="","",ROUND(SQRT(MAX(0,(SUMIFS($R$2:$R$1001,$B$2:$B$1001,B698,$A$2:$A$1001,"&lt;"&amp;A698,$A$2:$A$1001,"&gt;="&amp;(A698-설정!$B$2))-M698*AVERAGEIFS($J$2:$J$1001,$B$2:$B$1001,B698,$A$2:$A$1001,"&lt;"&amp;A698,$A$2:$A$1001,"&gt;="&amp;(A698-설정!$B$2))^2)/(M698-1))),2))</f>
        <v/>
      </c>
      <c r="M698" s="18" t="str">
        <f aca="false">IF(J698="","",COUNTIFS($B$2:$B$1001,B698,$A$2:$A$1001,"&lt;"&amp;A698,$A$2:$A$1001,"&gt;="&amp;(A698-설정!$B$2),$J$2:$J$1001,"&gt;=0"))</f>
        <v/>
      </c>
      <c r="N698" s="18" t="str">
        <f aca="false">IF(K698="","",IF(L698=0,"",ROUND((J698-K698)/L698,2)))</f>
        <v/>
      </c>
      <c r="O698" s="19" t="str">
        <f aca="false">IF(J698="","",IF(MIN(F698,G698)&lt;=설정!$B$5,"예",""))</f>
        <v/>
      </c>
      <c r="P698" s="19" t="str">
        <f aca="false">IF(J698="","",IF(M698&lt;설정!$B$3,"baseline 수집 중",IF(N698="","정상",IF(N698&lt;=설정!$B$4,"낮음","정상"))))</f>
        <v/>
      </c>
      <c r="Q698" s="20"/>
      <c r="R698" s="18" t="str">
        <f aca="false">IF(J698="","",J698^2)</f>
        <v/>
      </c>
    </row>
    <row r="699" customFormat="false" ht="15" hidden="false" customHeight="false" outlineLevel="0" collapsed="false">
      <c r="A699" s="16"/>
      <c r="B699" s="17"/>
      <c r="C699" s="17"/>
      <c r="D699" s="17"/>
      <c r="E699" s="17"/>
      <c r="F699" s="17"/>
      <c r="G699" s="17"/>
      <c r="H699" s="17"/>
      <c r="I699" s="17"/>
      <c r="J699" s="18" t="str">
        <f aca="false">IF(COUNT(E699:I699)&lt;5,"",SUM(E699:I699))</f>
        <v/>
      </c>
      <c r="K699" s="18" t="str">
        <f aca="false">IF(J699="","",IF(M699&lt;설정!$B$3,"",ROUND(AVERAGEIFS($J$2:$J$1001,$B$2:$B$1001,B699,$A$2:$A$1001,"&lt;"&amp;A699,$A$2:$A$1001,"&gt;="&amp;(A699-설정!$B$2)),2)))</f>
        <v/>
      </c>
      <c r="L699" s="18" t="str">
        <f aca="false">IF(K699="","",ROUND(SQRT(MAX(0,(SUMIFS($R$2:$R$1001,$B$2:$B$1001,B699,$A$2:$A$1001,"&lt;"&amp;A699,$A$2:$A$1001,"&gt;="&amp;(A699-설정!$B$2))-M699*AVERAGEIFS($J$2:$J$1001,$B$2:$B$1001,B699,$A$2:$A$1001,"&lt;"&amp;A699,$A$2:$A$1001,"&gt;="&amp;(A699-설정!$B$2))^2)/(M699-1))),2))</f>
        <v/>
      </c>
      <c r="M699" s="18" t="str">
        <f aca="false">IF(J699="","",COUNTIFS($B$2:$B$1001,B699,$A$2:$A$1001,"&lt;"&amp;A699,$A$2:$A$1001,"&gt;="&amp;(A699-설정!$B$2),$J$2:$J$1001,"&gt;=0"))</f>
        <v/>
      </c>
      <c r="N699" s="18" t="str">
        <f aca="false">IF(K699="","",IF(L699=0,"",ROUND((J699-K699)/L699,2)))</f>
        <v/>
      </c>
      <c r="O699" s="19" t="str">
        <f aca="false">IF(J699="","",IF(MIN(F699,G699)&lt;=설정!$B$5,"예",""))</f>
        <v/>
      </c>
      <c r="P699" s="19" t="str">
        <f aca="false">IF(J699="","",IF(M699&lt;설정!$B$3,"baseline 수집 중",IF(N699="","정상",IF(N699&lt;=설정!$B$4,"낮음","정상"))))</f>
        <v/>
      </c>
      <c r="Q699" s="20"/>
      <c r="R699" s="18" t="str">
        <f aca="false">IF(J699="","",J699^2)</f>
        <v/>
      </c>
    </row>
    <row r="700" customFormat="false" ht="15" hidden="false" customHeight="false" outlineLevel="0" collapsed="false">
      <c r="A700" s="16"/>
      <c r="B700" s="17"/>
      <c r="C700" s="17"/>
      <c r="D700" s="17"/>
      <c r="E700" s="17"/>
      <c r="F700" s="17"/>
      <c r="G700" s="17"/>
      <c r="H700" s="17"/>
      <c r="I700" s="17"/>
      <c r="J700" s="18" t="str">
        <f aca="false">IF(COUNT(E700:I700)&lt;5,"",SUM(E700:I700))</f>
        <v/>
      </c>
      <c r="K700" s="18" t="str">
        <f aca="false">IF(J700="","",IF(M700&lt;설정!$B$3,"",ROUND(AVERAGEIFS($J$2:$J$1001,$B$2:$B$1001,B700,$A$2:$A$1001,"&lt;"&amp;A700,$A$2:$A$1001,"&gt;="&amp;(A700-설정!$B$2)),2)))</f>
        <v/>
      </c>
      <c r="L700" s="18" t="str">
        <f aca="false">IF(K700="","",ROUND(SQRT(MAX(0,(SUMIFS($R$2:$R$1001,$B$2:$B$1001,B700,$A$2:$A$1001,"&lt;"&amp;A700,$A$2:$A$1001,"&gt;="&amp;(A700-설정!$B$2))-M700*AVERAGEIFS($J$2:$J$1001,$B$2:$B$1001,B700,$A$2:$A$1001,"&lt;"&amp;A700,$A$2:$A$1001,"&gt;="&amp;(A700-설정!$B$2))^2)/(M700-1))),2))</f>
        <v/>
      </c>
      <c r="M700" s="18" t="str">
        <f aca="false">IF(J700="","",COUNTIFS($B$2:$B$1001,B700,$A$2:$A$1001,"&lt;"&amp;A700,$A$2:$A$1001,"&gt;="&amp;(A700-설정!$B$2),$J$2:$J$1001,"&gt;=0"))</f>
        <v/>
      </c>
      <c r="N700" s="18" t="str">
        <f aca="false">IF(K700="","",IF(L700=0,"",ROUND((J700-K700)/L700,2)))</f>
        <v/>
      </c>
      <c r="O700" s="19" t="str">
        <f aca="false">IF(J700="","",IF(MIN(F700,G700)&lt;=설정!$B$5,"예",""))</f>
        <v/>
      </c>
      <c r="P700" s="19" t="str">
        <f aca="false">IF(J700="","",IF(M700&lt;설정!$B$3,"baseline 수집 중",IF(N700="","정상",IF(N700&lt;=설정!$B$4,"낮음","정상"))))</f>
        <v/>
      </c>
      <c r="Q700" s="20"/>
      <c r="R700" s="18" t="str">
        <f aca="false">IF(J700="","",J700^2)</f>
        <v/>
      </c>
    </row>
    <row r="701" customFormat="false" ht="15" hidden="false" customHeight="false" outlineLevel="0" collapsed="false">
      <c r="A701" s="16"/>
      <c r="B701" s="17"/>
      <c r="C701" s="17"/>
      <c r="D701" s="17"/>
      <c r="E701" s="17"/>
      <c r="F701" s="17"/>
      <c r="G701" s="17"/>
      <c r="H701" s="17"/>
      <c r="I701" s="17"/>
      <c r="J701" s="18" t="str">
        <f aca="false">IF(COUNT(E701:I701)&lt;5,"",SUM(E701:I701))</f>
        <v/>
      </c>
      <c r="K701" s="18" t="str">
        <f aca="false">IF(J701="","",IF(M701&lt;설정!$B$3,"",ROUND(AVERAGEIFS($J$2:$J$1001,$B$2:$B$1001,B701,$A$2:$A$1001,"&lt;"&amp;A701,$A$2:$A$1001,"&gt;="&amp;(A701-설정!$B$2)),2)))</f>
        <v/>
      </c>
      <c r="L701" s="18" t="str">
        <f aca="false">IF(K701="","",ROUND(SQRT(MAX(0,(SUMIFS($R$2:$R$1001,$B$2:$B$1001,B701,$A$2:$A$1001,"&lt;"&amp;A701,$A$2:$A$1001,"&gt;="&amp;(A701-설정!$B$2))-M701*AVERAGEIFS($J$2:$J$1001,$B$2:$B$1001,B701,$A$2:$A$1001,"&lt;"&amp;A701,$A$2:$A$1001,"&gt;="&amp;(A701-설정!$B$2))^2)/(M701-1))),2))</f>
        <v/>
      </c>
      <c r="M701" s="18" t="str">
        <f aca="false">IF(J701="","",COUNTIFS($B$2:$B$1001,B701,$A$2:$A$1001,"&lt;"&amp;A701,$A$2:$A$1001,"&gt;="&amp;(A701-설정!$B$2),$J$2:$J$1001,"&gt;=0"))</f>
        <v/>
      </c>
      <c r="N701" s="18" t="str">
        <f aca="false">IF(K701="","",IF(L701=0,"",ROUND((J701-K701)/L701,2)))</f>
        <v/>
      </c>
      <c r="O701" s="19" t="str">
        <f aca="false">IF(J701="","",IF(MIN(F701,G701)&lt;=설정!$B$5,"예",""))</f>
        <v/>
      </c>
      <c r="P701" s="19" t="str">
        <f aca="false">IF(J701="","",IF(M701&lt;설정!$B$3,"baseline 수집 중",IF(N701="","정상",IF(N701&lt;=설정!$B$4,"낮음","정상"))))</f>
        <v/>
      </c>
      <c r="Q701" s="20"/>
      <c r="R701" s="18" t="str">
        <f aca="false">IF(J701="","",J701^2)</f>
        <v/>
      </c>
    </row>
    <row r="702" customFormat="false" ht="15" hidden="false" customHeight="false" outlineLevel="0" collapsed="false">
      <c r="A702" s="16"/>
      <c r="B702" s="17"/>
      <c r="C702" s="17"/>
      <c r="D702" s="17"/>
      <c r="E702" s="17"/>
      <c r="F702" s="17"/>
      <c r="G702" s="17"/>
      <c r="H702" s="17"/>
      <c r="I702" s="17"/>
      <c r="J702" s="18" t="str">
        <f aca="false">IF(COUNT(E702:I702)&lt;5,"",SUM(E702:I702))</f>
        <v/>
      </c>
      <c r="K702" s="18" t="str">
        <f aca="false">IF(J702="","",IF(M702&lt;설정!$B$3,"",ROUND(AVERAGEIFS($J$2:$J$1001,$B$2:$B$1001,B702,$A$2:$A$1001,"&lt;"&amp;A702,$A$2:$A$1001,"&gt;="&amp;(A702-설정!$B$2)),2)))</f>
        <v/>
      </c>
      <c r="L702" s="18" t="str">
        <f aca="false">IF(K702="","",ROUND(SQRT(MAX(0,(SUMIFS($R$2:$R$1001,$B$2:$B$1001,B702,$A$2:$A$1001,"&lt;"&amp;A702,$A$2:$A$1001,"&gt;="&amp;(A702-설정!$B$2))-M702*AVERAGEIFS($J$2:$J$1001,$B$2:$B$1001,B702,$A$2:$A$1001,"&lt;"&amp;A702,$A$2:$A$1001,"&gt;="&amp;(A702-설정!$B$2))^2)/(M702-1))),2))</f>
        <v/>
      </c>
      <c r="M702" s="18" t="str">
        <f aca="false">IF(J702="","",COUNTIFS($B$2:$B$1001,B702,$A$2:$A$1001,"&lt;"&amp;A702,$A$2:$A$1001,"&gt;="&amp;(A702-설정!$B$2),$J$2:$J$1001,"&gt;=0"))</f>
        <v/>
      </c>
      <c r="N702" s="18" t="str">
        <f aca="false">IF(K702="","",IF(L702=0,"",ROUND((J702-K702)/L702,2)))</f>
        <v/>
      </c>
      <c r="O702" s="19" t="str">
        <f aca="false">IF(J702="","",IF(MIN(F702,G702)&lt;=설정!$B$5,"예",""))</f>
        <v/>
      </c>
      <c r="P702" s="19" t="str">
        <f aca="false">IF(J702="","",IF(M702&lt;설정!$B$3,"baseline 수집 중",IF(N702="","정상",IF(N702&lt;=설정!$B$4,"낮음","정상"))))</f>
        <v/>
      </c>
      <c r="Q702" s="20"/>
      <c r="R702" s="18" t="str">
        <f aca="false">IF(J702="","",J702^2)</f>
        <v/>
      </c>
    </row>
    <row r="703" customFormat="false" ht="15" hidden="false" customHeight="false" outlineLevel="0" collapsed="false">
      <c r="A703" s="16"/>
      <c r="B703" s="17"/>
      <c r="C703" s="17"/>
      <c r="D703" s="17"/>
      <c r="E703" s="17"/>
      <c r="F703" s="17"/>
      <c r="G703" s="17"/>
      <c r="H703" s="17"/>
      <c r="I703" s="17"/>
      <c r="J703" s="18" t="str">
        <f aca="false">IF(COUNT(E703:I703)&lt;5,"",SUM(E703:I703))</f>
        <v/>
      </c>
      <c r="K703" s="18" t="str">
        <f aca="false">IF(J703="","",IF(M703&lt;설정!$B$3,"",ROUND(AVERAGEIFS($J$2:$J$1001,$B$2:$B$1001,B703,$A$2:$A$1001,"&lt;"&amp;A703,$A$2:$A$1001,"&gt;="&amp;(A703-설정!$B$2)),2)))</f>
        <v/>
      </c>
      <c r="L703" s="18" t="str">
        <f aca="false">IF(K703="","",ROUND(SQRT(MAX(0,(SUMIFS($R$2:$R$1001,$B$2:$B$1001,B703,$A$2:$A$1001,"&lt;"&amp;A703,$A$2:$A$1001,"&gt;="&amp;(A703-설정!$B$2))-M703*AVERAGEIFS($J$2:$J$1001,$B$2:$B$1001,B703,$A$2:$A$1001,"&lt;"&amp;A703,$A$2:$A$1001,"&gt;="&amp;(A703-설정!$B$2))^2)/(M703-1))),2))</f>
        <v/>
      </c>
      <c r="M703" s="18" t="str">
        <f aca="false">IF(J703="","",COUNTIFS($B$2:$B$1001,B703,$A$2:$A$1001,"&lt;"&amp;A703,$A$2:$A$1001,"&gt;="&amp;(A703-설정!$B$2),$J$2:$J$1001,"&gt;=0"))</f>
        <v/>
      </c>
      <c r="N703" s="18" t="str">
        <f aca="false">IF(K703="","",IF(L703=0,"",ROUND((J703-K703)/L703,2)))</f>
        <v/>
      </c>
      <c r="O703" s="19" t="str">
        <f aca="false">IF(J703="","",IF(MIN(F703,G703)&lt;=설정!$B$5,"예",""))</f>
        <v/>
      </c>
      <c r="P703" s="19" t="str">
        <f aca="false">IF(J703="","",IF(M703&lt;설정!$B$3,"baseline 수집 중",IF(N703="","정상",IF(N703&lt;=설정!$B$4,"낮음","정상"))))</f>
        <v/>
      </c>
      <c r="Q703" s="20"/>
      <c r="R703" s="18" t="str">
        <f aca="false">IF(J703="","",J703^2)</f>
        <v/>
      </c>
    </row>
    <row r="704" customFormat="false" ht="15" hidden="false" customHeight="false" outlineLevel="0" collapsed="false">
      <c r="A704" s="16"/>
      <c r="B704" s="17"/>
      <c r="C704" s="17"/>
      <c r="D704" s="17"/>
      <c r="E704" s="17"/>
      <c r="F704" s="17"/>
      <c r="G704" s="17"/>
      <c r="H704" s="17"/>
      <c r="I704" s="17"/>
      <c r="J704" s="18" t="str">
        <f aca="false">IF(COUNT(E704:I704)&lt;5,"",SUM(E704:I704))</f>
        <v/>
      </c>
      <c r="K704" s="18" t="str">
        <f aca="false">IF(J704="","",IF(M704&lt;설정!$B$3,"",ROUND(AVERAGEIFS($J$2:$J$1001,$B$2:$B$1001,B704,$A$2:$A$1001,"&lt;"&amp;A704,$A$2:$A$1001,"&gt;="&amp;(A704-설정!$B$2)),2)))</f>
        <v/>
      </c>
      <c r="L704" s="18" t="str">
        <f aca="false">IF(K704="","",ROUND(SQRT(MAX(0,(SUMIFS($R$2:$R$1001,$B$2:$B$1001,B704,$A$2:$A$1001,"&lt;"&amp;A704,$A$2:$A$1001,"&gt;="&amp;(A704-설정!$B$2))-M704*AVERAGEIFS($J$2:$J$1001,$B$2:$B$1001,B704,$A$2:$A$1001,"&lt;"&amp;A704,$A$2:$A$1001,"&gt;="&amp;(A704-설정!$B$2))^2)/(M704-1))),2))</f>
        <v/>
      </c>
      <c r="M704" s="18" t="str">
        <f aca="false">IF(J704="","",COUNTIFS($B$2:$B$1001,B704,$A$2:$A$1001,"&lt;"&amp;A704,$A$2:$A$1001,"&gt;="&amp;(A704-설정!$B$2),$J$2:$J$1001,"&gt;=0"))</f>
        <v/>
      </c>
      <c r="N704" s="18" t="str">
        <f aca="false">IF(K704="","",IF(L704=0,"",ROUND((J704-K704)/L704,2)))</f>
        <v/>
      </c>
      <c r="O704" s="19" t="str">
        <f aca="false">IF(J704="","",IF(MIN(F704,G704)&lt;=설정!$B$5,"예",""))</f>
        <v/>
      </c>
      <c r="P704" s="19" t="str">
        <f aca="false">IF(J704="","",IF(M704&lt;설정!$B$3,"baseline 수집 중",IF(N704="","정상",IF(N704&lt;=설정!$B$4,"낮음","정상"))))</f>
        <v/>
      </c>
      <c r="Q704" s="20"/>
      <c r="R704" s="18" t="str">
        <f aca="false">IF(J704="","",J704^2)</f>
        <v/>
      </c>
    </row>
    <row r="705" customFormat="false" ht="15" hidden="false" customHeight="false" outlineLevel="0" collapsed="false">
      <c r="A705" s="16"/>
      <c r="B705" s="17"/>
      <c r="C705" s="17"/>
      <c r="D705" s="17"/>
      <c r="E705" s="17"/>
      <c r="F705" s="17"/>
      <c r="G705" s="17"/>
      <c r="H705" s="17"/>
      <c r="I705" s="17"/>
      <c r="J705" s="18" t="str">
        <f aca="false">IF(COUNT(E705:I705)&lt;5,"",SUM(E705:I705))</f>
        <v/>
      </c>
      <c r="K705" s="18" t="str">
        <f aca="false">IF(J705="","",IF(M705&lt;설정!$B$3,"",ROUND(AVERAGEIFS($J$2:$J$1001,$B$2:$B$1001,B705,$A$2:$A$1001,"&lt;"&amp;A705,$A$2:$A$1001,"&gt;="&amp;(A705-설정!$B$2)),2)))</f>
        <v/>
      </c>
      <c r="L705" s="18" t="str">
        <f aca="false">IF(K705="","",ROUND(SQRT(MAX(0,(SUMIFS($R$2:$R$1001,$B$2:$B$1001,B705,$A$2:$A$1001,"&lt;"&amp;A705,$A$2:$A$1001,"&gt;="&amp;(A705-설정!$B$2))-M705*AVERAGEIFS($J$2:$J$1001,$B$2:$B$1001,B705,$A$2:$A$1001,"&lt;"&amp;A705,$A$2:$A$1001,"&gt;="&amp;(A705-설정!$B$2))^2)/(M705-1))),2))</f>
        <v/>
      </c>
      <c r="M705" s="18" t="str">
        <f aca="false">IF(J705="","",COUNTIFS($B$2:$B$1001,B705,$A$2:$A$1001,"&lt;"&amp;A705,$A$2:$A$1001,"&gt;="&amp;(A705-설정!$B$2),$J$2:$J$1001,"&gt;=0"))</f>
        <v/>
      </c>
      <c r="N705" s="18" t="str">
        <f aca="false">IF(K705="","",IF(L705=0,"",ROUND((J705-K705)/L705,2)))</f>
        <v/>
      </c>
      <c r="O705" s="19" t="str">
        <f aca="false">IF(J705="","",IF(MIN(F705,G705)&lt;=설정!$B$5,"예",""))</f>
        <v/>
      </c>
      <c r="P705" s="19" t="str">
        <f aca="false">IF(J705="","",IF(M705&lt;설정!$B$3,"baseline 수집 중",IF(N705="","정상",IF(N705&lt;=설정!$B$4,"낮음","정상"))))</f>
        <v/>
      </c>
      <c r="Q705" s="20"/>
      <c r="R705" s="18" t="str">
        <f aca="false">IF(J705="","",J705^2)</f>
        <v/>
      </c>
    </row>
    <row r="706" customFormat="false" ht="15" hidden="false" customHeight="false" outlineLevel="0" collapsed="false">
      <c r="A706" s="16"/>
      <c r="B706" s="17"/>
      <c r="C706" s="17"/>
      <c r="D706" s="17"/>
      <c r="E706" s="17"/>
      <c r="F706" s="17"/>
      <c r="G706" s="17"/>
      <c r="H706" s="17"/>
      <c r="I706" s="17"/>
      <c r="J706" s="18" t="str">
        <f aca="false">IF(COUNT(E706:I706)&lt;5,"",SUM(E706:I706))</f>
        <v/>
      </c>
      <c r="K706" s="18" t="str">
        <f aca="false">IF(J706="","",IF(M706&lt;설정!$B$3,"",ROUND(AVERAGEIFS($J$2:$J$1001,$B$2:$B$1001,B706,$A$2:$A$1001,"&lt;"&amp;A706,$A$2:$A$1001,"&gt;="&amp;(A706-설정!$B$2)),2)))</f>
        <v/>
      </c>
      <c r="L706" s="18" t="str">
        <f aca="false">IF(K706="","",ROUND(SQRT(MAX(0,(SUMIFS($R$2:$R$1001,$B$2:$B$1001,B706,$A$2:$A$1001,"&lt;"&amp;A706,$A$2:$A$1001,"&gt;="&amp;(A706-설정!$B$2))-M706*AVERAGEIFS($J$2:$J$1001,$B$2:$B$1001,B706,$A$2:$A$1001,"&lt;"&amp;A706,$A$2:$A$1001,"&gt;="&amp;(A706-설정!$B$2))^2)/(M706-1))),2))</f>
        <v/>
      </c>
      <c r="M706" s="18" t="str">
        <f aca="false">IF(J706="","",COUNTIFS($B$2:$B$1001,B706,$A$2:$A$1001,"&lt;"&amp;A706,$A$2:$A$1001,"&gt;="&amp;(A706-설정!$B$2),$J$2:$J$1001,"&gt;=0"))</f>
        <v/>
      </c>
      <c r="N706" s="18" t="str">
        <f aca="false">IF(K706="","",IF(L706=0,"",ROUND((J706-K706)/L706,2)))</f>
        <v/>
      </c>
      <c r="O706" s="19" t="str">
        <f aca="false">IF(J706="","",IF(MIN(F706,G706)&lt;=설정!$B$5,"예",""))</f>
        <v/>
      </c>
      <c r="P706" s="19" t="str">
        <f aca="false">IF(J706="","",IF(M706&lt;설정!$B$3,"baseline 수집 중",IF(N706="","정상",IF(N706&lt;=설정!$B$4,"낮음","정상"))))</f>
        <v/>
      </c>
      <c r="Q706" s="20"/>
      <c r="R706" s="18" t="str">
        <f aca="false">IF(J706="","",J706^2)</f>
        <v/>
      </c>
    </row>
    <row r="707" customFormat="false" ht="15" hidden="false" customHeight="false" outlineLevel="0" collapsed="false">
      <c r="A707" s="16"/>
      <c r="B707" s="17"/>
      <c r="C707" s="17"/>
      <c r="D707" s="17"/>
      <c r="E707" s="17"/>
      <c r="F707" s="17"/>
      <c r="G707" s="17"/>
      <c r="H707" s="17"/>
      <c r="I707" s="17"/>
      <c r="J707" s="18" t="str">
        <f aca="false">IF(COUNT(E707:I707)&lt;5,"",SUM(E707:I707))</f>
        <v/>
      </c>
      <c r="K707" s="18" t="str">
        <f aca="false">IF(J707="","",IF(M707&lt;설정!$B$3,"",ROUND(AVERAGEIFS($J$2:$J$1001,$B$2:$B$1001,B707,$A$2:$A$1001,"&lt;"&amp;A707,$A$2:$A$1001,"&gt;="&amp;(A707-설정!$B$2)),2)))</f>
        <v/>
      </c>
      <c r="L707" s="18" t="str">
        <f aca="false">IF(K707="","",ROUND(SQRT(MAX(0,(SUMIFS($R$2:$R$1001,$B$2:$B$1001,B707,$A$2:$A$1001,"&lt;"&amp;A707,$A$2:$A$1001,"&gt;="&amp;(A707-설정!$B$2))-M707*AVERAGEIFS($J$2:$J$1001,$B$2:$B$1001,B707,$A$2:$A$1001,"&lt;"&amp;A707,$A$2:$A$1001,"&gt;="&amp;(A707-설정!$B$2))^2)/(M707-1))),2))</f>
        <v/>
      </c>
      <c r="M707" s="18" t="str">
        <f aca="false">IF(J707="","",COUNTIFS($B$2:$B$1001,B707,$A$2:$A$1001,"&lt;"&amp;A707,$A$2:$A$1001,"&gt;="&amp;(A707-설정!$B$2),$J$2:$J$1001,"&gt;=0"))</f>
        <v/>
      </c>
      <c r="N707" s="18" t="str">
        <f aca="false">IF(K707="","",IF(L707=0,"",ROUND((J707-K707)/L707,2)))</f>
        <v/>
      </c>
      <c r="O707" s="19" t="str">
        <f aca="false">IF(J707="","",IF(MIN(F707,G707)&lt;=설정!$B$5,"예",""))</f>
        <v/>
      </c>
      <c r="P707" s="19" t="str">
        <f aca="false">IF(J707="","",IF(M707&lt;설정!$B$3,"baseline 수집 중",IF(N707="","정상",IF(N707&lt;=설정!$B$4,"낮음","정상"))))</f>
        <v/>
      </c>
      <c r="Q707" s="20"/>
      <c r="R707" s="18" t="str">
        <f aca="false">IF(J707="","",J707^2)</f>
        <v/>
      </c>
    </row>
    <row r="708" customFormat="false" ht="15" hidden="false" customHeight="false" outlineLevel="0" collapsed="false">
      <c r="A708" s="16"/>
      <c r="B708" s="17"/>
      <c r="C708" s="17"/>
      <c r="D708" s="17"/>
      <c r="E708" s="17"/>
      <c r="F708" s="17"/>
      <c r="G708" s="17"/>
      <c r="H708" s="17"/>
      <c r="I708" s="17"/>
      <c r="J708" s="18" t="str">
        <f aca="false">IF(COUNT(E708:I708)&lt;5,"",SUM(E708:I708))</f>
        <v/>
      </c>
      <c r="K708" s="18" t="str">
        <f aca="false">IF(J708="","",IF(M708&lt;설정!$B$3,"",ROUND(AVERAGEIFS($J$2:$J$1001,$B$2:$B$1001,B708,$A$2:$A$1001,"&lt;"&amp;A708,$A$2:$A$1001,"&gt;="&amp;(A708-설정!$B$2)),2)))</f>
        <v/>
      </c>
      <c r="L708" s="18" t="str">
        <f aca="false">IF(K708="","",ROUND(SQRT(MAX(0,(SUMIFS($R$2:$R$1001,$B$2:$B$1001,B708,$A$2:$A$1001,"&lt;"&amp;A708,$A$2:$A$1001,"&gt;="&amp;(A708-설정!$B$2))-M708*AVERAGEIFS($J$2:$J$1001,$B$2:$B$1001,B708,$A$2:$A$1001,"&lt;"&amp;A708,$A$2:$A$1001,"&gt;="&amp;(A708-설정!$B$2))^2)/(M708-1))),2))</f>
        <v/>
      </c>
      <c r="M708" s="18" t="str">
        <f aca="false">IF(J708="","",COUNTIFS($B$2:$B$1001,B708,$A$2:$A$1001,"&lt;"&amp;A708,$A$2:$A$1001,"&gt;="&amp;(A708-설정!$B$2),$J$2:$J$1001,"&gt;=0"))</f>
        <v/>
      </c>
      <c r="N708" s="18" t="str">
        <f aca="false">IF(K708="","",IF(L708=0,"",ROUND((J708-K708)/L708,2)))</f>
        <v/>
      </c>
      <c r="O708" s="19" t="str">
        <f aca="false">IF(J708="","",IF(MIN(F708,G708)&lt;=설정!$B$5,"예",""))</f>
        <v/>
      </c>
      <c r="P708" s="19" t="str">
        <f aca="false">IF(J708="","",IF(M708&lt;설정!$B$3,"baseline 수집 중",IF(N708="","정상",IF(N708&lt;=설정!$B$4,"낮음","정상"))))</f>
        <v/>
      </c>
      <c r="Q708" s="20"/>
      <c r="R708" s="18" t="str">
        <f aca="false">IF(J708="","",J708^2)</f>
        <v/>
      </c>
    </row>
    <row r="709" customFormat="false" ht="15" hidden="false" customHeight="false" outlineLevel="0" collapsed="false">
      <c r="A709" s="16"/>
      <c r="B709" s="17"/>
      <c r="C709" s="17"/>
      <c r="D709" s="17"/>
      <c r="E709" s="17"/>
      <c r="F709" s="17"/>
      <c r="G709" s="17"/>
      <c r="H709" s="17"/>
      <c r="I709" s="17"/>
      <c r="J709" s="18" t="str">
        <f aca="false">IF(COUNT(E709:I709)&lt;5,"",SUM(E709:I709))</f>
        <v/>
      </c>
      <c r="K709" s="18" t="str">
        <f aca="false">IF(J709="","",IF(M709&lt;설정!$B$3,"",ROUND(AVERAGEIFS($J$2:$J$1001,$B$2:$B$1001,B709,$A$2:$A$1001,"&lt;"&amp;A709,$A$2:$A$1001,"&gt;="&amp;(A709-설정!$B$2)),2)))</f>
        <v/>
      </c>
      <c r="L709" s="18" t="str">
        <f aca="false">IF(K709="","",ROUND(SQRT(MAX(0,(SUMIFS($R$2:$R$1001,$B$2:$B$1001,B709,$A$2:$A$1001,"&lt;"&amp;A709,$A$2:$A$1001,"&gt;="&amp;(A709-설정!$B$2))-M709*AVERAGEIFS($J$2:$J$1001,$B$2:$B$1001,B709,$A$2:$A$1001,"&lt;"&amp;A709,$A$2:$A$1001,"&gt;="&amp;(A709-설정!$B$2))^2)/(M709-1))),2))</f>
        <v/>
      </c>
      <c r="M709" s="18" t="str">
        <f aca="false">IF(J709="","",COUNTIFS($B$2:$B$1001,B709,$A$2:$A$1001,"&lt;"&amp;A709,$A$2:$A$1001,"&gt;="&amp;(A709-설정!$B$2),$J$2:$J$1001,"&gt;=0"))</f>
        <v/>
      </c>
      <c r="N709" s="18" t="str">
        <f aca="false">IF(K709="","",IF(L709=0,"",ROUND((J709-K709)/L709,2)))</f>
        <v/>
      </c>
      <c r="O709" s="19" t="str">
        <f aca="false">IF(J709="","",IF(MIN(F709,G709)&lt;=설정!$B$5,"예",""))</f>
        <v/>
      </c>
      <c r="P709" s="19" t="str">
        <f aca="false">IF(J709="","",IF(M709&lt;설정!$B$3,"baseline 수집 중",IF(N709="","정상",IF(N709&lt;=설정!$B$4,"낮음","정상"))))</f>
        <v/>
      </c>
      <c r="Q709" s="20"/>
      <c r="R709" s="18" t="str">
        <f aca="false">IF(J709="","",J709^2)</f>
        <v/>
      </c>
    </row>
    <row r="710" customFormat="false" ht="15" hidden="false" customHeight="false" outlineLevel="0" collapsed="false">
      <c r="A710" s="16"/>
      <c r="B710" s="17"/>
      <c r="C710" s="17"/>
      <c r="D710" s="17"/>
      <c r="E710" s="17"/>
      <c r="F710" s="17"/>
      <c r="G710" s="17"/>
      <c r="H710" s="17"/>
      <c r="I710" s="17"/>
      <c r="J710" s="18" t="str">
        <f aca="false">IF(COUNT(E710:I710)&lt;5,"",SUM(E710:I710))</f>
        <v/>
      </c>
      <c r="K710" s="18" t="str">
        <f aca="false">IF(J710="","",IF(M710&lt;설정!$B$3,"",ROUND(AVERAGEIFS($J$2:$J$1001,$B$2:$B$1001,B710,$A$2:$A$1001,"&lt;"&amp;A710,$A$2:$A$1001,"&gt;="&amp;(A710-설정!$B$2)),2)))</f>
        <v/>
      </c>
      <c r="L710" s="18" t="str">
        <f aca="false">IF(K710="","",ROUND(SQRT(MAX(0,(SUMIFS($R$2:$R$1001,$B$2:$B$1001,B710,$A$2:$A$1001,"&lt;"&amp;A710,$A$2:$A$1001,"&gt;="&amp;(A710-설정!$B$2))-M710*AVERAGEIFS($J$2:$J$1001,$B$2:$B$1001,B710,$A$2:$A$1001,"&lt;"&amp;A710,$A$2:$A$1001,"&gt;="&amp;(A710-설정!$B$2))^2)/(M710-1))),2))</f>
        <v/>
      </c>
      <c r="M710" s="18" t="str">
        <f aca="false">IF(J710="","",COUNTIFS($B$2:$B$1001,B710,$A$2:$A$1001,"&lt;"&amp;A710,$A$2:$A$1001,"&gt;="&amp;(A710-설정!$B$2),$J$2:$J$1001,"&gt;=0"))</f>
        <v/>
      </c>
      <c r="N710" s="18" t="str">
        <f aca="false">IF(K710="","",IF(L710=0,"",ROUND((J710-K710)/L710,2)))</f>
        <v/>
      </c>
      <c r="O710" s="19" t="str">
        <f aca="false">IF(J710="","",IF(MIN(F710,G710)&lt;=설정!$B$5,"예",""))</f>
        <v/>
      </c>
      <c r="P710" s="19" t="str">
        <f aca="false">IF(J710="","",IF(M710&lt;설정!$B$3,"baseline 수집 중",IF(N710="","정상",IF(N710&lt;=설정!$B$4,"낮음","정상"))))</f>
        <v/>
      </c>
      <c r="Q710" s="20"/>
      <c r="R710" s="18" t="str">
        <f aca="false">IF(J710="","",J710^2)</f>
        <v/>
      </c>
    </row>
    <row r="711" customFormat="false" ht="15" hidden="false" customHeight="false" outlineLevel="0" collapsed="false">
      <c r="A711" s="16"/>
      <c r="B711" s="17"/>
      <c r="C711" s="17"/>
      <c r="D711" s="17"/>
      <c r="E711" s="17"/>
      <c r="F711" s="17"/>
      <c r="G711" s="17"/>
      <c r="H711" s="17"/>
      <c r="I711" s="17"/>
      <c r="J711" s="18" t="str">
        <f aca="false">IF(COUNT(E711:I711)&lt;5,"",SUM(E711:I711))</f>
        <v/>
      </c>
      <c r="K711" s="18" t="str">
        <f aca="false">IF(J711="","",IF(M711&lt;설정!$B$3,"",ROUND(AVERAGEIFS($J$2:$J$1001,$B$2:$B$1001,B711,$A$2:$A$1001,"&lt;"&amp;A711,$A$2:$A$1001,"&gt;="&amp;(A711-설정!$B$2)),2)))</f>
        <v/>
      </c>
      <c r="L711" s="18" t="str">
        <f aca="false">IF(K711="","",ROUND(SQRT(MAX(0,(SUMIFS($R$2:$R$1001,$B$2:$B$1001,B711,$A$2:$A$1001,"&lt;"&amp;A711,$A$2:$A$1001,"&gt;="&amp;(A711-설정!$B$2))-M711*AVERAGEIFS($J$2:$J$1001,$B$2:$B$1001,B711,$A$2:$A$1001,"&lt;"&amp;A711,$A$2:$A$1001,"&gt;="&amp;(A711-설정!$B$2))^2)/(M711-1))),2))</f>
        <v/>
      </c>
      <c r="M711" s="18" t="str">
        <f aca="false">IF(J711="","",COUNTIFS($B$2:$B$1001,B711,$A$2:$A$1001,"&lt;"&amp;A711,$A$2:$A$1001,"&gt;="&amp;(A711-설정!$B$2),$J$2:$J$1001,"&gt;=0"))</f>
        <v/>
      </c>
      <c r="N711" s="18" t="str">
        <f aca="false">IF(K711="","",IF(L711=0,"",ROUND((J711-K711)/L711,2)))</f>
        <v/>
      </c>
      <c r="O711" s="19" t="str">
        <f aca="false">IF(J711="","",IF(MIN(F711,G711)&lt;=설정!$B$5,"예",""))</f>
        <v/>
      </c>
      <c r="P711" s="19" t="str">
        <f aca="false">IF(J711="","",IF(M711&lt;설정!$B$3,"baseline 수집 중",IF(N711="","정상",IF(N711&lt;=설정!$B$4,"낮음","정상"))))</f>
        <v/>
      </c>
      <c r="Q711" s="20"/>
      <c r="R711" s="18" t="str">
        <f aca="false">IF(J711="","",J711^2)</f>
        <v/>
      </c>
    </row>
    <row r="712" customFormat="false" ht="15" hidden="false" customHeight="false" outlineLevel="0" collapsed="false">
      <c r="A712" s="16"/>
      <c r="B712" s="17"/>
      <c r="C712" s="17"/>
      <c r="D712" s="17"/>
      <c r="E712" s="17"/>
      <c r="F712" s="17"/>
      <c r="G712" s="17"/>
      <c r="H712" s="17"/>
      <c r="I712" s="17"/>
      <c r="J712" s="18" t="str">
        <f aca="false">IF(COUNT(E712:I712)&lt;5,"",SUM(E712:I712))</f>
        <v/>
      </c>
      <c r="K712" s="18" t="str">
        <f aca="false">IF(J712="","",IF(M712&lt;설정!$B$3,"",ROUND(AVERAGEIFS($J$2:$J$1001,$B$2:$B$1001,B712,$A$2:$A$1001,"&lt;"&amp;A712,$A$2:$A$1001,"&gt;="&amp;(A712-설정!$B$2)),2)))</f>
        <v/>
      </c>
      <c r="L712" s="18" t="str">
        <f aca="false">IF(K712="","",ROUND(SQRT(MAX(0,(SUMIFS($R$2:$R$1001,$B$2:$B$1001,B712,$A$2:$A$1001,"&lt;"&amp;A712,$A$2:$A$1001,"&gt;="&amp;(A712-설정!$B$2))-M712*AVERAGEIFS($J$2:$J$1001,$B$2:$B$1001,B712,$A$2:$A$1001,"&lt;"&amp;A712,$A$2:$A$1001,"&gt;="&amp;(A712-설정!$B$2))^2)/(M712-1))),2))</f>
        <v/>
      </c>
      <c r="M712" s="18" t="str">
        <f aca="false">IF(J712="","",COUNTIFS($B$2:$B$1001,B712,$A$2:$A$1001,"&lt;"&amp;A712,$A$2:$A$1001,"&gt;="&amp;(A712-설정!$B$2),$J$2:$J$1001,"&gt;=0"))</f>
        <v/>
      </c>
      <c r="N712" s="18" t="str">
        <f aca="false">IF(K712="","",IF(L712=0,"",ROUND((J712-K712)/L712,2)))</f>
        <v/>
      </c>
      <c r="O712" s="19" t="str">
        <f aca="false">IF(J712="","",IF(MIN(F712,G712)&lt;=설정!$B$5,"예",""))</f>
        <v/>
      </c>
      <c r="P712" s="19" t="str">
        <f aca="false">IF(J712="","",IF(M712&lt;설정!$B$3,"baseline 수집 중",IF(N712="","정상",IF(N712&lt;=설정!$B$4,"낮음","정상"))))</f>
        <v/>
      </c>
      <c r="Q712" s="20"/>
      <c r="R712" s="18" t="str">
        <f aca="false">IF(J712="","",J712^2)</f>
        <v/>
      </c>
    </row>
    <row r="713" customFormat="false" ht="15" hidden="false" customHeight="false" outlineLevel="0" collapsed="false">
      <c r="A713" s="16"/>
      <c r="B713" s="17"/>
      <c r="C713" s="17"/>
      <c r="D713" s="17"/>
      <c r="E713" s="17"/>
      <c r="F713" s="17"/>
      <c r="G713" s="17"/>
      <c r="H713" s="17"/>
      <c r="I713" s="17"/>
      <c r="J713" s="18" t="str">
        <f aca="false">IF(COUNT(E713:I713)&lt;5,"",SUM(E713:I713))</f>
        <v/>
      </c>
      <c r="K713" s="18" t="str">
        <f aca="false">IF(J713="","",IF(M713&lt;설정!$B$3,"",ROUND(AVERAGEIFS($J$2:$J$1001,$B$2:$B$1001,B713,$A$2:$A$1001,"&lt;"&amp;A713,$A$2:$A$1001,"&gt;="&amp;(A713-설정!$B$2)),2)))</f>
        <v/>
      </c>
      <c r="L713" s="18" t="str">
        <f aca="false">IF(K713="","",ROUND(SQRT(MAX(0,(SUMIFS($R$2:$R$1001,$B$2:$B$1001,B713,$A$2:$A$1001,"&lt;"&amp;A713,$A$2:$A$1001,"&gt;="&amp;(A713-설정!$B$2))-M713*AVERAGEIFS($J$2:$J$1001,$B$2:$B$1001,B713,$A$2:$A$1001,"&lt;"&amp;A713,$A$2:$A$1001,"&gt;="&amp;(A713-설정!$B$2))^2)/(M713-1))),2))</f>
        <v/>
      </c>
      <c r="M713" s="18" t="str">
        <f aca="false">IF(J713="","",COUNTIFS($B$2:$B$1001,B713,$A$2:$A$1001,"&lt;"&amp;A713,$A$2:$A$1001,"&gt;="&amp;(A713-설정!$B$2),$J$2:$J$1001,"&gt;=0"))</f>
        <v/>
      </c>
      <c r="N713" s="18" t="str">
        <f aca="false">IF(K713="","",IF(L713=0,"",ROUND((J713-K713)/L713,2)))</f>
        <v/>
      </c>
      <c r="O713" s="19" t="str">
        <f aca="false">IF(J713="","",IF(MIN(F713,G713)&lt;=설정!$B$5,"예",""))</f>
        <v/>
      </c>
      <c r="P713" s="19" t="str">
        <f aca="false">IF(J713="","",IF(M713&lt;설정!$B$3,"baseline 수집 중",IF(N713="","정상",IF(N713&lt;=설정!$B$4,"낮음","정상"))))</f>
        <v/>
      </c>
      <c r="Q713" s="20"/>
      <c r="R713" s="18" t="str">
        <f aca="false">IF(J713="","",J713^2)</f>
        <v/>
      </c>
    </row>
    <row r="714" customFormat="false" ht="15" hidden="false" customHeight="false" outlineLevel="0" collapsed="false">
      <c r="A714" s="16"/>
      <c r="B714" s="17"/>
      <c r="C714" s="17"/>
      <c r="D714" s="17"/>
      <c r="E714" s="17"/>
      <c r="F714" s="17"/>
      <c r="G714" s="17"/>
      <c r="H714" s="17"/>
      <c r="I714" s="17"/>
      <c r="J714" s="18" t="str">
        <f aca="false">IF(COUNT(E714:I714)&lt;5,"",SUM(E714:I714))</f>
        <v/>
      </c>
      <c r="K714" s="18" t="str">
        <f aca="false">IF(J714="","",IF(M714&lt;설정!$B$3,"",ROUND(AVERAGEIFS($J$2:$J$1001,$B$2:$B$1001,B714,$A$2:$A$1001,"&lt;"&amp;A714,$A$2:$A$1001,"&gt;="&amp;(A714-설정!$B$2)),2)))</f>
        <v/>
      </c>
      <c r="L714" s="18" t="str">
        <f aca="false">IF(K714="","",ROUND(SQRT(MAX(0,(SUMIFS($R$2:$R$1001,$B$2:$B$1001,B714,$A$2:$A$1001,"&lt;"&amp;A714,$A$2:$A$1001,"&gt;="&amp;(A714-설정!$B$2))-M714*AVERAGEIFS($J$2:$J$1001,$B$2:$B$1001,B714,$A$2:$A$1001,"&lt;"&amp;A714,$A$2:$A$1001,"&gt;="&amp;(A714-설정!$B$2))^2)/(M714-1))),2))</f>
        <v/>
      </c>
      <c r="M714" s="18" t="str">
        <f aca="false">IF(J714="","",COUNTIFS($B$2:$B$1001,B714,$A$2:$A$1001,"&lt;"&amp;A714,$A$2:$A$1001,"&gt;="&amp;(A714-설정!$B$2),$J$2:$J$1001,"&gt;=0"))</f>
        <v/>
      </c>
      <c r="N714" s="18" t="str">
        <f aca="false">IF(K714="","",IF(L714=0,"",ROUND((J714-K714)/L714,2)))</f>
        <v/>
      </c>
      <c r="O714" s="19" t="str">
        <f aca="false">IF(J714="","",IF(MIN(F714,G714)&lt;=설정!$B$5,"예",""))</f>
        <v/>
      </c>
      <c r="P714" s="19" t="str">
        <f aca="false">IF(J714="","",IF(M714&lt;설정!$B$3,"baseline 수집 중",IF(N714="","정상",IF(N714&lt;=설정!$B$4,"낮음","정상"))))</f>
        <v/>
      </c>
      <c r="Q714" s="20"/>
      <c r="R714" s="18" t="str">
        <f aca="false">IF(J714="","",J714^2)</f>
        <v/>
      </c>
    </row>
    <row r="715" customFormat="false" ht="15" hidden="false" customHeight="false" outlineLevel="0" collapsed="false">
      <c r="A715" s="16"/>
      <c r="B715" s="17"/>
      <c r="C715" s="17"/>
      <c r="D715" s="17"/>
      <c r="E715" s="17"/>
      <c r="F715" s="17"/>
      <c r="G715" s="17"/>
      <c r="H715" s="17"/>
      <c r="I715" s="17"/>
      <c r="J715" s="18" t="str">
        <f aca="false">IF(COUNT(E715:I715)&lt;5,"",SUM(E715:I715))</f>
        <v/>
      </c>
      <c r="K715" s="18" t="str">
        <f aca="false">IF(J715="","",IF(M715&lt;설정!$B$3,"",ROUND(AVERAGEIFS($J$2:$J$1001,$B$2:$B$1001,B715,$A$2:$A$1001,"&lt;"&amp;A715,$A$2:$A$1001,"&gt;="&amp;(A715-설정!$B$2)),2)))</f>
        <v/>
      </c>
      <c r="L715" s="18" t="str">
        <f aca="false">IF(K715="","",ROUND(SQRT(MAX(0,(SUMIFS($R$2:$R$1001,$B$2:$B$1001,B715,$A$2:$A$1001,"&lt;"&amp;A715,$A$2:$A$1001,"&gt;="&amp;(A715-설정!$B$2))-M715*AVERAGEIFS($J$2:$J$1001,$B$2:$B$1001,B715,$A$2:$A$1001,"&lt;"&amp;A715,$A$2:$A$1001,"&gt;="&amp;(A715-설정!$B$2))^2)/(M715-1))),2))</f>
        <v/>
      </c>
      <c r="M715" s="18" t="str">
        <f aca="false">IF(J715="","",COUNTIFS($B$2:$B$1001,B715,$A$2:$A$1001,"&lt;"&amp;A715,$A$2:$A$1001,"&gt;="&amp;(A715-설정!$B$2),$J$2:$J$1001,"&gt;=0"))</f>
        <v/>
      </c>
      <c r="N715" s="18" t="str">
        <f aca="false">IF(K715="","",IF(L715=0,"",ROUND((J715-K715)/L715,2)))</f>
        <v/>
      </c>
      <c r="O715" s="19" t="str">
        <f aca="false">IF(J715="","",IF(MIN(F715,G715)&lt;=설정!$B$5,"예",""))</f>
        <v/>
      </c>
      <c r="P715" s="19" t="str">
        <f aca="false">IF(J715="","",IF(M715&lt;설정!$B$3,"baseline 수집 중",IF(N715="","정상",IF(N715&lt;=설정!$B$4,"낮음","정상"))))</f>
        <v/>
      </c>
      <c r="Q715" s="20"/>
      <c r="R715" s="18" t="str">
        <f aca="false">IF(J715="","",J715^2)</f>
        <v/>
      </c>
    </row>
    <row r="716" customFormat="false" ht="15" hidden="false" customHeight="false" outlineLevel="0" collapsed="false">
      <c r="A716" s="16"/>
      <c r="B716" s="17"/>
      <c r="C716" s="17"/>
      <c r="D716" s="17"/>
      <c r="E716" s="17"/>
      <c r="F716" s="17"/>
      <c r="G716" s="17"/>
      <c r="H716" s="17"/>
      <c r="I716" s="17"/>
      <c r="J716" s="18" t="str">
        <f aca="false">IF(COUNT(E716:I716)&lt;5,"",SUM(E716:I716))</f>
        <v/>
      </c>
      <c r="K716" s="18" t="str">
        <f aca="false">IF(J716="","",IF(M716&lt;설정!$B$3,"",ROUND(AVERAGEIFS($J$2:$J$1001,$B$2:$B$1001,B716,$A$2:$A$1001,"&lt;"&amp;A716,$A$2:$A$1001,"&gt;="&amp;(A716-설정!$B$2)),2)))</f>
        <v/>
      </c>
      <c r="L716" s="18" t="str">
        <f aca="false">IF(K716="","",ROUND(SQRT(MAX(0,(SUMIFS($R$2:$R$1001,$B$2:$B$1001,B716,$A$2:$A$1001,"&lt;"&amp;A716,$A$2:$A$1001,"&gt;="&amp;(A716-설정!$B$2))-M716*AVERAGEIFS($J$2:$J$1001,$B$2:$B$1001,B716,$A$2:$A$1001,"&lt;"&amp;A716,$A$2:$A$1001,"&gt;="&amp;(A716-설정!$B$2))^2)/(M716-1))),2))</f>
        <v/>
      </c>
      <c r="M716" s="18" t="str">
        <f aca="false">IF(J716="","",COUNTIFS($B$2:$B$1001,B716,$A$2:$A$1001,"&lt;"&amp;A716,$A$2:$A$1001,"&gt;="&amp;(A716-설정!$B$2),$J$2:$J$1001,"&gt;=0"))</f>
        <v/>
      </c>
      <c r="N716" s="18" t="str">
        <f aca="false">IF(K716="","",IF(L716=0,"",ROUND((J716-K716)/L716,2)))</f>
        <v/>
      </c>
      <c r="O716" s="19" t="str">
        <f aca="false">IF(J716="","",IF(MIN(F716,G716)&lt;=설정!$B$5,"예",""))</f>
        <v/>
      </c>
      <c r="P716" s="19" t="str">
        <f aca="false">IF(J716="","",IF(M716&lt;설정!$B$3,"baseline 수집 중",IF(N716="","정상",IF(N716&lt;=설정!$B$4,"낮음","정상"))))</f>
        <v/>
      </c>
      <c r="Q716" s="20"/>
      <c r="R716" s="18" t="str">
        <f aca="false">IF(J716="","",J716^2)</f>
        <v/>
      </c>
    </row>
    <row r="717" customFormat="false" ht="15" hidden="false" customHeight="false" outlineLevel="0" collapsed="false">
      <c r="A717" s="16"/>
      <c r="B717" s="17"/>
      <c r="C717" s="17"/>
      <c r="D717" s="17"/>
      <c r="E717" s="17"/>
      <c r="F717" s="17"/>
      <c r="G717" s="17"/>
      <c r="H717" s="17"/>
      <c r="I717" s="17"/>
      <c r="J717" s="18" t="str">
        <f aca="false">IF(COUNT(E717:I717)&lt;5,"",SUM(E717:I717))</f>
        <v/>
      </c>
      <c r="K717" s="18" t="str">
        <f aca="false">IF(J717="","",IF(M717&lt;설정!$B$3,"",ROUND(AVERAGEIFS($J$2:$J$1001,$B$2:$B$1001,B717,$A$2:$A$1001,"&lt;"&amp;A717,$A$2:$A$1001,"&gt;="&amp;(A717-설정!$B$2)),2)))</f>
        <v/>
      </c>
      <c r="L717" s="18" t="str">
        <f aca="false">IF(K717="","",ROUND(SQRT(MAX(0,(SUMIFS($R$2:$R$1001,$B$2:$B$1001,B717,$A$2:$A$1001,"&lt;"&amp;A717,$A$2:$A$1001,"&gt;="&amp;(A717-설정!$B$2))-M717*AVERAGEIFS($J$2:$J$1001,$B$2:$B$1001,B717,$A$2:$A$1001,"&lt;"&amp;A717,$A$2:$A$1001,"&gt;="&amp;(A717-설정!$B$2))^2)/(M717-1))),2))</f>
        <v/>
      </c>
      <c r="M717" s="18" t="str">
        <f aca="false">IF(J717="","",COUNTIFS($B$2:$B$1001,B717,$A$2:$A$1001,"&lt;"&amp;A717,$A$2:$A$1001,"&gt;="&amp;(A717-설정!$B$2),$J$2:$J$1001,"&gt;=0"))</f>
        <v/>
      </c>
      <c r="N717" s="18" t="str">
        <f aca="false">IF(K717="","",IF(L717=0,"",ROUND((J717-K717)/L717,2)))</f>
        <v/>
      </c>
      <c r="O717" s="19" t="str">
        <f aca="false">IF(J717="","",IF(MIN(F717,G717)&lt;=설정!$B$5,"예",""))</f>
        <v/>
      </c>
      <c r="P717" s="19" t="str">
        <f aca="false">IF(J717="","",IF(M717&lt;설정!$B$3,"baseline 수집 중",IF(N717="","정상",IF(N717&lt;=설정!$B$4,"낮음","정상"))))</f>
        <v/>
      </c>
      <c r="Q717" s="20"/>
      <c r="R717" s="18" t="str">
        <f aca="false">IF(J717="","",J717^2)</f>
        <v/>
      </c>
    </row>
    <row r="718" customFormat="false" ht="15" hidden="false" customHeight="false" outlineLevel="0" collapsed="false">
      <c r="A718" s="16"/>
      <c r="B718" s="17"/>
      <c r="C718" s="17"/>
      <c r="D718" s="17"/>
      <c r="E718" s="17"/>
      <c r="F718" s="17"/>
      <c r="G718" s="17"/>
      <c r="H718" s="17"/>
      <c r="I718" s="17"/>
      <c r="J718" s="18" t="str">
        <f aca="false">IF(COUNT(E718:I718)&lt;5,"",SUM(E718:I718))</f>
        <v/>
      </c>
      <c r="K718" s="18" t="str">
        <f aca="false">IF(J718="","",IF(M718&lt;설정!$B$3,"",ROUND(AVERAGEIFS($J$2:$J$1001,$B$2:$B$1001,B718,$A$2:$A$1001,"&lt;"&amp;A718,$A$2:$A$1001,"&gt;="&amp;(A718-설정!$B$2)),2)))</f>
        <v/>
      </c>
      <c r="L718" s="18" t="str">
        <f aca="false">IF(K718="","",ROUND(SQRT(MAX(0,(SUMIFS($R$2:$R$1001,$B$2:$B$1001,B718,$A$2:$A$1001,"&lt;"&amp;A718,$A$2:$A$1001,"&gt;="&amp;(A718-설정!$B$2))-M718*AVERAGEIFS($J$2:$J$1001,$B$2:$B$1001,B718,$A$2:$A$1001,"&lt;"&amp;A718,$A$2:$A$1001,"&gt;="&amp;(A718-설정!$B$2))^2)/(M718-1))),2))</f>
        <v/>
      </c>
      <c r="M718" s="18" t="str">
        <f aca="false">IF(J718="","",COUNTIFS($B$2:$B$1001,B718,$A$2:$A$1001,"&lt;"&amp;A718,$A$2:$A$1001,"&gt;="&amp;(A718-설정!$B$2),$J$2:$J$1001,"&gt;=0"))</f>
        <v/>
      </c>
      <c r="N718" s="18" t="str">
        <f aca="false">IF(K718="","",IF(L718=0,"",ROUND((J718-K718)/L718,2)))</f>
        <v/>
      </c>
      <c r="O718" s="19" t="str">
        <f aca="false">IF(J718="","",IF(MIN(F718,G718)&lt;=설정!$B$5,"예",""))</f>
        <v/>
      </c>
      <c r="P718" s="19" t="str">
        <f aca="false">IF(J718="","",IF(M718&lt;설정!$B$3,"baseline 수집 중",IF(N718="","정상",IF(N718&lt;=설정!$B$4,"낮음","정상"))))</f>
        <v/>
      </c>
      <c r="Q718" s="20"/>
      <c r="R718" s="18" t="str">
        <f aca="false">IF(J718="","",J718^2)</f>
        <v/>
      </c>
    </row>
    <row r="719" customFormat="false" ht="15" hidden="false" customHeight="false" outlineLevel="0" collapsed="false">
      <c r="A719" s="16"/>
      <c r="B719" s="17"/>
      <c r="C719" s="17"/>
      <c r="D719" s="17"/>
      <c r="E719" s="17"/>
      <c r="F719" s="17"/>
      <c r="G719" s="17"/>
      <c r="H719" s="17"/>
      <c r="I719" s="17"/>
      <c r="J719" s="18" t="str">
        <f aca="false">IF(COUNT(E719:I719)&lt;5,"",SUM(E719:I719))</f>
        <v/>
      </c>
      <c r="K719" s="18" t="str">
        <f aca="false">IF(J719="","",IF(M719&lt;설정!$B$3,"",ROUND(AVERAGEIFS($J$2:$J$1001,$B$2:$B$1001,B719,$A$2:$A$1001,"&lt;"&amp;A719,$A$2:$A$1001,"&gt;="&amp;(A719-설정!$B$2)),2)))</f>
        <v/>
      </c>
      <c r="L719" s="18" t="str">
        <f aca="false">IF(K719="","",ROUND(SQRT(MAX(0,(SUMIFS($R$2:$R$1001,$B$2:$B$1001,B719,$A$2:$A$1001,"&lt;"&amp;A719,$A$2:$A$1001,"&gt;="&amp;(A719-설정!$B$2))-M719*AVERAGEIFS($J$2:$J$1001,$B$2:$B$1001,B719,$A$2:$A$1001,"&lt;"&amp;A719,$A$2:$A$1001,"&gt;="&amp;(A719-설정!$B$2))^2)/(M719-1))),2))</f>
        <v/>
      </c>
      <c r="M719" s="18" t="str">
        <f aca="false">IF(J719="","",COUNTIFS($B$2:$B$1001,B719,$A$2:$A$1001,"&lt;"&amp;A719,$A$2:$A$1001,"&gt;="&amp;(A719-설정!$B$2),$J$2:$J$1001,"&gt;=0"))</f>
        <v/>
      </c>
      <c r="N719" s="18" t="str">
        <f aca="false">IF(K719="","",IF(L719=0,"",ROUND((J719-K719)/L719,2)))</f>
        <v/>
      </c>
      <c r="O719" s="19" t="str">
        <f aca="false">IF(J719="","",IF(MIN(F719,G719)&lt;=설정!$B$5,"예",""))</f>
        <v/>
      </c>
      <c r="P719" s="19" t="str">
        <f aca="false">IF(J719="","",IF(M719&lt;설정!$B$3,"baseline 수집 중",IF(N719="","정상",IF(N719&lt;=설정!$B$4,"낮음","정상"))))</f>
        <v/>
      </c>
      <c r="Q719" s="20"/>
      <c r="R719" s="18" t="str">
        <f aca="false">IF(J719="","",J719^2)</f>
        <v/>
      </c>
    </row>
    <row r="720" customFormat="false" ht="15" hidden="false" customHeight="false" outlineLevel="0" collapsed="false">
      <c r="A720" s="16"/>
      <c r="B720" s="17"/>
      <c r="C720" s="17"/>
      <c r="D720" s="17"/>
      <c r="E720" s="17"/>
      <c r="F720" s="17"/>
      <c r="G720" s="17"/>
      <c r="H720" s="17"/>
      <c r="I720" s="17"/>
      <c r="J720" s="18" t="str">
        <f aca="false">IF(COUNT(E720:I720)&lt;5,"",SUM(E720:I720))</f>
        <v/>
      </c>
      <c r="K720" s="18" t="str">
        <f aca="false">IF(J720="","",IF(M720&lt;설정!$B$3,"",ROUND(AVERAGEIFS($J$2:$J$1001,$B$2:$B$1001,B720,$A$2:$A$1001,"&lt;"&amp;A720,$A$2:$A$1001,"&gt;="&amp;(A720-설정!$B$2)),2)))</f>
        <v/>
      </c>
      <c r="L720" s="18" t="str">
        <f aca="false">IF(K720="","",ROUND(SQRT(MAX(0,(SUMIFS($R$2:$R$1001,$B$2:$B$1001,B720,$A$2:$A$1001,"&lt;"&amp;A720,$A$2:$A$1001,"&gt;="&amp;(A720-설정!$B$2))-M720*AVERAGEIFS($J$2:$J$1001,$B$2:$B$1001,B720,$A$2:$A$1001,"&lt;"&amp;A720,$A$2:$A$1001,"&gt;="&amp;(A720-설정!$B$2))^2)/(M720-1))),2))</f>
        <v/>
      </c>
      <c r="M720" s="18" t="str">
        <f aca="false">IF(J720="","",COUNTIFS($B$2:$B$1001,B720,$A$2:$A$1001,"&lt;"&amp;A720,$A$2:$A$1001,"&gt;="&amp;(A720-설정!$B$2),$J$2:$J$1001,"&gt;=0"))</f>
        <v/>
      </c>
      <c r="N720" s="18" t="str">
        <f aca="false">IF(K720="","",IF(L720=0,"",ROUND((J720-K720)/L720,2)))</f>
        <v/>
      </c>
      <c r="O720" s="19" t="str">
        <f aca="false">IF(J720="","",IF(MIN(F720,G720)&lt;=설정!$B$5,"예",""))</f>
        <v/>
      </c>
      <c r="P720" s="19" t="str">
        <f aca="false">IF(J720="","",IF(M720&lt;설정!$B$3,"baseline 수집 중",IF(N720="","정상",IF(N720&lt;=설정!$B$4,"낮음","정상"))))</f>
        <v/>
      </c>
      <c r="Q720" s="20"/>
      <c r="R720" s="18" t="str">
        <f aca="false">IF(J720="","",J720^2)</f>
        <v/>
      </c>
    </row>
    <row r="721" customFormat="false" ht="15" hidden="false" customHeight="false" outlineLevel="0" collapsed="false">
      <c r="A721" s="16"/>
      <c r="B721" s="17"/>
      <c r="C721" s="17"/>
      <c r="D721" s="17"/>
      <c r="E721" s="17"/>
      <c r="F721" s="17"/>
      <c r="G721" s="17"/>
      <c r="H721" s="17"/>
      <c r="I721" s="17"/>
      <c r="J721" s="18" t="str">
        <f aca="false">IF(COUNT(E721:I721)&lt;5,"",SUM(E721:I721))</f>
        <v/>
      </c>
      <c r="K721" s="18" t="str">
        <f aca="false">IF(J721="","",IF(M721&lt;설정!$B$3,"",ROUND(AVERAGEIFS($J$2:$J$1001,$B$2:$B$1001,B721,$A$2:$A$1001,"&lt;"&amp;A721,$A$2:$A$1001,"&gt;="&amp;(A721-설정!$B$2)),2)))</f>
        <v/>
      </c>
      <c r="L721" s="18" t="str">
        <f aca="false">IF(K721="","",ROUND(SQRT(MAX(0,(SUMIFS($R$2:$R$1001,$B$2:$B$1001,B721,$A$2:$A$1001,"&lt;"&amp;A721,$A$2:$A$1001,"&gt;="&amp;(A721-설정!$B$2))-M721*AVERAGEIFS($J$2:$J$1001,$B$2:$B$1001,B721,$A$2:$A$1001,"&lt;"&amp;A721,$A$2:$A$1001,"&gt;="&amp;(A721-설정!$B$2))^2)/(M721-1))),2))</f>
        <v/>
      </c>
      <c r="M721" s="18" t="str">
        <f aca="false">IF(J721="","",COUNTIFS($B$2:$B$1001,B721,$A$2:$A$1001,"&lt;"&amp;A721,$A$2:$A$1001,"&gt;="&amp;(A721-설정!$B$2),$J$2:$J$1001,"&gt;=0"))</f>
        <v/>
      </c>
      <c r="N721" s="18" t="str">
        <f aca="false">IF(K721="","",IF(L721=0,"",ROUND((J721-K721)/L721,2)))</f>
        <v/>
      </c>
      <c r="O721" s="19" t="str">
        <f aca="false">IF(J721="","",IF(MIN(F721,G721)&lt;=설정!$B$5,"예",""))</f>
        <v/>
      </c>
      <c r="P721" s="19" t="str">
        <f aca="false">IF(J721="","",IF(M721&lt;설정!$B$3,"baseline 수집 중",IF(N721="","정상",IF(N721&lt;=설정!$B$4,"낮음","정상"))))</f>
        <v/>
      </c>
      <c r="Q721" s="20"/>
      <c r="R721" s="18" t="str">
        <f aca="false">IF(J721="","",J721^2)</f>
        <v/>
      </c>
    </row>
    <row r="722" customFormat="false" ht="15" hidden="false" customHeight="false" outlineLevel="0" collapsed="false">
      <c r="A722" s="16"/>
      <c r="B722" s="17"/>
      <c r="C722" s="17"/>
      <c r="D722" s="17"/>
      <c r="E722" s="17"/>
      <c r="F722" s="17"/>
      <c r="G722" s="17"/>
      <c r="H722" s="17"/>
      <c r="I722" s="17"/>
      <c r="J722" s="18" t="str">
        <f aca="false">IF(COUNT(E722:I722)&lt;5,"",SUM(E722:I722))</f>
        <v/>
      </c>
      <c r="K722" s="18" t="str">
        <f aca="false">IF(J722="","",IF(M722&lt;설정!$B$3,"",ROUND(AVERAGEIFS($J$2:$J$1001,$B$2:$B$1001,B722,$A$2:$A$1001,"&lt;"&amp;A722,$A$2:$A$1001,"&gt;="&amp;(A722-설정!$B$2)),2)))</f>
        <v/>
      </c>
      <c r="L722" s="18" t="str">
        <f aca="false">IF(K722="","",ROUND(SQRT(MAX(0,(SUMIFS($R$2:$R$1001,$B$2:$B$1001,B722,$A$2:$A$1001,"&lt;"&amp;A722,$A$2:$A$1001,"&gt;="&amp;(A722-설정!$B$2))-M722*AVERAGEIFS($J$2:$J$1001,$B$2:$B$1001,B722,$A$2:$A$1001,"&lt;"&amp;A722,$A$2:$A$1001,"&gt;="&amp;(A722-설정!$B$2))^2)/(M722-1))),2))</f>
        <v/>
      </c>
      <c r="M722" s="18" t="str">
        <f aca="false">IF(J722="","",COUNTIFS($B$2:$B$1001,B722,$A$2:$A$1001,"&lt;"&amp;A722,$A$2:$A$1001,"&gt;="&amp;(A722-설정!$B$2),$J$2:$J$1001,"&gt;=0"))</f>
        <v/>
      </c>
      <c r="N722" s="18" t="str">
        <f aca="false">IF(K722="","",IF(L722=0,"",ROUND((J722-K722)/L722,2)))</f>
        <v/>
      </c>
      <c r="O722" s="19" t="str">
        <f aca="false">IF(J722="","",IF(MIN(F722,G722)&lt;=설정!$B$5,"예",""))</f>
        <v/>
      </c>
      <c r="P722" s="19" t="str">
        <f aca="false">IF(J722="","",IF(M722&lt;설정!$B$3,"baseline 수집 중",IF(N722="","정상",IF(N722&lt;=설정!$B$4,"낮음","정상"))))</f>
        <v/>
      </c>
      <c r="Q722" s="20"/>
      <c r="R722" s="18" t="str">
        <f aca="false">IF(J722="","",J722^2)</f>
        <v/>
      </c>
    </row>
    <row r="723" customFormat="false" ht="15" hidden="false" customHeight="false" outlineLevel="0" collapsed="false">
      <c r="A723" s="16"/>
      <c r="B723" s="17"/>
      <c r="C723" s="17"/>
      <c r="D723" s="17"/>
      <c r="E723" s="17"/>
      <c r="F723" s="17"/>
      <c r="G723" s="17"/>
      <c r="H723" s="17"/>
      <c r="I723" s="17"/>
      <c r="J723" s="18" t="str">
        <f aca="false">IF(COUNT(E723:I723)&lt;5,"",SUM(E723:I723))</f>
        <v/>
      </c>
      <c r="K723" s="18" t="str">
        <f aca="false">IF(J723="","",IF(M723&lt;설정!$B$3,"",ROUND(AVERAGEIFS($J$2:$J$1001,$B$2:$B$1001,B723,$A$2:$A$1001,"&lt;"&amp;A723,$A$2:$A$1001,"&gt;="&amp;(A723-설정!$B$2)),2)))</f>
        <v/>
      </c>
      <c r="L723" s="18" t="str">
        <f aca="false">IF(K723="","",ROUND(SQRT(MAX(0,(SUMIFS($R$2:$R$1001,$B$2:$B$1001,B723,$A$2:$A$1001,"&lt;"&amp;A723,$A$2:$A$1001,"&gt;="&amp;(A723-설정!$B$2))-M723*AVERAGEIFS($J$2:$J$1001,$B$2:$B$1001,B723,$A$2:$A$1001,"&lt;"&amp;A723,$A$2:$A$1001,"&gt;="&amp;(A723-설정!$B$2))^2)/(M723-1))),2))</f>
        <v/>
      </c>
      <c r="M723" s="18" t="str">
        <f aca="false">IF(J723="","",COUNTIFS($B$2:$B$1001,B723,$A$2:$A$1001,"&lt;"&amp;A723,$A$2:$A$1001,"&gt;="&amp;(A723-설정!$B$2),$J$2:$J$1001,"&gt;=0"))</f>
        <v/>
      </c>
      <c r="N723" s="18" t="str">
        <f aca="false">IF(K723="","",IF(L723=0,"",ROUND((J723-K723)/L723,2)))</f>
        <v/>
      </c>
      <c r="O723" s="19" t="str">
        <f aca="false">IF(J723="","",IF(MIN(F723,G723)&lt;=설정!$B$5,"예",""))</f>
        <v/>
      </c>
      <c r="P723" s="19" t="str">
        <f aca="false">IF(J723="","",IF(M723&lt;설정!$B$3,"baseline 수집 중",IF(N723="","정상",IF(N723&lt;=설정!$B$4,"낮음","정상"))))</f>
        <v/>
      </c>
      <c r="Q723" s="20"/>
      <c r="R723" s="18" t="str">
        <f aca="false">IF(J723="","",J723^2)</f>
        <v/>
      </c>
    </row>
    <row r="724" customFormat="false" ht="15" hidden="false" customHeight="false" outlineLevel="0" collapsed="false">
      <c r="A724" s="16"/>
      <c r="B724" s="17"/>
      <c r="C724" s="17"/>
      <c r="D724" s="17"/>
      <c r="E724" s="17"/>
      <c r="F724" s="17"/>
      <c r="G724" s="17"/>
      <c r="H724" s="17"/>
      <c r="I724" s="17"/>
      <c r="J724" s="18" t="str">
        <f aca="false">IF(COUNT(E724:I724)&lt;5,"",SUM(E724:I724))</f>
        <v/>
      </c>
      <c r="K724" s="18" t="str">
        <f aca="false">IF(J724="","",IF(M724&lt;설정!$B$3,"",ROUND(AVERAGEIFS($J$2:$J$1001,$B$2:$B$1001,B724,$A$2:$A$1001,"&lt;"&amp;A724,$A$2:$A$1001,"&gt;="&amp;(A724-설정!$B$2)),2)))</f>
        <v/>
      </c>
      <c r="L724" s="18" t="str">
        <f aca="false">IF(K724="","",ROUND(SQRT(MAX(0,(SUMIFS($R$2:$R$1001,$B$2:$B$1001,B724,$A$2:$A$1001,"&lt;"&amp;A724,$A$2:$A$1001,"&gt;="&amp;(A724-설정!$B$2))-M724*AVERAGEIFS($J$2:$J$1001,$B$2:$B$1001,B724,$A$2:$A$1001,"&lt;"&amp;A724,$A$2:$A$1001,"&gt;="&amp;(A724-설정!$B$2))^2)/(M724-1))),2))</f>
        <v/>
      </c>
      <c r="M724" s="18" t="str">
        <f aca="false">IF(J724="","",COUNTIFS($B$2:$B$1001,B724,$A$2:$A$1001,"&lt;"&amp;A724,$A$2:$A$1001,"&gt;="&amp;(A724-설정!$B$2),$J$2:$J$1001,"&gt;=0"))</f>
        <v/>
      </c>
      <c r="N724" s="18" t="str">
        <f aca="false">IF(K724="","",IF(L724=0,"",ROUND((J724-K724)/L724,2)))</f>
        <v/>
      </c>
      <c r="O724" s="19" t="str">
        <f aca="false">IF(J724="","",IF(MIN(F724,G724)&lt;=설정!$B$5,"예",""))</f>
        <v/>
      </c>
      <c r="P724" s="19" t="str">
        <f aca="false">IF(J724="","",IF(M724&lt;설정!$B$3,"baseline 수집 중",IF(N724="","정상",IF(N724&lt;=설정!$B$4,"낮음","정상"))))</f>
        <v/>
      </c>
      <c r="Q724" s="20"/>
      <c r="R724" s="18" t="str">
        <f aca="false">IF(J724="","",J724^2)</f>
        <v/>
      </c>
    </row>
    <row r="725" customFormat="false" ht="15" hidden="false" customHeight="false" outlineLevel="0" collapsed="false">
      <c r="A725" s="16"/>
      <c r="B725" s="17"/>
      <c r="C725" s="17"/>
      <c r="D725" s="17"/>
      <c r="E725" s="17"/>
      <c r="F725" s="17"/>
      <c r="G725" s="17"/>
      <c r="H725" s="17"/>
      <c r="I725" s="17"/>
      <c r="J725" s="18" t="str">
        <f aca="false">IF(COUNT(E725:I725)&lt;5,"",SUM(E725:I725))</f>
        <v/>
      </c>
      <c r="K725" s="18" t="str">
        <f aca="false">IF(J725="","",IF(M725&lt;설정!$B$3,"",ROUND(AVERAGEIFS($J$2:$J$1001,$B$2:$B$1001,B725,$A$2:$A$1001,"&lt;"&amp;A725,$A$2:$A$1001,"&gt;="&amp;(A725-설정!$B$2)),2)))</f>
        <v/>
      </c>
      <c r="L725" s="18" t="str">
        <f aca="false">IF(K725="","",ROUND(SQRT(MAX(0,(SUMIFS($R$2:$R$1001,$B$2:$B$1001,B725,$A$2:$A$1001,"&lt;"&amp;A725,$A$2:$A$1001,"&gt;="&amp;(A725-설정!$B$2))-M725*AVERAGEIFS($J$2:$J$1001,$B$2:$B$1001,B725,$A$2:$A$1001,"&lt;"&amp;A725,$A$2:$A$1001,"&gt;="&amp;(A725-설정!$B$2))^2)/(M725-1))),2))</f>
        <v/>
      </c>
      <c r="M725" s="18" t="str">
        <f aca="false">IF(J725="","",COUNTIFS($B$2:$B$1001,B725,$A$2:$A$1001,"&lt;"&amp;A725,$A$2:$A$1001,"&gt;="&amp;(A725-설정!$B$2),$J$2:$J$1001,"&gt;=0"))</f>
        <v/>
      </c>
      <c r="N725" s="18" t="str">
        <f aca="false">IF(K725="","",IF(L725=0,"",ROUND((J725-K725)/L725,2)))</f>
        <v/>
      </c>
      <c r="O725" s="19" t="str">
        <f aca="false">IF(J725="","",IF(MIN(F725,G725)&lt;=설정!$B$5,"예",""))</f>
        <v/>
      </c>
      <c r="P725" s="19" t="str">
        <f aca="false">IF(J725="","",IF(M725&lt;설정!$B$3,"baseline 수집 중",IF(N725="","정상",IF(N725&lt;=설정!$B$4,"낮음","정상"))))</f>
        <v/>
      </c>
      <c r="Q725" s="20"/>
      <c r="R725" s="18" t="str">
        <f aca="false">IF(J725="","",J725^2)</f>
        <v/>
      </c>
    </row>
    <row r="726" customFormat="false" ht="15" hidden="false" customHeight="false" outlineLevel="0" collapsed="false">
      <c r="A726" s="16"/>
      <c r="B726" s="17"/>
      <c r="C726" s="17"/>
      <c r="D726" s="17"/>
      <c r="E726" s="17"/>
      <c r="F726" s="17"/>
      <c r="G726" s="17"/>
      <c r="H726" s="17"/>
      <c r="I726" s="17"/>
      <c r="J726" s="18" t="str">
        <f aca="false">IF(COUNT(E726:I726)&lt;5,"",SUM(E726:I726))</f>
        <v/>
      </c>
      <c r="K726" s="18" t="str">
        <f aca="false">IF(J726="","",IF(M726&lt;설정!$B$3,"",ROUND(AVERAGEIFS($J$2:$J$1001,$B$2:$B$1001,B726,$A$2:$A$1001,"&lt;"&amp;A726,$A$2:$A$1001,"&gt;="&amp;(A726-설정!$B$2)),2)))</f>
        <v/>
      </c>
      <c r="L726" s="18" t="str">
        <f aca="false">IF(K726="","",ROUND(SQRT(MAX(0,(SUMIFS($R$2:$R$1001,$B$2:$B$1001,B726,$A$2:$A$1001,"&lt;"&amp;A726,$A$2:$A$1001,"&gt;="&amp;(A726-설정!$B$2))-M726*AVERAGEIFS($J$2:$J$1001,$B$2:$B$1001,B726,$A$2:$A$1001,"&lt;"&amp;A726,$A$2:$A$1001,"&gt;="&amp;(A726-설정!$B$2))^2)/(M726-1))),2))</f>
        <v/>
      </c>
      <c r="M726" s="18" t="str">
        <f aca="false">IF(J726="","",COUNTIFS($B$2:$B$1001,B726,$A$2:$A$1001,"&lt;"&amp;A726,$A$2:$A$1001,"&gt;="&amp;(A726-설정!$B$2),$J$2:$J$1001,"&gt;=0"))</f>
        <v/>
      </c>
      <c r="N726" s="18" t="str">
        <f aca="false">IF(K726="","",IF(L726=0,"",ROUND((J726-K726)/L726,2)))</f>
        <v/>
      </c>
      <c r="O726" s="19" t="str">
        <f aca="false">IF(J726="","",IF(MIN(F726,G726)&lt;=설정!$B$5,"예",""))</f>
        <v/>
      </c>
      <c r="P726" s="19" t="str">
        <f aca="false">IF(J726="","",IF(M726&lt;설정!$B$3,"baseline 수집 중",IF(N726="","정상",IF(N726&lt;=설정!$B$4,"낮음","정상"))))</f>
        <v/>
      </c>
      <c r="Q726" s="20"/>
      <c r="R726" s="18" t="str">
        <f aca="false">IF(J726="","",J726^2)</f>
        <v/>
      </c>
    </row>
    <row r="727" customFormat="false" ht="15" hidden="false" customHeight="false" outlineLevel="0" collapsed="false">
      <c r="A727" s="16"/>
      <c r="B727" s="17"/>
      <c r="C727" s="17"/>
      <c r="D727" s="17"/>
      <c r="E727" s="17"/>
      <c r="F727" s="17"/>
      <c r="G727" s="17"/>
      <c r="H727" s="17"/>
      <c r="I727" s="17"/>
      <c r="J727" s="18" t="str">
        <f aca="false">IF(COUNT(E727:I727)&lt;5,"",SUM(E727:I727))</f>
        <v/>
      </c>
      <c r="K727" s="18" t="str">
        <f aca="false">IF(J727="","",IF(M727&lt;설정!$B$3,"",ROUND(AVERAGEIFS($J$2:$J$1001,$B$2:$B$1001,B727,$A$2:$A$1001,"&lt;"&amp;A727,$A$2:$A$1001,"&gt;="&amp;(A727-설정!$B$2)),2)))</f>
        <v/>
      </c>
      <c r="L727" s="18" t="str">
        <f aca="false">IF(K727="","",ROUND(SQRT(MAX(0,(SUMIFS($R$2:$R$1001,$B$2:$B$1001,B727,$A$2:$A$1001,"&lt;"&amp;A727,$A$2:$A$1001,"&gt;="&amp;(A727-설정!$B$2))-M727*AVERAGEIFS($J$2:$J$1001,$B$2:$B$1001,B727,$A$2:$A$1001,"&lt;"&amp;A727,$A$2:$A$1001,"&gt;="&amp;(A727-설정!$B$2))^2)/(M727-1))),2))</f>
        <v/>
      </c>
      <c r="M727" s="18" t="str">
        <f aca="false">IF(J727="","",COUNTIFS($B$2:$B$1001,B727,$A$2:$A$1001,"&lt;"&amp;A727,$A$2:$A$1001,"&gt;="&amp;(A727-설정!$B$2),$J$2:$J$1001,"&gt;=0"))</f>
        <v/>
      </c>
      <c r="N727" s="18" t="str">
        <f aca="false">IF(K727="","",IF(L727=0,"",ROUND((J727-K727)/L727,2)))</f>
        <v/>
      </c>
      <c r="O727" s="19" t="str">
        <f aca="false">IF(J727="","",IF(MIN(F727,G727)&lt;=설정!$B$5,"예",""))</f>
        <v/>
      </c>
      <c r="P727" s="19" t="str">
        <f aca="false">IF(J727="","",IF(M727&lt;설정!$B$3,"baseline 수집 중",IF(N727="","정상",IF(N727&lt;=설정!$B$4,"낮음","정상"))))</f>
        <v/>
      </c>
      <c r="Q727" s="20"/>
      <c r="R727" s="18" t="str">
        <f aca="false">IF(J727="","",J727^2)</f>
        <v/>
      </c>
    </row>
    <row r="728" customFormat="false" ht="15" hidden="false" customHeight="false" outlineLevel="0" collapsed="false">
      <c r="A728" s="16"/>
      <c r="B728" s="17"/>
      <c r="C728" s="17"/>
      <c r="D728" s="17"/>
      <c r="E728" s="17"/>
      <c r="F728" s="17"/>
      <c r="G728" s="17"/>
      <c r="H728" s="17"/>
      <c r="I728" s="17"/>
      <c r="J728" s="18" t="str">
        <f aca="false">IF(COUNT(E728:I728)&lt;5,"",SUM(E728:I728))</f>
        <v/>
      </c>
      <c r="K728" s="18" t="str">
        <f aca="false">IF(J728="","",IF(M728&lt;설정!$B$3,"",ROUND(AVERAGEIFS($J$2:$J$1001,$B$2:$B$1001,B728,$A$2:$A$1001,"&lt;"&amp;A728,$A$2:$A$1001,"&gt;="&amp;(A728-설정!$B$2)),2)))</f>
        <v/>
      </c>
      <c r="L728" s="18" t="str">
        <f aca="false">IF(K728="","",ROUND(SQRT(MAX(0,(SUMIFS($R$2:$R$1001,$B$2:$B$1001,B728,$A$2:$A$1001,"&lt;"&amp;A728,$A$2:$A$1001,"&gt;="&amp;(A728-설정!$B$2))-M728*AVERAGEIFS($J$2:$J$1001,$B$2:$B$1001,B728,$A$2:$A$1001,"&lt;"&amp;A728,$A$2:$A$1001,"&gt;="&amp;(A728-설정!$B$2))^2)/(M728-1))),2))</f>
        <v/>
      </c>
      <c r="M728" s="18" t="str">
        <f aca="false">IF(J728="","",COUNTIFS($B$2:$B$1001,B728,$A$2:$A$1001,"&lt;"&amp;A728,$A$2:$A$1001,"&gt;="&amp;(A728-설정!$B$2),$J$2:$J$1001,"&gt;=0"))</f>
        <v/>
      </c>
      <c r="N728" s="18" t="str">
        <f aca="false">IF(K728="","",IF(L728=0,"",ROUND((J728-K728)/L728,2)))</f>
        <v/>
      </c>
      <c r="O728" s="19" t="str">
        <f aca="false">IF(J728="","",IF(MIN(F728,G728)&lt;=설정!$B$5,"예",""))</f>
        <v/>
      </c>
      <c r="P728" s="19" t="str">
        <f aca="false">IF(J728="","",IF(M728&lt;설정!$B$3,"baseline 수집 중",IF(N728="","정상",IF(N728&lt;=설정!$B$4,"낮음","정상"))))</f>
        <v/>
      </c>
      <c r="Q728" s="20"/>
      <c r="R728" s="18" t="str">
        <f aca="false">IF(J728="","",J728^2)</f>
        <v/>
      </c>
    </row>
    <row r="729" customFormat="false" ht="15" hidden="false" customHeight="false" outlineLevel="0" collapsed="false">
      <c r="A729" s="16"/>
      <c r="B729" s="17"/>
      <c r="C729" s="17"/>
      <c r="D729" s="17"/>
      <c r="E729" s="17"/>
      <c r="F729" s="17"/>
      <c r="G729" s="17"/>
      <c r="H729" s="17"/>
      <c r="I729" s="17"/>
      <c r="J729" s="18" t="str">
        <f aca="false">IF(COUNT(E729:I729)&lt;5,"",SUM(E729:I729))</f>
        <v/>
      </c>
      <c r="K729" s="18" t="str">
        <f aca="false">IF(J729="","",IF(M729&lt;설정!$B$3,"",ROUND(AVERAGEIFS($J$2:$J$1001,$B$2:$B$1001,B729,$A$2:$A$1001,"&lt;"&amp;A729,$A$2:$A$1001,"&gt;="&amp;(A729-설정!$B$2)),2)))</f>
        <v/>
      </c>
      <c r="L729" s="18" t="str">
        <f aca="false">IF(K729="","",ROUND(SQRT(MAX(0,(SUMIFS($R$2:$R$1001,$B$2:$B$1001,B729,$A$2:$A$1001,"&lt;"&amp;A729,$A$2:$A$1001,"&gt;="&amp;(A729-설정!$B$2))-M729*AVERAGEIFS($J$2:$J$1001,$B$2:$B$1001,B729,$A$2:$A$1001,"&lt;"&amp;A729,$A$2:$A$1001,"&gt;="&amp;(A729-설정!$B$2))^2)/(M729-1))),2))</f>
        <v/>
      </c>
      <c r="M729" s="18" t="str">
        <f aca="false">IF(J729="","",COUNTIFS($B$2:$B$1001,B729,$A$2:$A$1001,"&lt;"&amp;A729,$A$2:$A$1001,"&gt;="&amp;(A729-설정!$B$2),$J$2:$J$1001,"&gt;=0"))</f>
        <v/>
      </c>
      <c r="N729" s="18" t="str">
        <f aca="false">IF(K729="","",IF(L729=0,"",ROUND((J729-K729)/L729,2)))</f>
        <v/>
      </c>
      <c r="O729" s="19" t="str">
        <f aca="false">IF(J729="","",IF(MIN(F729,G729)&lt;=설정!$B$5,"예",""))</f>
        <v/>
      </c>
      <c r="P729" s="19" t="str">
        <f aca="false">IF(J729="","",IF(M729&lt;설정!$B$3,"baseline 수집 중",IF(N729="","정상",IF(N729&lt;=설정!$B$4,"낮음","정상"))))</f>
        <v/>
      </c>
      <c r="Q729" s="20"/>
      <c r="R729" s="18" t="str">
        <f aca="false">IF(J729="","",J729^2)</f>
        <v/>
      </c>
    </row>
    <row r="730" customFormat="false" ht="15" hidden="false" customHeight="false" outlineLevel="0" collapsed="false">
      <c r="A730" s="16"/>
      <c r="B730" s="17"/>
      <c r="C730" s="17"/>
      <c r="D730" s="17"/>
      <c r="E730" s="17"/>
      <c r="F730" s="17"/>
      <c r="G730" s="17"/>
      <c r="H730" s="17"/>
      <c r="I730" s="17"/>
      <c r="J730" s="18" t="str">
        <f aca="false">IF(COUNT(E730:I730)&lt;5,"",SUM(E730:I730))</f>
        <v/>
      </c>
      <c r="K730" s="18" t="str">
        <f aca="false">IF(J730="","",IF(M730&lt;설정!$B$3,"",ROUND(AVERAGEIFS($J$2:$J$1001,$B$2:$B$1001,B730,$A$2:$A$1001,"&lt;"&amp;A730,$A$2:$A$1001,"&gt;="&amp;(A730-설정!$B$2)),2)))</f>
        <v/>
      </c>
      <c r="L730" s="18" t="str">
        <f aca="false">IF(K730="","",ROUND(SQRT(MAX(0,(SUMIFS($R$2:$R$1001,$B$2:$B$1001,B730,$A$2:$A$1001,"&lt;"&amp;A730,$A$2:$A$1001,"&gt;="&amp;(A730-설정!$B$2))-M730*AVERAGEIFS($J$2:$J$1001,$B$2:$B$1001,B730,$A$2:$A$1001,"&lt;"&amp;A730,$A$2:$A$1001,"&gt;="&amp;(A730-설정!$B$2))^2)/(M730-1))),2))</f>
        <v/>
      </c>
      <c r="M730" s="18" t="str">
        <f aca="false">IF(J730="","",COUNTIFS($B$2:$B$1001,B730,$A$2:$A$1001,"&lt;"&amp;A730,$A$2:$A$1001,"&gt;="&amp;(A730-설정!$B$2),$J$2:$J$1001,"&gt;=0"))</f>
        <v/>
      </c>
      <c r="N730" s="18" t="str">
        <f aca="false">IF(K730="","",IF(L730=0,"",ROUND((J730-K730)/L730,2)))</f>
        <v/>
      </c>
      <c r="O730" s="19" t="str">
        <f aca="false">IF(J730="","",IF(MIN(F730,G730)&lt;=설정!$B$5,"예",""))</f>
        <v/>
      </c>
      <c r="P730" s="19" t="str">
        <f aca="false">IF(J730="","",IF(M730&lt;설정!$B$3,"baseline 수집 중",IF(N730="","정상",IF(N730&lt;=설정!$B$4,"낮음","정상"))))</f>
        <v/>
      </c>
      <c r="Q730" s="20"/>
      <c r="R730" s="18" t="str">
        <f aca="false">IF(J730="","",J730^2)</f>
        <v/>
      </c>
    </row>
    <row r="731" customFormat="false" ht="15" hidden="false" customHeight="false" outlineLevel="0" collapsed="false">
      <c r="A731" s="16"/>
      <c r="B731" s="17"/>
      <c r="C731" s="17"/>
      <c r="D731" s="17"/>
      <c r="E731" s="17"/>
      <c r="F731" s="17"/>
      <c r="G731" s="17"/>
      <c r="H731" s="17"/>
      <c r="I731" s="17"/>
      <c r="J731" s="18" t="str">
        <f aca="false">IF(COUNT(E731:I731)&lt;5,"",SUM(E731:I731))</f>
        <v/>
      </c>
      <c r="K731" s="18" t="str">
        <f aca="false">IF(J731="","",IF(M731&lt;설정!$B$3,"",ROUND(AVERAGEIFS($J$2:$J$1001,$B$2:$B$1001,B731,$A$2:$A$1001,"&lt;"&amp;A731,$A$2:$A$1001,"&gt;="&amp;(A731-설정!$B$2)),2)))</f>
        <v/>
      </c>
      <c r="L731" s="18" t="str">
        <f aca="false">IF(K731="","",ROUND(SQRT(MAX(0,(SUMIFS($R$2:$R$1001,$B$2:$B$1001,B731,$A$2:$A$1001,"&lt;"&amp;A731,$A$2:$A$1001,"&gt;="&amp;(A731-설정!$B$2))-M731*AVERAGEIFS($J$2:$J$1001,$B$2:$B$1001,B731,$A$2:$A$1001,"&lt;"&amp;A731,$A$2:$A$1001,"&gt;="&amp;(A731-설정!$B$2))^2)/(M731-1))),2))</f>
        <v/>
      </c>
      <c r="M731" s="18" t="str">
        <f aca="false">IF(J731="","",COUNTIFS($B$2:$B$1001,B731,$A$2:$A$1001,"&lt;"&amp;A731,$A$2:$A$1001,"&gt;="&amp;(A731-설정!$B$2),$J$2:$J$1001,"&gt;=0"))</f>
        <v/>
      </c>
      <c r="N731" s="18" t="str">
        <f aca="false">IF(K731="","",IF(L731=0,"",ROUND((J731-K731)/L731,2)))</f>
        <v/>
      </c>
      <c r="O731" s="19" t="str">
        <f aca="false">IF(J731="","",IF(MIN(F731,G731)&lt;=설정!$B$5,"예",""))</f>
        <v/>
      </c>
      <c r="P731" s="19" t="str">
        <f aca="false">IF(J731="","",IF(M731&lt;설정!$B$3,"baseline 수집 중",IF(N731="","정상",IF(N731&lt;=설정!$B$4,"낮음","정상"))))</f>
        <v/>
      </c>
      <c r="Q731" s="20"/>
      <c r="R731" s="18" t="str">
        <f aca="false">IF(J731="","",J731^2)</f>
        <v/>
      </c>
    </row>
    <row r="732" customFormat="false" ht="15" hidden="false" customHeight="false" outlineLevel="0" collapsed="false">
      <c r="A732" s="16"/>
      <c r="B732" s="17"/>
      <c r="C732" s="17"/>
      <c r="D732" s="17"/>
      <c r="E732" s="17"/>
      <c r="F732" s="17"/>
      <c r="G732" s="17"/>
      <c r="H732" s="17"/>
      <c r="I732" s="17"/>
      <c r="J732" s="18" t="str">
        <f aca="false">IF(COUNT(E732:I732)&lt;5,"",SUM(E732:I732))</f>
        <v/>
      </c>
      <c r="K732" s="18" t="str">
        <f aca="false">IF(J732="","",IF(M732&lt;설정!$B$3,"",ROUND(AVERAGEIFS($J$2:$J$1001,$B$2:$B$1001,B732,$A$2:$A$1001,"&lt;"&amp;A732,$A$2:$A$1001,"&gt;="&amp;(A732-설정!$B$2)),2)))</f>
        <v/>
      </c>
      <c r="L732" s="18" t="str">
        <f aca="false">IF(K732="","",ROUND(SQRT(MAX(0,(SUMIFS($R$2:$R$1001,$B$2:$B$1001,B732,$A$2:$A$1001,"&lt;"&amp;A732,$A$2:$A$1001,"&gt;="&amp;(A732-설정!$B$2))-M732*AVERAGEIFS($J$2:$J$1001,$B$2:$B$1001,B732,$A$2:$A$1001,"&lt;"&amp;A732,$A$2:$A$1001,"&gt;="&amp;(A732-설정!$B$2))^2)/(M732-1))),2))</f>
        <v/>
      </c>
      <c r="M732" s="18" t="str">
        <f aca="false">IF(J732="","",COUNTIFS($B$2:$B$1001,B732,$A$2:$A$1001,"&lt;"&amp;A732,$A$2:$A$1001,"&gt;="&amp;(A732-설정!$B$2),$J$2:$J$1001,"&gt;=0"))</f>
        <v/>
      </c>
      <c r="N732" s="18" t="str">
        <f aca="false">IF(K732="","",IF(L732=0,"",ROUND((J732-K732)/L732,2)))</f>
        <v/>
      </c>
      <c r="O732" s="19" t="str">
        <f aca="false">IF(J732="","",IF(MIN(F732,G732)&lt;=설정!$B$5,"예",""))</f>
        <v/>
      </c>
      <c r="P732" s="19" t="str">
        <f aca="false">IF(J732="","",IF(M732&lt;설정!$B$3,"baseline 수집 중",IF(N732="","정상",IF(N732&lt;=설정!$B$4,"낮음","정상"))))</f>
        <v/>
      </c>
      <c r="Q732" s="20"/>
      <c r="R732" s="18" t="str">
        <f aca="false">IF(J732="","",J732^2)</f>
        <v/>
      </c>
    </row>
    <row r="733" customFormat="false" ht="15" hidden="false" customHeight="false" outlineLevel="0" collapsed="false">
      <c r="A733" s="16"/>
      <c r="B733" s="17"/>
      <c r="C733" s="17"/>
      <c r="D733" s="17"/>
      <c r="E733" s="17"/>
      <c r="F733" s="17"/>
      <c r="G733" s="17"/>
      <c r="H733" s="17"/>
      <c r="I733" s="17"/>
      <c r="J733" s="18" t="str">
        <f aca="false">IF(COUNT(E733:I733)&lt;5,"",SUM(E733:I733))</f>
        <v/>
      </c>
      <c r="K733" s="18" t="str">
        <f aca="false">IF(J733="","",IF(M733&lt;설정!$B$3,"",ROUND(AVERAGEIFS($J$2:$J$1001,$B$2:$B$1001,B733,$A$2:$A$1001,"&lt;"&amp;A733,$A$2:$A$1001,"&gt;="&amp;(A733-설정!$B$2)),2)))</f>
        <v/>
      </c>
      <c r="L733" s="18" t="str">
        <f aca="false">IF(K733="","",ROUND(SQRT(MAX(0,(SUMIFS($R$2:$R$1001,$B$2:$B$1001,B733,$A$2:$A$1001,"&lt;"&amp;A733,$A$2:$A$1001,"&gt;="&amp;(A733-설정!$B$2))-M733*AVERAGEIFS($J$2:$J$1001,$B$2:$B$1001,B733,$A$2:$A$1001,"&lt;"&amp;A733,$A$2:$A$1001,"&gt;="&amp;(A733-설정!$B$2))^2)/(M733-1))),2))</f>
        <v/>
      </c>
      <c r="M733" s="18" t="str">
        <f aca="false">IF(J733="","",COUNTIFS($B$2:$B$1001,B733,$A$2:$A$1001,"&lt;"&amp;A733,$A$2:$A$1001,"&gt;="&amp;(A733-설정!$B$2),$J$2:$J$1001,"&gt;=0"))</f>
        <v/>
      </c>
      <c r="N733" s="18" t="str">
        <f aca="false">IF(K733="","",IF(L733=0,"",ROUND((J733-K733)/L733,2)))</f>
        <v/>
      </c>
      <c r="O733" s="19" t="str">
        <f aca="false">IF(J733="","",IF(MIN(F733,G733)&lt;=설정!$B$5,"예",""))</f>
        <v/>
      </c>
      <c r="P733" s="19" t="str">
        <f aca="false">IF(J733="","",IF(M733&lt;설정!$B$3,"baseline 수집 중",IF(N733="","정상",IF(N733&lt;=설정!$B$4,"낮음","정상"))))</f>
        <v/>
      </c>
      <c r="Q733" s="20"/>
      <c r="R733" s="18" t="str">
        <f aca="false">IF(J733="","",J733^2)</f>
        <v/>
      </c>
    </row>
    <row r="734" customFormat="false" ht="15" hidden="false" customHeight="false" outlineLevel="0" collapsed="false">
      <c r="A734" s="16"/>
      <c r="B734" s="17"/>
      <c r="C734" s="17"/>
      <c r="D734" s="17"/>
      <c r="E734" s="17"/>
      <c r="F734" s="17"/>
      <c r="G734" s="17"/>
      <c r="H734" s="17"/>
      <c r="I734" s="17"/>
      <c r="J734" s="18" t="str">
        <f aca="false">IF(COUNT(E734:I734)&lt;5,"",SUM(E734:I734))</f>
        <v/>
      </c>
      <c r="K734" s="18" t="str">
        <f aca="false">IF(J734="","",IF(M734&lt;설정!$B$3,"",ROUND(AVERAGEIFS($J$2:$J$1001,$B$2:$B$1001,B734,$A$2:$A$1001,"&lt;"&amp;A734,$A$2:$A$1001,"&gt;="&amp;(A734-설정!$B$2)),2)))</f>
        <v/>
      </c>
      <c r="L734" s="18" t="str">
        <f aca="false">IF(K734="","",ROUND(SQRT(MAX(0,(SUMIFS($R$2:$R$1001,$B$2:$B$1001,B734,$A$2:$A$1001,"&lt;"&amp;A734,$A$2:$A$1001,"&gt;="&amp;(A734-설정!$B$2))-M734*AVERAGEIFS($J$2:$J$1001,$B$2:$B$1001,B734,$A$2:$A$1001,"&lt;"&amp;A734,$A$2:$A$1001,"&gt;="&amp;(A734-설정!$B$2))^2)/(M734-1))),2))</f>
        <v/>
      </c>
      <c r="M734" s="18" t="str">
        <f aca="false">IF(J734="","",COUNTIFS($B$2:$B$1001,B734,$A$2:$A$1001,"&lt;"&amp;A734,$A$2:$A$1001,"&gt;="&amp;(A734-설정!$B$2),$J$2:$J$1001,"&gt;=0"))</f>
        <v/>
      </c>
      <c r="N734" s="18" t="str">
        <f aca="false">IF(K734="","",IF(L734=0,"",ROUND((J734-K734)/L734,2)))</f>
        <v/>
      </c>
      <c r="O734" s="19" t="str">
        <f aca="false">IF(J734="","",IF(MIN(F734,G734)&lt;=설정!$B$5,"예",""))</f>
        <v/>
      </c>
      <c r="P734" s="19" t="str">
        <f aca="false">IF(J734="","",IF(M734&lt;설정!$B$3,"baseline 수집 중",IF(N734="","정상",IF(N734&lt;=설정!$B$4,"낮음","정상"))))</f>
        <v/>
      </c>
      <c r="Q734" s="20"/>
      <c r="R734" s="18" t="str">
        <f aca="false">IF(J734="","",J734^2)</f>
        <v/>
      </c>
    </row>
    <row r="735" customFormat="false" ht="15" hidden="false" customHeight="false" outlineLevel="0" collapsed="false">
      <c r="A735" s="16"/>
      <c r="B735" s="17"/>
      <c r="C735" s="17"/>
      <c r="D735" s="17"/>
      <c r="E735" s="17"/>
      <c r="F735" s="17"/>
      <c r="G735" s="17"/>
      <c r="H735" s="17"/>
      <c r="I735" s="17"/>
      <c r="J735" s="18" t="str">
        <f aca="false">IF(COUNT(E735:I735)&lt;5,"",SUM(E735:I735))</f>
        <v/>
      </c>
      <c r="K735" s="18" t="str">
        <f aca="false">IF(J735="","",IF(M735&lt;설정!$B$3,"",ROUND(AVERAGEIFS($J$2:$J$1001,$B$2:$B$1001,B735,$A$2:$A$1001,"&lt;"&amp;A735,$A$2:$A$1001,"&gt;="&amp;(A735-설정!$B$2)),2)))</f>
        <v/>
      </c>
      <c r="L735" s="18" t="str">
        <f aca="false">IF(K735="","",ROUND(SQRT(MAX(0,(SUMIFS($R$2:$R$1001,$B$2:$B$1001,B735,$A$2:$A$1001,"&lt;"&amp;A735,$A$2:$A$1001,"&gt;="&amp;(A735-설정!$B$2))-M735*AVERAGEIFS($J$2:$J$1001,$B$2:$B$1001,B735,$A$2:$A$1001,"&lt;"&amp;A735,$A$2:$A$1001,"&gt;="&amp;(A735-설정!$B$2))^2)/(M735-1))),2))</f>
        <v/>
      </c>
      <c r="M735" s="18" t="str">
        <f aca="false">IF(J735="","",COUNTIFS($B$2:$B$1001,B735,$A$2:$A$1001,"&lt;"&amp;A735,$A$2:$A$1001,"&gt;="&amp;(A735-설정!$B$2),$J$2:$J$1001,"&gt;=0"))</f>
        <v/>
      </c>
      <c r="N735" s="18" t="str">
        <f aca="false">IF(K735="","",IF(L735=0,"",ROUND((J735-K735)/L735,2)))</f>
        <v/>
      </c>
      <c r="O735" s="19" t="str">
        <f aca="false">IF(J735="","",IF(MIN(F735,G735)&lt;=설정!$B$5,"예",""))</f>
        <v/>
      </c>
      <c r="P735" s="19" t="str">
        <f aca="false">IF(J735="","",IF(M735&lt;설정!$B$3,"baseline 수집 중",IF(N735="","정상",IF(N735&lt;=설정!$B$4,"낮음","정상"))))</f>
        <v/>
      </c>
      <c r="Q735" s="20"/>
      <c r="R735" s="18" t="str">
        <f aca="false">IF(J735="","",J735^2)</f>
        <v/>
      </c>
    </row>
    <row r="736" customFormat="false" ht="15" hidden="false" customHeight="false" outlineLevel="0" collapsed="false">
      <c r="A736" s="16"/>
      <c r="B736" s="17"/>
      <c r="C736" s="17"/>
      <c r="D736" s="17"/>
      <c r="E736" s="17"/>
      <c r="F736" s="17"/>
      <c r="G736" s="17"/>
      <c r="H736" s="17"/>
      <c r="I736" s="17"/>
      <c r="J736" s="18" t="str">
        <f aca="false">IF(COUNT(E736:I736)&lt;5,"",SUM(E736:I736))</f>
        <v/>
      </c>
      <c r="K736" s="18" t="str">
        <f aca="false">IF(J736="","",IF(M736&lt;설정!$B$3,"",ROUND(AVERAGEIFS($J$2:$J$1001,$B$2:$B$1001,B736,$A$2:$A$1001,"&lt;"&amp;A736,$A$2:$A$1001,"&gt;="&amp;(A736-설정!$B$2)),2)))</f>
        <v/>
      </c>
      <c r="L736" s="18" t="str">
        <f aca="false">IF(K736="","",ROUND(SQRT(MAX(0,(SUMIFS($R$2:$R$1001,$B$2:$B$1001,B736,$A$2:$A$1001,"&lt;"&amp;A736,$A$2:$A$1001,"&gt;="&amp;(A736-설정!$B$2))-M736*AVERAGEIFS($J$2:$J$1001,$B$2:$B$1001,B736,$A$2:$A$1001,"&lt;"&amp;A736,$A$2:$A$1001,"&gt;="&amp;(A736-설정!$B$2))^2)/(M736-1))),2))</f>
        <v/>
      </c>
      <c r="M736" s="18" t="str">
        <f aca="false">IF(J736="","",COUNTIFS($B$2:$B$1001,B736,$A$2:$A$1001,"&lt;"&amp;A736,$A$2:$A$1001,"&gt;="&amp;(A736-설정!$B$2),$J$2:$J$1001,"&gt;=0"))</f>
        <v/>
      </c>
      <c r="N736" s="18" t="str">
        <f aca="false">IF(K736="","",IF(L736=0,"",ROUND((J736-K736)/L736,2)))</f>
        <v/>
      </c>
      <c r="O736" s="19" t="str">
        <f aca="false">IF(J736="","",IF(MIN(F736,G736)&lt;=설정!$B$5,"예",""))</f>
        <v/>
      </c>
      <c r="P736" s="19" t="str">
        <f aca="false">IF(J736="","",IF(M736&lt;설정!$B$3,"baseline 수집 중",IF(N736="","정상",IF(N736&lt;=설정!$B$4,"낮음","정상"))))</f>
        <v/>
      </c>
      <c r="Q736" s="20"/>
      <c r="R736" s="18" t="str">
        <f aca="false">IF(J736="","",J736^2)</f>
        <v/>
      </c>
    </row>
    <row r="737" customFormat="false" ht="15" hidden="false" customHeight="false" outlineLevel="0" collapsed="false">
      <c r="A737" s="16"/>
      <c r="B737" s="17"/>
      <c r="C737" s="17"/>
      <c r="D737" s="17"/>
      <c r="E737" s="17"/>
      <c r="F737" s="17"/>
      <c r="G737" s="17"/>
      <c r="H737" s="17"/>
      <c r="I737" s="17"/>
      <c r="J737" s="18" t="str">
        <f aca="false">IF(COUNT(E737:I737)&lt;5,"",SUM(E737:I737))</f>
        <v/>
      </c>
      <c r="K737" s="18" t="str">
        <f aca="false">IF(J737="","",IF(M737&lt;설정!$B$3,"",ROUND(AVERAGEIFS($J$2:$J$1001,$B$2:$B$1001,B737,$A$2:$A$1001,"&lt;"&amp;A737,$A$2:$A$1001,"&gt;="&amp;(A737-설정!$B$2)),2)))</f>
        <v/>
      </c>
      <c r="L737" s="18" t="str">
        <f aca="false">IF(K737="","",ROUND(SQRT(MAX(0,(SUMIFS($R$2:$R$1001,$B$2:$B$1001,B737,$A$2:$A$1001,"&lt;"&amp;A737,$A$2:$A$1001,"&gt;="&amp;(A737-설정!$B$2))-M737*AVERAGEIFS($J$2:$J$1001,$B$2:$B$1001,B737,$A$2:$A$1001,"&lt;"&amp;A737,$A$2:$A$1001,"&gt;="&amp;(A737-설정!$B$2))^2)/(M737-1))),2))</f>
        <v/>
      </c>
      <c r="M737" s="18" t="str">
        <f aca="false">IF(J737="","",COUNTIFS($B$2:$B$1001,B737,$A$2:$A$1001,"&lt;"&amp;A737,$A$2:$A$1001,"&gt;="&amp;(A737-설정!$B$2),$J$2:$J$1001,"&gt;=0"))</f>
        <v/>
      </c>
      <c r="N737" s="18" t="str">
        <f aca="false">IF(K737="","",IF(L737=0,"",ROUND((J737-K737)/L737,2)))</f>
        <v/>
      </c>
      <c r="O737" s="19" t="str">
        <f aca="false">IF(J737="","",IF(MIN(F737,G737)&lt;=설정!$B$5,"예",""))</f>
        <v/>
      </c>
      <c r="P737" s="19" t="str">
        <f aca="false">IF(J737="","",IF(M737&lt;설정!$B$3,"baseline 수집 중",IF(N737="","정상",IF(N737&lt;=설정!$B$4,"낮음","정상"))))</f>
        <v/>
      </c>
      <c r="Q737" s="20"/>
      <c r="R737" s="18" t="str">
        <f aca="false">IF(J737="","",J737^2)</f>
        <v/>
      </c>
    </row>
    <row r="738" customFormat="false" ht="15" hidden="false" customHeight="false" outlineLevel="0" collapsed="false">
      <c r="A738" s="16"/>
      <c r="B738" s="17"/>
      <c r="C738" s="17"/>
      <c r="D738" s="17"/>
      <c r="E738" s="17"/>
      <c r="F738" s="17"/>
      <c r="G738" s="17"/>
      <c r="H738" s="17"/>
      <c r="I738" s="17"/>
      <c r="J738" s="18" t="str">
        <f aca="false">IF(COUNT(E738:I738)&lt;5,"",SUM(E738:I738))</f>
        <v/>
      </c>
      <c r="K738" s="18" t="str">
        <f aca="false">IF(J738="","",IF(M738&lt;설정!$B$3,"",ROUND(AVERAGEIFS($J$2:$J$1001,$B$2:$B$1001,B738,$A$2:$A$1001,"&lt;"&amp;A738,$A$2:$A$1001,"&gt;="&amp;(A738-설정!$B$2)),2)))</f>
        <v/>
      </c>
      <c r="L738" s="18" t="str">
        <f aca="false">IF(K738="","",ROUND(SQRT(MAX(0,(SUMIFS($R$2:$R$1001,$B$2:$B$1001,B738,$A$2:$A$1001,"&lt;"&amp;A738,$A$2:$A$1001,"&gt;="&amp;(A738-설정!$B$2))-M738*AVERAGEIFS($J$2:$J$1001,$B$2:$B$1001,B738,$A$2:$A$1001,"&lt;"&amp;A738,$A$2:$A$1001,"&gt;="&amp;(A738-설정!$B$2))^2)/(M738-1))),2))</f>
        <v/>
      </c>
      <c r="M738" s="18" t="str">
        <f aca="false">IF(J738="","",COUNTIFS($B$2:$B$1001,B738,$A$2:$A$1001,"&lt;"&amp;A738,$A$2:$A$1001,"&gt;="&amp;(A738-설정!$B$2),$J$2:$J$1001,"&gt;=0"))</f>
        <v/>
      </c>
      <c r="N738" s="18" t="str">
        <f aca="false">IF(K738="","",IF(L738=0,"",ROUND((J738-K738)/L738,2)))</f>
        <v/>
      </c>
      <c r="O738" s="19" t="str">
        <f aca="false">IF(J738="","",IF(MIN(F738,G738)&lt;=설정!$B$5,"예",""))</f>
        <v/>
      </c>
      <c r="P738" s="19" t="str">
        <f aca="false">IF(J738="","",IF(M738&lt;설정!$B$3,"baseline 수집 중",IF(N738="","정상",IF(N738&lt;=설정!$B$4,"낮음","정상"))))</f>
        <v/>
      </c>
      <c r="Q738" s="20"/>
      <c r="R738" s="18" t="str">
        <f aca="false">IF(J738="","",J738^2)</f>
        <v/>
      </c>
    </row>
    <row r="739" customFormat="false" ht="15" hidden="false" customHeight="false" outlineLevel="0" collapsed="false">
      <c r="A739" s="16"/>
      <c r="B739" s="17"/>
      <c r="C739" s="17"/>
      <c r="D739" s="17"/>
      <c r="E739" s="17"/>
      <c r="F739" s="17"/>
      <c r="G739" s="17"/>
      <c r="H739" s="17"/>
      <c r="I739" s="17"/>
      <c r="J739" s="18" t="str">
        <f aca="false">IF(COUNT(E739:I739)&lt;5,"",SUM(E739:I739))</f>
        <v/>
      </c>
      <c r="K739" s="18" t="str">
        <f aca="false">IF(J739="","",IF(M739&lt;설정!$B$3,"",ROUND(AVERAGEIFS($J$2:$J$1001,$B$2:$B$1001,B739,$A$2:$A$1001,"&lt;"&amp;A739,$A$2:$A$1001,"&gt;="&amp;(A739-설정!$B$2)),2)))</f>
        <v/>
      </c>
      <c r="L739" s="18" t="str">
        <f aca="false">IF(K739="","",ROUND(SQRT(MAX(0,(SUMIFS($R$2:$R$1001,$B$2:$B$1001,B739,$A$2:$A$1001,"&lt;"&amp;A739,$A$2:$A$1001,"&gt;="&amp;(A739-설정!$B$2))-M739*AVERAGEIFS($J$2:$J$1001,$B$2:$B$1001,B739,$A$2:$A$1001,"&lt;"&amp;A739,$A$2:$A$1001,"&gt;="&amp;(A739-설정!$B$2))^2)/(M739-1))),2))</f>
        <v/>
      </c>
      <c r="M739" s="18" t="str">
        <f aca="false">IF(J739="","",COUNTIFS($B$2:$B$1001,B739,$A$2:$A$1001,"&lt;"&amp;A739,$A$2:$A$1001,"&gt;="&amp;(A739-설정!$B$2),$J$2:$J$1001,"&gt;=0"))</f>
        <v/>
      </c>
      <c r="N739" s="18" t="str">
        <f aca="false">IF(K739="","",IF(L739=0,"",ROUND((J739-K739)/L739,2)))</f>
        <v/>
      </c>
      <c r="O739" s="19" t="str">
        <f aca="false">IF(J739="","",IF(MIN(F739,G739)&lt;=설정!$B$5,"예",""))</f>
        <v/>
      </c>
      <c r="P739" s="19" t="str">
        <f aca="false">IF(J739="","",IF(M739&lt;설정!$B$3,"baseline 수집 중",IF(N739="","정상",IF(N739&lt;=설정!$B$4,"낮음","정상"))))</f>
        <v/>
      </c>
      <c r="Q739" s="20"/>
      <c r="R739" s="18" t="str">
        <f aca="false">IF(J739="","",J739^2)</f>
        <v/>
      </c>
    </row>
    <row r="740" customFormat="false" ht="15" hidden="false" customHeight="false" outlineLevel="0" collapsed="false">
      <c r="A740" s="16"/>
      <c r="B740" s="17"/>
      <c r="C740" s="17"/>
      <c r="D740" s="17"/>
      <c r="E740" s="17"/>
      <c r="F740" s="17"/>
      <c r="G740" s="17"/>
      <c r="H740" s="17"/>
      <c r="I740" s="17"/>
      <c r="J740" s="18" t="str">
        <f aca="false">IF(COUNT(E740:I740)&lt;5,"",SUM(E740:I740))</f>
        <v/>
      </c>
      <c r="K740" s="18" t="str">
        <f aca="false">IF(J740="","",IF(M740&lt;설정!$B$3,"",ROUND(AVERAGEIFS($J$2:$J$1001,$B$2:$B$1001,B740,$A$2:$A$1001,"&lt;"&amp;A740,$A$2:$A$1001,"&gt;="&amp;(A740-설정!$B$2)),2)))</f>
        <v/>
      </c>
      <c r="L740" s="18" t="str">
        <f aca="false">IF(K740="","",ROUND(SQRT(MAX(0,(SUMIFS($R$2:$R$1001,$B$2:$B$1001,B740,$A$2:$A$1001,"&lt;"&amp;A740,$A$2:$A$1001,"&gt;="&amp;(A740-설정!$B$2))-M740*AVERAGEIFS($J$2:$J$1001,$B$2:$B$1001,B740,$A$2:$A$1001,"&lt;"&amp;A740,$A$2:$A$1001,"&gt;="&amp;(A740-설정!$B$2))^2)/(M740-1))),2))</f>
        <v/>
      </c>
      <c r="M740" s="18" t="str">
        <f aca="false">IF(J740="","",COUNTIFS($B$2:$B$1001,B740,$A$2:$A$1001,"&lt;"&amp;A740,$A$2:$A$1001,"&gt;="&amp;(A740-설정!$B$2),$J$2:$J$1001,"&gt;=0"))</f>
        <v/>
      </c>
      <c r="N740" s="18" t="str">
        <f aca="false">IF(K740="","",IF(L740=0,"",ROUND((J740-K740)/L740,2)))</f>
        <v/>
      </c>
      <c r="O740" s="19" t="str">
        <f aca="false">IF(J740="","",IF(MIN(F740,G740)&lt;=설정!$B$5,"예",""))</f>
        <v/>
      </c>
      <c r="P740" s="19" t="str">
        <f aca="false">IF(J740="","",IF(M740&lt;설정!$B$3,"baseline 수집 중",IF(N740="","정상",IF(N740&lt;=설정!$B$4,"낮음","정상"))))</f>
        <v/>
      </c>
      <c r="Q740" s="20"/>
      <c r="R740" s="18" t="str">
        <f aca="false">IF(J740="","",J740^2)</f>
        <v/>
      </c>
    </row>
    <row r="741" customFormat="false" ht="15" hidden="false" customHeight="false" outlineLevel="0" collapsed="false">
      <c r="A741" s="16"/>
      <c r="B741" s="17"/>
      <c r="C741" s="17"/>
      <c r="D741" s="17"/>
      <c r="E741" s="17"/>
      <c r="F741" s="17"/>
      <c r="G741" s="17"/>
      <c r="H741" s="17"/>
      <c r="I741" s="17"/>
      <c r="J741" s="18" t="str">
        <f aca="false">IF(COUNT(E741:I741)&lt;5,"",SUM(E741:I741))</f>
        <v/>
      </c>
      <c r="K741" s="18" t="str">
        <f aca="false">IF(J741="","",IF(M741&lt;설정!$B$3,"",ROUND(AVERAGEIFS($J$2:$J$1001,$B$2:$B$1001,B741,$A$2:$A$1001,"&lt;"&amp;A741,$A$2:$A$1001,"&gt;="&amp;(A741-설정!$B$2)),2)))</f>
        <v/>
      </c>
      <c r="L741" s="18" t="str">
        <f aca="false">IF(K741="","",ROUND(SQRT(MAX(0,(SUMIFS($R$2:$R$1001,$B$2:$B$1001,B741,$A$2:$A$1001,"&lt;"&amp;A741,$A$2:$A$1001,"&gt;="&amp;(A741-설정!$B$2))-M741*AVERAGEIFS($J$2:$J$1001,$B$2:$B$1001,B741,$A$2:$A$1001,"&lt;"&amp;A741,$A$2:$A$1001,"&gt;="&amp;(A741-설정!$B$2))^2)/(M741-1))),2))</f>
        <v/>
      </c>
      <c r="M741" s="18" t="str">
        <f aca="false">IF(J741="","",COUNTIFS($B$2:$B$1001,B741,$A$2:$A$1001,"&lt;"&amp;A741,$A$2:$A$1001,"&gt;="&amp;(A741-설정!$B$2),$J$2:$J$1001,"&gt;=0"))</f>
        <v/>
      </c>
      <c r="N741" s="18" t="str">
        <f aca="false">IF(K741="","",IF(L741=0,"",ROUND((J741-K741)/L741,2)))</f>
        <v/>
      </c>
      <c r="O741" s="19" t="str">
        <f aca="false">IF(J741="","",IF(MIN(F741,G741)&lt;=설정!$B$5,"예",""))</f>
        <v/>
      </c>
      <c r="P741" s="19" t="str">
        <f aca="false">IF(J741="","",IF(M741&lt;설정!$B$3,"baseline 수집 중",IF(N741="","정상",IF(N741&lt;=설정!$B$4,"낮음","정상"))))</f>
        <v/>
      </c>
      <c r="Q741" s="20"/>
      <c r="R741" s="18" t="str">
        <f aca="false">IF(J741="","",J741^2)</f>
        <v/>
      </c>
    </row>
    <row r="742" customFormat="false" ht="15" hidden="false" customHeight="false" outlineLevel="0" collapsed="false">
      <c r="A742" s="16"/>
      <c r="B742" s="17"/>
      <c r="C742" s="17"/>
      <c r="D742" s="17"/>
      <c r="E742" s="17"/>
      <c r="F742" s="17"/>
      <c r="G742" s="17"/>
      <c r="H742" s="17"/>
      <c r="I742" s="17"/>
      <c r="J742" s="18" t="str">
        <f aca="false">IF(COUNT(E742:I742)&lt;5,"",SUM(E742:I742))</f>
        <v/>
      </c>
      <c r="K742" s="18" t="str">
        <f aca="false">IF(J742="","",IF(M742&lt;설정!$B$3,"",ROUND(AVERAGEIFS($J$2:$J$1001,$B$2:$B$1001,B742,$A$2:$A$1001,"&lt;"&amp;A742,$A$2:$A$1001,"&gt;="&amp;(A742-설정!$B$2)),2)))</f>
        <v/>
      </c>
      <c r="L742" s="18" t="str">
        <f aca="false">IF(K742="","",ROUND(SQRT(MAX(0,(SUMIFS($R$2:$R$1001,$B$2:$B$1001,B742,$A$2:$A$1001,"&lt;"&amp;A742,$A$2:$A$1001,"&gt;="&amp;(A742-설정!$B$2))-M742*AVERAGEIFS($J$2:$J$1001,$B$2:$B$1001,B742,$A$2:$A$1001,"&lt;"&amp;A742,$A$2:$A$1001,"&gt;="&amp;(A742-설정!$B$2))^2)/(M742-1))),2))</f>
        <v/>
      </c>
      <c r="M742" s="18" t="str">
        <f aca="false">IF(J742="","",COUNTIFS($B$2:$B$1001,B742,$A$2:$A$1001,"&lt;"&amp;A742,$A$2:$A$1001,"&gt;="&amp;(A742-설정!$B$2),$J$2:$J$1001,"&gt;=0"))</f>
        <v/>
      </c>
      <c r="N742" s="18" t="str">
        <f aca="false">IF(K742="","",IF(L742=0,"",ROUND((J742-K742)/L742,2)))</f>
        <v/>
      </c>
      <c r="O742" s="19" t="str">
        <f aca="false">IF(J742="","",IF(MIN(F742,G742)&lt;=설정!$B$5,"예",""))</f>
        <v/>
      </c>
      <c r="P742" s="19" t="str">
        <f aca="false">IF(J742="","",IF(M742&lt;설정!$B$3,"baseline 수집 중",IF(N742="","정상",IF(N742&lt;=설정!$B$4,"낮음","정상"))))</f>
        <v/>
      </c>
      <c r="Q742" s="20"/>
      <c r="R742" s="18" t="str">
        <f aca="false">IF(J742="","",J742^2)</f>
        <v/>
      </c>
    </row>
    <row r="743" customFormat="false" ht="15" hidden="false" customHeight="false" outlineLevel="0" collapsed="false">
      <c r="A743" s="16"/>
      <c r="B743" s="17"/>
      <c r="C743" s="17"/>
      <c r="D743" s="17"/>
      <c r="E743" s="17"/>
      <c r="F743" s="17"/>
      <c r="G743" s="17"/>
      <c r="H743" s="17"/>
      <c r="I743" s="17"/>
      <c r="J743" s="18" t="str">
        <f aca="false">IF(COUNT(E743:I743)&lt;5,"",SUM(E743:I743))</f>
        <v/>
      </c>
      <c r="K743" s="18" t="str">
        <f aca="false">IF(J743="","",IF(M743&lt;설정!$B$3,"",ROUND(AVERAGEIFS($J$2:$J$1001,$B$2:$B$1001,B743,$A$2:$A$1001,"&lt;"&amp;A743,$A$2:$A$1001,"&gt;="&amp;(A743-설정!$B$2)),2)))</f>
        <v/>
      </c>
      <c r="L743" s="18" t="str">
        <f aca="false">IF(K743="","",ROUND(SQRT(MAX(0,(SUMIFS($R$2:$R$1001,$B$2:$B$1001,B743,$A$2:$A$1001,"&lt;"&amp;A743,$A$2:$A$1001,"&gt;="&amp;(A743-설정!$B$2))-M743*AVERAGEIFS($J$2:$J$1001,$B$2:$B$1001,B743,$A$2:$A$1001,"&lt;"&amp;A743,$A$2:$A$1001,"&gt;="&amp;(A743-설정!$B$2))^2)/(M743-1))),2))</f>
        <v/>
      </c>
      <c r="M743" s="18" t="str">
        <f aca="false">IF(J743="","",COUNTIFS($B$2:$B$1001,B743,$A$2:$A$1001,"&lt;"&amp;A743,$A$2:$A$1001,"&gt;="&amp;(A743-설정!$B$2),$J$2:$J$1001,"&gt;=0"))</f>
        <v/>
      </c>
      <c r="N743" s="18" t="str">
        <f aca="false">IF(K743="","",IF(L743=0,"",ROUND((J743-K743)/L743,2)))</f>
        <v/>
      </c>
      <c r="O743" s="19" t="str">
        <f aca="false">IF(J743="","",IF(MIN(F743,G743)&lt;=설정!$B$5,"예",""))</f>
        <v/>
      </c>
      <c r="P743" s="19" t="str">
        <f aca="false">IF(J743="","",IF(M743&lt;설정!$B$3,"baseline 수집 중",IF(N743="","정상",IF(N743&lt;=설정!$B$4,"낮음","정상"))))</f>
        <v/>
      </c>
      <c r="Q743" s="20"/>
      <c r="R743" s="18" t="str">
        <f aca="false">IF(J743="","",J743^2)</f>
        <v/>
      </c>
    </row>
    <row r="744" customFormat="false" ht="15" hidden="false" customHeight="false" outlineLevel="0" collapsed="false">
      <c r="A744" s="16"/>
      <c r="B744" s="17"/>
      <c r="C744" s="17"/>
      <c r="D744" s="17"/>
      <c r="E744" s="17"/>
      <c r="F744" s="17"/>
      <c r="G744" s="17"/>
      <c r="H744" s="17"/>
      <c r="I744" s="17"/>
      <c r="J744" s="18" t="str">
        <f aca="false">IF(COUNT(E744:I744)&lt;5,"",SUM(E744:I744))</f>
        <v/>
      </c>
      <c r="K744" s="18" t="str">
        <f aca="false">IF(J744="","",IF(M744&lt;설정!$B$3,"",ROUND(AVERAGEIFS($J$2:$J$1001,$B$2:$B$1001,B744,$A$2:$A$1001,"&lt;"&amp;A744,$A$2:$A$1001,"&gt;="&amp;(A744-설정!$B$2)),2)))</f>
        <v/>
      </c>
      <c r="L744" s="18" t="str">
        <f aca="false">IF(K744="","",ROUND(SQRT(MAX(0,(SUMIFS($R$2:$R$1001,$B$2:$B$1001,B744,$A$2:$A$1001,"&lt;"&amp;A744,$A$2:$A$1001,"&gt;="&amp;(A744-설정!$B$2))-M744*AVERAGEIFS($J$2:$J$1001,$B$2:$B$1001,B744,$A$2:$A$1001,"&lt;"&amp;A744,$A$2:$A$1001,"&gt;="&amp;(A744-설정!$B$2))^2)/(M744-1))),2))</f>
        <v/>
      </c>
      <c r="M744" s="18" t="str">
        <f aca="false">IF(J744="","",COUNTIFS($B$2:$B$1001,B744,$A$2:$A$1001,"&lt;"&amp;A744,$A$2:$A$1001,"&gt;="&amp;(A744-설정!$B$2),$J$2:$J$1001,"&gt;=0"))</f>
        <v/>
      </c>
      <c r="N744" s="18" t="str">
        <f aca="false">IF(K744="","",IF(L744=0,"",ROUND((J744-K744)/L744,2)))</f>
        <v/>
      </c>
      <c r="O744" s="19" t="str">
        <f aca="false">IF(J744="","",IF(MIN(F744,G744)&lt;=설정!$B$5,"예",""))</f>
        <v/>
      </c>
      <c r="P744" s="19" t="str">
        <f aca="false">IF(J744="","",IF(M744&lt;설정!$B$3,"baseline 수집 중",IF(N744="","정상",IF(N744&lt;=설정!$B$4,"낮음","정상"))))</f>
        <v/>
      </c>
      <c r="Q744" s="20"/>
      <c r="R744" s="18" t="str">
        <f aca="false">IF(J744="","",J744^2)</f>
        <v/>
      </c>
    </row>
    <row r="745" customFormat="false" ht="15" hidden="false" customHeight="false" outlineLevel="0" collapsed="false">
      <c r="A745" s="16"/>
      <c r="B745" s="17"/>
      <c r="C745" s="17"/>
      <c r="D745" s="17"/>
      <c r="E745" s="17"/>
      <c r="F745" s="17"/>
      <c r="G745" s="17"/>
      <c r="H745" s="17"/>
      <c r="I745" s="17"/>
      <c r="J745" s="18" t="str">
        <f aca="false">IF(COUNT(E745:I745)&lt;5,"",SUM(E745:I745))</f>
        <v/>
      </c>
      <c r="K745" s="18" t="str">
        <f aca="false">IF(J745="","",IF(M745&lt;설정!$B$3,"",ROUND(AVERAGEIFS($J$2:$J$1001,$B$2:$B$1001,B745,$A$2:$A$1001,"&lt;"&amp;A745,$A$2:$A$1001,"&gt;="&amp;(A745-설정!$B$2)),2)))</f>
        <v/>
      </c>
      <c r="L745" s="18" t="str">
        <f aca="false">IF(K745="","",ROUND(SQRT(MAX(0,(SUMIFS($R$2:$R$1001,$B$2:$B$1001,B745,$A$2:$A$1001,"&lt;"&amp;A745,$A$2:$A$1001,"&gt;="&amp;(A745-설정!$B$2))-M745*AVERAGEIFS($J$2:$J$1001,$B$2:$B$1001,B745,$A$2:$A$1001,"&lt;"&amp;A745,$A$2:$A$1001,"&gt;="&amp;(A745-설정!$B$2))^2)/(M745-1))),2))</f>
        <v/>
      </c>
      <c r="M745" s="18" t="str">
        <f aca="false">IF(J745="","",COUNTIFS($B$2:$B$1001,B745,$A$2:$A$1001,"&lt;"&amp;A745,$A$2:$A$1001,"&gt;="&amp;(A745-설정!$B$2),$J$2:$J$1001,"&gt;=0"))</f>
        <v/>
      </c>
      <c r="N745" s="18" t="str">
        <f aca="false">IF(K745="","",IF(L745=0,"",ROUND((J745-K745)/L745,2)))</f>
        <v/>
      </c>
      <c r="O745" s="19" t="str">
        <f aca="false">IF(J745="","",IF(MIN(F745,G745)&lt;=설정!$B$5,"예",""))</f>
        <v/>
      </c>
      <c r="P745" s="19" t="str">
        <f aca="false">IF(J745="","",IF(M745&lt;설정!$B$3,"baseline 수집 중",IF(N745="","정상",IF(N745&lt;=설정!$B$4,"낮음","정상"))))</f>
        <v/>
      </c>
      <c r="Q745" s="20"/>
      <c r="R745" s="18" t="str">
        <f aca="false">IF(J745="","",J745^2)</f>
        <v/>
      </c>
    </row>
    <row r="746" customFormat="false" ht="15" hidden="false" customHeight="false" outlineLevel="0" collapsed="false">
      <c r="A746" s="16"/>
      <c r="B746" s="17"/>
      <c r="C746" s="17"/>
      <c r="D746" s="17"/>
      <c r="E746" s="17"/>
      <c r="F746" s="17"/>
      <c r="G746" s="17"/>
      <c r="H746" s="17"/>
      <c r="I746" s="17"/>
      <c r="J746" s="18" t="str">
        <f aca="false">IF(COUNT(E746:I746)&lt;5,"",SUM(E746:I746))</f>
        <v/>
      </c>
      <c r="K746" s="18" t="str">
        <f aca="false">IF(J746="","",IF(M746&lt;설정!$B$3,"",ROUND(AVERAGEIFS($J$2:$J$1001,$B$2:$B$1001,B746,$A$2:$A$1001,"&lt;"&amp;A746,$A$2:$A$1001,"&gt;="&amp;(A746-설정!$B$2)),2)))</f>
        <v/>
      </c>
      <c r="L746" s="18" t="str">
        <f aca="false">IF(K746="","",ROUND(SQRT(MAX(0,(SUMIFS($R$2:$R$1001,$B$2:$B$1001,B746,$A$2:$A$1001,"&lt;"&amp;A746,$A$2:$A$1001,"&gt;="&amp;(A746-설정!$B$2))-M746*AVERAGEIFS($J$2:$J$1001,$B$2:$B$1001,B746,$A$2:$A$1001,"&lt;"&amp;A746,$A$2:$A$1001,"&gt;="&amp;(A746-설정!$B$2))^2)/(M746-1))),2))</f>
        <v/>
      </c>
      <c r="M746" s="18" t="str">
        <f aca="false">IF(J746="","",COUNTIFS($B$2:$B$1001,B746,$A$2:$A$1001,"&lt;"&amp;A746,$A$2:$A$1001,"&gt;="&amp;(A746-설정!$B$2),$J$2:$J$1001,"&gt;=0"))</f>
        <v/>
      </c>
      <c r="N746" s="18" t="str">
        <f aca="false">IF(K746="","",IF(L746=0,"",ROUND((J746-K746)/L746,2)))</f>
        <v/>
      </c>
      <c r="O746" s="19" t="str">
        <f aca="false">IF(J746="","",IF(MIN(F746,G746)&lt;=설정!$B$5,"예",""))</f>
        <v/>
      </c>
      <c r="P746" s="19" t="str">
        <f aca="false">IF(J746="","",IF(M746&lt;설정!$B$3,"baseline 수집 중",IF(N746="","정상",IF(N746&lt;=설정!$B$4,"낮음","정상"))))</f>
        <v/>
      </c>
      <c r="Q746" s="20"/>
      <c r="R746" s="18" t="str">
        <f aca="false">IF(J746="","",J746^2)</f>
        <v/>
      </c>
    </row>
    <row r="747" customFormat="false" ht="15" hidden="false" customHeight="false" outlineLevel="0" collapsed="false">
      <c r="A747" s="16"/>
      <c r="B747" s="17"/>
      <c r="C747" s="17"/>
      <c r="D747" s="17"/>
      <c r="E747" s="17"/>
      <c r="F747" s="17"/>
      <c r="G747" s="17"/>
      <c r="H747" s="17"/>
      <c r="I747" s="17"/>
      <c r="J747" s="18" t="str">
        <f aca="false">IF(COUNT(E747:I747)&lt;5,"",SUM(E747:I747))</f>
        <v/>
      </c>
      <c r="K747" s="18" t="str">
        <f aca="false">IF(J747="","",IF(M747&lt;설정!$B$3,"",ROUND(AVERAGEIFS($J$2:$J$1001,$B$2:$B$1001,B747,$A$2:$A$1001,"&lt;"&amp;A747,$A$2:$A$1001,"&gt;="&amp;(A747-설정!$B$2)),2)))</f>
        <v/>
      </c>
      <c r="L747" s="18" t="str">
        <f aca="false">IF(K747="","",ROUND(SQRT(MAX(0,(SUMIFS($R$2:$R$1001,$B$2:$B$1001,B747,$A$2:$A$1001,"&lt;"&amp;A747,$A$2:$A$1001,"&gt;="&amp;(A747-설정!$B$2))-M747*AVERAGEIFS($J$2:$J$1001,$B$2:$B$1001,B747,$A$2:$A$1001,"&lt;"&amp;A747,$A$2:$A$1001,"&gt;="&amp;(A747-설정!$B$2))^2)/(M747-1))),2))</f>
        <v/>
      </c>
      <c r="M747" s="18" t="str">
        <f aca="false">IF(J747="","",COUNTIFS($B$2:$B$1001,B747,$A$2:$A$1001,"&lt;"&amp;A747,$A$2:$A$1001,"&gt;="&amp;(A747-설정!$B$2),$J$2:$J$1001,"&gt;=0"))</f>
        <v/>
      </c>
      <c r="N747" s="18" t="str">
        <f aca="false">IF(K747="","",IF(L747=0,"",ROUND((J747-K747)/L747,2)))</f>
        <v/>
      </c>
      <c r="O747" s="19" t="str">
        <f aca="false">IF(J747="","",IF(MIN(F747,G747)&lt;=설정!$B$5,"예",""))</f>
        <v/>
      </c>
      <c r="P747" s="19" t="str">
        <f aca="false">IF(J747="","",IF(M747&lt;설정!$B$3,"baseline 수집 중",IF(N747="","정상",IF(N747&lt;=설정!$B$4,"낮음","정상"))))</f>
        <v/>
      </c>
      <c r="Q747" s="20"/>
      <c r="R747" s="18" t="str">
        <f aca="false">IF(J747="","",J747^2)</f>
        <v/>
      </c>
    </row>
    <row r="748" customFormat="false" ht="15" hidden="false" customHeight="false" outlineLevel="0" collapsed="false">
      <c r="A748" s="16"/>
      <c r="B748" s="17"/>
      <c r="C748" s="17"/>
      <c r="D748" s="17"/>
      <c r="E748" s="17"/>
      <c r="F748" s="17"/>
      <c r="G748" s="17"/>
      <c r="H748" s="17"/>
      <c r="I748" s="17"/>
      <c r="J748" s="18" t="str">
        <f aca="false">IF(COUNT(E748:I748)&lt;5,"",SUM(E748:I748))</f>
        <v/>
      </c>
      <c r="K748" s="18" t="str">
        <f aca="false">IF(J748="","",IF(M748&lt;설정!$B$3,"",ROUND(AVERAGEIFS($J$2:$J$1001,$B$2:$B$1001,B748,$A$2:$A$1001,"&lt;"&amp;A748,$A$2:$A$1001,"&gt;="&amp;(A748-설정!$B$2)),2)))</f>
        <v/>
      </c>
      <c r="L748" s="18" t="str">
        <f aca="false">IF(K748="","",ROUND(SQRT(MAX(0,(SUMIFS($R$2:$R$1001,$B$2:$B$1001,B748,$A$2:$A$1001,"&lt;"&amp;A748,$A$2:$A$1001,"&gt;="&amp;(A748-설정!$B$2))-M748*AVERAGEIFS($J$2:$J$1001,$B$2:$B$1001,B748,$A$2:$A$1001,"&lt;"&amp;A748,$A$2:$A$1001,"&gt;="&amp;(A748-설정!$B$2))^2)/(M748-1))),2))</f>
        <v/>
      </c>
      <c r="M748" s="18" t="str">
        <f aca="false">IF(J748="","",COUNTIFS($B$2:$B$1001,B748,$A$2:$A$1001,"&lt;"&amp;A748,$A$2:$A$1001,"&gt;="&amp;(A748-설정!$B$2),$J$2:$J$1001,"&gt;=0"))</f>
        <v/>
      </c>
      <c r="N748" s="18" t="str">
        <f aca="false">IF(K748="","",IF(L748=0,"",ROUND((J748-K748)/L748,2)))</f>
        <v/>
      </c>
      <c r="O748" s="19" t="str">
        <f aca="false">IF(J748="","",IF(MIN(F748,G748)&lt;=설정!$B$5,"예",""))</f>
        <v/>
      </c>
      <c r="P748" s="19" t="str">
        <f aca="false">IF(J748="","",IF(M748&lt;설정!$B$3,"baseline 수집 중",IF(N748="","정상",IF(N748&lt;=설정!$B$4,"낮음","정상"))))</f>
        <v/>
      </c>
      <c r="Q748" s="20"/>
      <c r="R748" s="18" t="str">
        <f aca="false">IF(J748="","",J748^2)</f>
        <v/>
      </c>
    </row>
    <row r="749" customFormat="false" ht="15" hidden="false" customHeight="false" outlineLevel="0" collapsed="false">
      <c r="A749" s="16"/>
      <c r="B749" s="17"/>
      <c r="C749" s="17"/>
      <c r="D749" s="17"/>
      <c r="E749" s="17"/>
      <c r="F749" s="17"/>
      <c r="G749" s="17"/>
      <c r="H749" s="17"/>
      <c r="I749" s="17"/>
      <c r="J749" s="18" t="str">
        <f aca="false">IF(COUNT(E749:I749)&lt;5,"",SUM(E749:I749))</f>
        <v/>
      </c>
      <c r="K749" s="18" t="str">
        <f aca="false">IF(J749="","",IF(M749&lt;설정!$B$3,"",ROUND(AVERAGEIFS($J$2:$J$1001,$B$2:$B$1001,B749,$A$2:$A$1001,"&lt;"&amp;A749,$A$2:$A$1001,"&gt;="&amp;(A749-설정!$B$2)),2)))</f>
        <v/>
      </c>
      <c r="L749" s="18" t="str">
        <f aca="false">IF(K749="","",ROUND(SQRT(MAX(0,(SUMIFS($R$2:$R$1001,$B$2:$B$1001,B749,$A$2:$A$1001,"&lt;"&amp;A749,$A$2:$A$1001,"&gt;="&amp;(A749-설정!$B$2))-M749*AVERAGEIFS($J$2:$J$1001,$B$2:$B$1001,B749,$A$2:$A$1001,"&lt;"&amp;A749,$A$2:$A$1001,"&gt;="&amp;(A749-설정!$B$2))^2)/(M749-1))),2))</f>
        <v/>
      </c>
      <c r="M749" s="18" t="str">
        <f aca="false">IF(J749="","",COUNTIFS($B$2:$B$1001,B749,$A$2:$A$1001,"&lt;"&amp;A749,$A$2:$A$1001,"&gt;="&amp;(A749-설정!$B$2),$J$2:$J$1001,"&gt;=0"))</f>
        <v/>
      </c>
      <c r="N749" s="18" t="str">
        <f aca="false">IF(K749="","",IF(L749=0,"",ROUND((J749-K749)/L749,2)))</f>
        <v/>
      </c>
      <c r="O749" s="19" t="str">
        <f aca="false">IF(J749="","",IF(MIN(F749,G749)&lt;=설정!$B$5,"예",""))</f>
        <v/>
      </c>
      <c r="P749" s="19" t="str">
        <f aca="false">IF(J749="","",IF(M749&lt;설정!$B$3,"baseline 수집 중",IF(N749="","정상",IF(N749&lt;=설정!$B$4,"낮음","정상"))))</f>
        <v/>
      </c>
      <c r="Q749" s="20"/>
      <c r="R749" s="18" t="str">
        <f aca="false">IF(J749="","",J749^2)</f>
        <v/>
      </c>
    </row>
    <row r="750" customFormat="false" ht="15" hidden="false" customHeight="false" outlineLevel="0" collapsed="false">
      <c r="A750" s="16"/>
      <c r="B750" s="17"/>
      <c r="C750" s="17"/>
      <c r="D750" s="17"/>
      <c r="E750" s="17"/>
      <c r="F750" s="17"/>
      <c r="G750" s="17"/>
      <c r="H750" s="17"/>
      <c r="I750" s="17"/>
      <c r="J750" s="18" t="str">
        <f aca="false">IF(COUNT(E750:I750)&lt;5,"",SUM(E750:I750))</f>
        <v/>
      </c>
      <c r="K750" s="18" t="str">
        <f aca="false">IF(J750="","",IF(M750&lt;설정!$B$3,"",ROUND(AVERAGEIFS($J$2:$J$1001,$B$2:$B$1001,B750,$A$2:$A$1001,"&lt;"&amp;A750,$A$2:$A$1001,"&gt;="&amp;(A750-설정!$B$2)),2)))</f>
        <v/>
      </c>
      <c r="L750" s="18" t="str">
        <f aca="false">IF(K750="","",ROUND(SQRT(MAX(0,(SUMIFS($R$2:$R$1001,$B$2:$B$1001,B750,$A$2:$A$1001,"&lt;"&amp;A750,$A$2:$A$1001,"&gt;="&amp;(A750-설정!$B$2))-M750*AVERAGEIFS($J$2:$J$1001,$B$2:$B$1001,B750,$A$2:$A$1001,"&lt;"&amp;A750,$A$2:$A$1001,"&gt;="&amp;(A750-설정!$B$2))^2)/(M750-1))),2))</f>
        <v/>
      </c>
      <c r="M750" s="18" t="str">
        <f aca="false">IF(J750="","",COUNTIFS($B$2:$B$1001,B750,$A$2:$A$1001,"&lt;"&amp;A750,$A$2:$A$1001,"&gt;="&amp;(A750-설정!$B$2),$J$2:$J$1001,"&gt;=0"))</f>
        <v/>
      </c>
      <c r="N750" s="18" t="str">
        <f aca="false">IF(K750="","",IF(L750=0,"",ROUND((J750-K750)/L750,2)))</f>
        <v/>
      </c>
      <c r="O750" s="19" t="str">
        <f aca="false">IF(J750="","",IF(MIN(F750,G750)&lt;=설정!$B$5,"예",""))</f>
        <v/>
      </c>
      <c r="P750" s="19" t="str">
        <f aca="false">IF(J750="","",IF(M750&lt;설정!$B$3,"baseline 수집 중",IF(N750="","정상",IF(N750&lt;=설정!$B$4,"낮음","정상"))))</f>
        <v/>
      </c>
      <c r="Q750" s="20"/>
      <c r="R750" s="18" t="str">
        <f aca="false">IF(J750="","",J750^2)</f>
        <v/>
      </c>
    </row>
    <row r="751" customFormat="false" ht="15" hidden="false" customHeight="false" outlineLevel="0" collapsed="false">
      <c r="A751" s="16"/>
      <c r="B751" s="17"/>
      <c r="C751" s="17"/>
      <c r="D751" s="17"/>
      <c r="E751" s="17"/>
      <c r="F751" s="17"/>
      <c r="G751" s="17"/>
      <c r="H751" s="17"/>
      <c r="I751" s="17"/>
      <c r="J751" s="18" t="str">
        <f aca="false">IF(COUNT(E751:I751)&lt;5,"",SUM(E751:I751))</f>
        <v/>
      </c>
      <c r="K751" s="18" t="str">
        <f aca="false">IF(J751="","",IF(M751&lt;설정!$B$3,"",ROUND(AVERAGEIFS($J$2:$J$1001,$B$2:$B$1001,B751,$A$2:$A$1001,"&lt;"&amp;A751,$A$2:$A$1001,"&gt;="&amp;(A751-설정!$B$2)),2)))</f>
        <v/>
      </c>
      <c r="L751" s="18" t="str">
        <f aca="false">IF(K751="","",ROUND(SQRT(MAX(0,(SUMIFS($R$2:$R$1001,$B$2:$B$1001,B751,$A$2:$A$1001,"&lt;"&amp;A751,$A$2:$A$1001,"&gt;="&amp;(A751-설정!$B$2))-M751*AVERAGEIFS($J$2:$J$1001,$B$2:$B$1001,B751,$A$2:$A$1001,"&lt;"&amp;A751,$A$2:$A$1001,"&gt;="&amp;(A751-설정!$B$2))^2)/(M751-1))),2))</f>
        <v/>
      </c>
      <c r="M751" s="18" t="str">
        <f aca="false">IF(J751="","",COUNTIFS($B$2:$B$1001,B751,$A$2:$A$1001,"&lt;"&amp;A751,$A$2:$A$1001,"&gt;="&amp;(A751-설정!$B$2),$J$2:$J$1001,"&gt;=0"))</f>
        <v/>
      </c>
      <c r="N751" s="18" t="str">
        <f aca="false">IF(K751="","",IF(L751=0,"",ROUND((J751-K751)/L751,2)))</f>
        <v/>
      </c>
      <c r="O751" s="19" t="str">
        <f aca="false">IF(J751="","",IF(MIN(F751,G751)&lt;=설정!$B$5,"예",""))</f>
        <v/>
      </c>
      <c r="P751" s="19" t="str">
        <f aca="false">IF(J751="","",IF(M751&lt;설정!$B$3,"baseline 수집 중",IF(N751="","정상",IF(N751&lt;=설정!$B$4,"낮음","정상"))))</f>
        <v/>
      </c>
      <c r="Q751" s="20"/>
      <c r="R751" s="18" t="str">
        <f aca="false">IF(J751="","",J751^2)</f>
        <v/>
      </c>
    </row>
    <row r="752" customFormat="false" ht="15" hidden="false" customHeight="false" outlineLevel="0" collapsed="false">
      <c r="A752" s="16"/>
      <c r="B752" s="17"/>
      <c r="C752" s="17"/>
      <c r="D752" s="17"/>
      <c r="E752" s="17"/>
      <c r="F752" s="17"/>
      <c r="G752" s="17"/>
      <c r="H752" s="17"/>
      <c r="I752" s="17"/>
      <c r="J752" s="18" t="str">
        <f aca="false">IF(COUNT(E752:I752)&lt;5,"",SUM(E752:I752))</f>
        <v/>
      </c>
      <c r="K752" s="18" t="str">
        <f aca="false">IF(J752="","",IF(M752&lt;설정!$B$3,"",ROUND(AVERAGEIFS($J$2:$J$1001,$B$2:$B$1001,B752,$A$2:$A$1001,"&lt;"&amp;A752,$A$2:$A$1001,"&gt;="&amp;(A752-설정!$B$2)),2)))</f>
        <v/>
      </c>
      <c r="L752" s="18" t="str">
        <f aca="false">IF(K752="","",ROUND(SQRT(MAX(0,(SUMIFS($R$2:$R$1001,$B$2:$B$1001,B752,$A$2:$A$1001,"&lt;"&amp;A752,$A$2:$A$1001,"&gt;="&amp;(A752-설정!$B$2))-M752*AVERAGEIFS($J$2:$J$1001,$B$2:$B$1001,B752,$A$2:$A$1001,"&lt;"&amp;A752,$A$2:$A$1001,"&gt;="&amp;(A752-설정!$B$2))^2)/(M752-1))),2))</f>
        <v/>
      </c>
      <c r="M752" s="18" t="str">
        <f aca="false">IF(J752="","",COUNTIFS($B$2:$B$1001,B752,$A$2:$A$1001,"&lt;"&amp;A752,$A$2:$A$1001,"&gt;="&amp;(A752-설정!$B$2),$J$2:$J$1001,"&gt;=0"))</f>
        <v/>
      </c>
      <c r="N752" s="18" t="str">
        <f aca="false">IF(K752="","",IF(L752=0,"",ROUND((J752-K752)/L752,2)))</f>
        <v/>
      </c>
      <c r="O752" s="19" t="str">
        <f aca="false">IF(J752="","",IF(MIN(F752,G752)&lt;=설정!$B$5,"예",""))</f>
        <v/>
      </c>
      <c r="P752" s="19" t="str">
        <f aca="false">IF(J752="","",IF(M752&lt;설정!$B$3,"baseline 수집 중",IF(N752="","정상",IF(N752&lt;=설정!$B$4,"낮음","정상"))))</f>
        <v/>
      </c>
      <c r="Q752" s="20"/>
      <c r="R752" s="18" t="str">
        <f aca="false">IF(J752="","",J752^2)</f>
        <v/>
      </c>
    </row>
    <row r="753" customFormat="false" ht="15" hidden="false" customHeight="false" outlineLevel="0" collapsed="false">
      <c r="A753" s="16"/>
      <c r="B753" s="17"/>
      <c r="C753" s="17"/>
      <c r="D753" s="17"/>
      <c r="E753" s="17"/>
      <c r="F753" s="17"/>
      <c r="G753" s="17"/>
      <c r="H753" s="17"/>
      <c r="I753" s="17"/>
      <c r="J753" s="18" t="str">
        <f aca="false">IF(COUNT(E753:I753)&lt;5,"",SUM(E753:I753))</f>
        <v/>
      </c>
      <c r="K753" s="18" t="str">
        <f aca="false">IF(J753="","",IF(M753&lt;설정!$B$3,"",ROUND(AVERAGEIFS($J$2:$J$1001,$B$2:$B$1001,B753,$A$2:$A$1001,"&lt;"&amp;A753,$A$2:$A$1001,"&gt;="&amp;(A753-설정!$B$2)),2)))</f>
        <v/>
      </c>
      <c r="L753" s="18" t="str">
        <f aca="false">IF(K753="","",ROUND(SQRT(MAX(0,(SUMIFS($R$2:$R$1001,$B$2:$B$1001,B753,$A$2:$A$1001,"&lt;"&amp;A753,$A$2:$A$1001,"&gt;="&amp;(A753-설정!$B$2))-M753*AVERAGEIFS($J$2:$J$1001,$B$2:$B$1001,B753,$A$2:$A$1001,"&lt;"&amp;A753,$A$2:$A$1001,"&gt;="&amp;(A753-설정!$B$2))^2)/(M753-1))),2))</f>
        <v/>
      </c>
      <c r="M753" s="18" t="str">
        <f aca="false">IF(J753="","",COUNTIFS($B$2:$B$1001,B753,$A$2:$A$1001,"&lt;"&amp;A753,$A$2:$A$1001,"&gt;="&amp;(A753-설정!$B$2),$J$2:$J$1001,"&gt;=0"))</f>
        <v/>
      </c>
      <c r="N753" s="18" t="str">
        <f aca="false">IF(K753="","",IF(L753=0,"",ROUND((J753-K753)/L753,2)))</f>
        <v/>
      </c>
      <c r="O753" s="19" t="str">
        <f aca="false">IF(J753="","",IF(MIN(F753,G753)&lt;=설정!$B$5,"예",""))</f>
        <v/>
      </c>
      <c r="P753" s="19" t="str">
        <f aca="false">IF(J753="","",IF(M753&lt;설정!$B$3,"baseline 수집 중",IF(N753="","정상",IF(N753&lt;=설정!$B$4,"낮음","정상"))))</f>
        <v/>
      </c>
      <c r="Q753" s="20"/>
      <c r="R753" s="18" t="str">
        <f aca="false">IF(J753="","",J753^2)</f>
        <v/>
      </c>
    </row>
    <row r="754" customFormat="false" ht="15" hidden="false" customHeight="false" outlineLevel="0" collapsed="false">
      <c r="A754" s="16"/>
      <c r="B754" s="17"/>
      <c r="C754" s="17"/>
      <c r="D754" s="17"/>
      <c r="E754" s="17"/>
      <c r="F754" s="17"/>
      <c r="G754" s="17"/>
      <c r="H754" s="17"/>
      <c r="I754" s="17"/>
      <c r="J754" s="18" t="str">
        <f aca="false">IF(COUNT(E754:I754)&lt;5,"",SUM(E754:I754))</f>
        <v/>
      </c>
      <c r="K754" s="18" t="str">
        <f aca="false">IF(J754="","",IF(M754&lt;설정!$B$3,"",ROUND(AVERAGEIFS($J$2:$J$1001,$B$2:$B$1001,B754,$A$2:$A$1001,"&lt;"&amp;A754,$A$2:$A$1001,"&gt;="&amp;(A754-설정!$B$2)),2)))</f>
        <v/>
      </c>
      <c r="L754" s="18" t="str">
        <f aca="false">IF(K754="","",ROUND(SQRT(MAX(0,(SUMIFS($R$2:$R$1001,$B$2:$B$1001,B754,$A$2:$A$1001,"&lt;"&amp;A754,$A$2:$A$1001,"&gt;="&amp;(A754-설정!$B$2))-M754*AVERAGEIFS($J$2:$J$1001,$B$2:$B$1001,B754,$A$2:$A$1001,"&lt;"&amp;A754,$A$2:$A$1001,"&gt;="&amp;(A754-설정!$B$2))^2)/(M754-1))),2))</f>
        <v/>
      </c>
      <c r="M754" s="18" t="str">
        <f aca="false">IF(J754="","",COUNTIFS($B$2:$B$1001,B754,$A$2:$A$1001,"&lt;"&amp;A754,$A$2:$A$1001,"&gt;="&amp;(A754-설정!$B$2),$J$2:$J$1001,"&gt;=0"))</f>
        <v/>
      </c>
      <c r="N754" s="18" t="str">
        <f aca="false">IF(K754="","",IF(L754=0,"",ROUND((J754-K754)/L754,2)))</f>
        <v/>
      </c>
      <c r="O754" s="19" t="str">
        <f aca="false">IF(J754="","",IF(MIN(F754,G754)&lt;=설정!$B$5,"예",""))</f>
        <v/>
      </c>
      <c r="P754" s="19" t="str">
        <f aca="false">IF(J754="","",IF(M754&lt;설정!$B$3,"baseline 수집 중",IF(N754="","정상",IF(N754&lt;=설정!$B$4,"낮음","정상"))))</f>
        <v/>
      </c>
      <c r="Q754" s="20"/>
      <c r="R754" s="18" t="str">
        <f aca="false">IF(J754="","",J754^2)</f>
        <v/>
      </c>
    </row>
    <row r="755" customFormat="false" ht="15" hidden="false" customHeight="false" outlineLevel="0" collapsed="false">
      <c r="A755" s="16"/>
      <c r="B755" s="17"/>
      <c r="C755" s="17"/>
      <c r="D755" s="17"/>
      <c r="E755" s="17"/>
      <c r="F755" s="17"/>
      <c r="G755" s="17"/>
      <c r="H755" s="17"/>
      <c r="I755" s="17"/>
      <c r="J755" s="18" t="str">
        <f aca="false">IF(COUNT(E755:I755)&lt;5,"",SUM(E755:I755))</f>
        <v/>
      </c>
      <c r="K755" s="18" t="str">
        <f aca="false">IF(J755="","",IF(M755&lt;설정!$B$3,"",ROUND(AVERAGEIFS($J$2:$J$1001,$B$2:$B$1001,B755,$A$2:$A$1001,"&lt;"&amp;A755,$A$2:$A$1001,"&gt;="&amp;(A755-설정!$B$2)),2)))</f>
        <v/>
      </c>
      <c r="L755" s="18" t="str">
        <f aca="false">IF(K755="","",ROUND(SQRT(MAX(0,(SUMIFS($R$2:$R$1001,$B$2:$B$1001,B755,$A$2:$A$1001,"&lt;"&amp;A755,$A$2:$A$1001,"&gt;="&amp;(A755-설정!$B$2))-M755*AVERAGEIFS($J$2:$J$1001,$B$2:$B$1001,B755,$A$2:$A$1001,"&lt;"&amp;A755,$A$2:$A$1001,"&gt;="&amp;(A755-설정!$B$2))^2)/(M755-1))),2))</f>
        <v/>
      </c>
      <c r="M755" s="18" t="str">
        <f aca="false">IF(J755="","",COUNTIFS($B$2:$B$1001,B755,$A$2:$A$1001,"&lt;"&amp;A755,$A$2:$A$1001,"&gt;="&amp;(A755-설정!$B$2),$J$2:$J$1001,"&gt;=0"))</f>
        <v/>
      </c>
      <c r="N755" s="18" t="str">
        <f aca="false">IF(K755="","",IF(L755=0,"",ROUND((J755-K755)/L755,2)))</f>
        <v/>
      </c>
      <c r="O755" s="19" t="str">
        <f aca="false">IF(J755="","",IF(MIN(F755,G755)&lt;=설정!$B$5,"예",""))</f>
        <v/>
      </c>
      <c r="P755" s="19" t="str">
        <f aca="false">IF(J755="","",IF(M755&lt;설정!$B$3,"baseline 수집 중",IF(N755="","정상",IF(N755&lt;=설정!$B$4,"낮음","정상"))))</f>
        <v/>
      </c>
      <c r="Q755" s="20"/>
      <c r="R755" s="18" t="str">
        <f aca="false">IF(J755="","",J755^2)</f>
        <v/>
      </c>
    </row>
    <row r="756" customFormat="false" ht="15" hidden="false" customHeight="false" outlineLevel="0" collapsed="false">
      <c r="A756" s="16"/>
      <c r="B756" s="17"/>
      <c r="C756" s="17"/>
      <c r="D756" s="17"/>
      <c r="E756" s="17"/>
      <c r="F756" s="17"/>
      <c r="G756" s="17"/>
      <c r="H756" s="17"/>
      <c r="I756" s="17"/>
      <c r="J756" s="18" t="str">
        <f aca="false">IF(COUNT(E756:I756)&lt;5,"",SUM(E756:I756))</f>
        <v/>
      </c>
      <c r="K756" s="18" t="str">
        <f aca="false">IF(J756="","",IF(M756&lt;설정!$B$3,"",ROUND(AVERAGEIFS($J$2:$J$1001,$B$2:$B$1001,B756,$A$2:$A$1001,"&lt;"&amp;A756,$A$2:$A$1001,"&gt;="&amp;(A756-설정!$B$2)),2)))</f>
        <v/>
      </c>
      <c r="L756" s="18" t="str">
        <f aca="false">IF(K756="","",ROUND(SQRT(MAX(0,(SUMIFS($R$2:$R$1001,$B$2:$B$1001,B756,$A$2:$A$1001,"&lt;"&amp;A756,$A$2:$A$1001,"&gt;="&amp;(A756-설정!$B$2))-M756*AVERAGEIFS($J$2:$J$1001,$B$2:$B$1001,B756,$A$2:$A$1001,"&lt;"&amp;A756,$A$2:$A$1001,"&gt;="&amp;(A756-설정!$B$2))^2)/(M756-1))),2))</f>
        <v/>
      </c>
      <c r="M756" s="18" t="str">
        <f aca="false">IF(J756="","",COUNTIFS($B$2:$B$1001,B756,$A$2:$A$1001,"&lt;"&amp;A756,$A$2:$A$1001,"&gt;="&amp;(A756-설정!$B$2),$J$2:$J$1001,"&gt;=0"))</f>
        <v/>
      </c>
      <c r="N756" s="18" t="str">
        <f aca="false">IF(K756="","",IF(L756=0,"",ROUND((J756-K756)/L756,2)))</f>
        <v/>
      </c>
      <c r="O756" s="19" t="str">
        <f aca="false">IF(J756="","",IF(MIN(F756,G756)&lt;=설정!$B$5,"예",""))</f>
        <v/>
      </c>
      <c r="P756" s="19" t="str">
        <f aca="false">IF(J756="","",IF(M756&lt;설정!$B$3,"baseline 수집 중",IF(N756="","정상",IF(N756&lt;=설정!$B$4,"낮음","정상"))))</f>
        <v/>
      </c>
      <c r="Q756" s="20"/>
      <c r="R756" s="18" t="str">
        <f aca="false">IF(J756="","",J756^2)</f>
        <v/>
      </c>
    </row>
    <row r="757" customFormat="false" ht="15" hidden="false" customHeight="false" outlineLevel="0" collapsed="false">
      <c r="A757" s="16"/>
      <c r="B757" s="17"/>
      <c r="C757" s="17"/>
      <c r="D757" s="17"/>
      <c r="E757" s="17"/>
      <c r="F757" s="17"/>
      <c r="G757" s="17"/>
      <c r="H757" s="17"/>
      <c r="I757" s="17"/>
      <c r="J757" s="18" t="str">
        <f aca="false">IF(COUNT(E757:I757)&lt;5,"",SUM(E757:I757))</f>
        <v/>
      </c>
      <c r="K757" s="18" t="str">
        <f aca="false">IF(J757="","",IF(M757&lt;설정!$B$3,"",ROUND(AVERAGEIFS($J$2:$J$1001,$B$2:$B$1001,B757,$A$2:$A$1001,"&lt;"&amp;A757,$A$2:$A$1001,"&gt;="&amp;(A757-설정!$B$2)),2)))</f>
        <v/>
      </c>
      <c r="L757" s="18" t="str">
        <f aca="false">IF(K757="","",ROUND(SQRT(MAX(0,(SUMIFS($R$2:$R$1001,$B$2:$B$1001,B757,$A$2:$A$1001,"&lt;"&amp;A757,$A$2:$A$1001,"&gt;="&amp;(A757-설정!$B$2))-M757*AVERAGEIFS($J$2:$J$1001,$B$2:$B$1001,B757,$A$2:$A$1001,"&lt;"&amp;A757,$A$2:$A$1001,"&gt;="&amp;(A757-설정!$B$2))^2)/(M757-1))),2))</f>
        <v/>
      </c>
      <c r="M757" s="18" t="str">
        <f aca="false">IF(J757="","",COUNTIFS($B$2:$B$1001,B757,$A$2:$A$1001,"&lt;"&amp;A757,$A$2:$A$1001,"&gt;="&amp;(A757-설정!$B$2),$J$2:$J$1001,"&gt;=0"))</f>
        <v/>
      </c>
      <c r="N757" s="18" t="str">
        <f aca="false">IF(K757="","",IF(L757=0,"",ROUND((J757-K757)/L757,2)))</f>
        <v/>
      </c>
      <c r="O757" s="19" t="str">
        <f aca="false">IF(J757="","",IF(MIN(F757,G757)&lt;=설정!$B$5,"예",""))</f>
        <v/>
      </c>
      <c r="P757" s="19" t="str">
        <f aca="false">IF(J757="","",IF(M757&lt;설정!$B$3,"baseline 수집 중",IF(N757="","정상",IF(N757&lt;=설정!$B$4,"낮음","정상"))))</f>
        <v/>
      </c>
      <c r="Q757" s="20"/>
      <c r="R757" s="18" t="str">
        <f aca="false">IF(J757="","",J757^2)</f>
        <v/>
      </c>
    </row>
    <row r="758" customFormat="false" ht="15" hidden="false" customHeight="false" outlineLevel="0" collapsed="false">
      <c r="A758" s="16"/>
      <c r="B758" s="17"/>
      <c r="C758" s="17"/>
      <c r="D758" s="17"/>
      <c r="E758" s="17"/>
      <c r="F758" s="17"/>
      <c r="G758" s="17"/>
      <c r="H758" s="17"/>
      <c r="I758" s="17"/>
      <c r="J758" s="18" t="str">
        <f aca="false">IF(COUNT(E758:I758)&lt;5,"",SUM(E758:I758))</f>
        <v/>
      </c>
      <c r="K758" s="18" t="str">
        <f aca="false">IF(J758="","",IF(M758&lt;설정!$B$3,"",ROUND(AVERAGEIFS($J$2:$J$1001,$B$2:$B$1001,B758,$A$2:$A$1001,"&lt;"&amp;A758,$A$2:$A$1001,"&gt;="&amp;(A758-설정!$B$2)),2)))</f>
        <v/>
      </c>
      <c r="L758" s="18" t="str">
        <f aca="false">IF(K758="","",ROUND(SQRT(MAX(0,(SUMIFS($R$2:$R$1001,$B$2:$B$1001,B758,$A$2:$A$1001,"&lt;"&amp;A758,$A$2:$A$1001,"&gt;="&amp;(A758-설정!$B$2))-M758*AVERAGEIFS($J$2:$J$1001,$B$2:$B$1001,B758,$A$2:$A$1001,"&lt;"&amp;A758,$A$2:$A$1001,"&gt;="&amp;(A758-설정!$B$2))^2)/(M758-1))),2))</f>
        <v/>
      </c>
      <c r="M758" s="18" t="str">
        <f aca="false">IF(J758="","",COUNTIFS($B$2:$B$1001,B758,$A$2:$A$1001,"&lt;"&amp;A758,$A$2:$A$1001,"&gt;="&amp;(A758-설정!$B$2),$J$2:$J$1001,"&gt;=0"))</f>
        <v/>
      </c>
      <c r="N758" s="18" t="str">
        <f aca="false">IF(K758="","",IF(L758=0,"",ROUND((J758-K758)/L758,2)))</f>
        <v/>
      </c>
      <c r="O758" s="19" t="str">
        <f aca="false">IF(J758="","",IF(MIN(F758,G758)&lt;=설정!$B$5,"예",""))</f>
        <v/>
      </c>
      <c r="P758" s="19" t="str">
        <f aca="false">IF(J758="","",IF(M758&lt;설정!$B$3,"baseline 수집 중",IF(N758="","정상",IF(N758&lt;=설정!$B$4,"낮음","정상"))))</f>
        <v/>
      </c>
      <c r="Q758" s="20"/>
      <c r="R758" s="18" t="str">
        <f aca="false">IF(J758="","",J758^2)</f>
        <v/>
      </c>
    </row>
    <row r="759" customFormat="false" ht="15" hidden="false" customHeight="false" outlineLevel="0" collapsed="false">
      <c r="A759" s="16"/>
      <c r="B759" s="17"/>
      <c r="C759" s="17"/>
      <c r="D759" s="17"/>
      <c r="E759" s="17"/>
      <c r="F759" s="17"/>
      <c r="G759" s="17"/>
      <c r="H759" s="17"/>
      <c r="I759" s="17"/>
      <c r="J759" s="18" t="str">
        <f aca="false">IF(COUNT(E759:I759)&lt;5,"",SUM(E759:I759))</f>
        <v/>
      </c>
      <c r="K759" s="18" t="str">
        <f aca="false">IF(J759="","",IF(M759&lt;설정!$B$3,"",ROUND(AVERAGEIFS($J$2:$J$1001,$B$2:$B$1001,B759,$A$2:$A$1001,"&lt;"&amp;A759,$A$2:$A$1001,"&gt;="&amp;(A759-설정!$B$2)),2)))</f>
        <v/>
      </c>
      <c r="L759" s="18" t="str">
        <f aca="false">IF(K759="","",ROUND(SQRT(MAX(0,(SUMIFS($R$2:$R$1001,$B$2:$B$1001,B759,$A$2:$A$1001,"&lt;"&amp;A759,$A$2:$A$1001,"&gt;="&amp;(A759-설정!$B$2))-M759*AVERAGEIFS($J$2:$J$1001,$B$2:$B$1001,B759,$A$2:$A$1001,"&lt;"&amp;A759,$A$2:$A$1001,"&gt;="&amp;(A759-설정!$B$2))^2)/(M759-1))),2))</f>
        <v/>
      </c>
      <c r="M759" s="18" t="str">
        <f aca="false">IF(J759="","",COUNTIFS($B$2:$B$1001,B759,$A$2:$A$1001,"&lt;"&amp;A759,$A$2:$A$1001,"&gt;="&amp;(A759-설정!$B$2),$J$2:$J$1001,"&gt;=0"))</f>
        <v/>
      </c>
      <c r="N759" s="18" t="str">
        <f aca="false">IF(K759="","",IF(L759=0,"",ROUND((J759-K759)/L759,2)))</f>
        <v/>
      </c>
      <c r="O759" s="19" t="str">
        <f aca="false">IF(J759="","",IF(MIN(F759,G759)&lt;=설정!$B$5,"예",""))</f>
        <v/>
      </c>
      <c r="P759" s="19" t="str">
        <f aca="false">IF(J759="","",IF(M759&lt;설정!$B$3,"baseline 수집 중",IF(N759="","정상",IF(N759&lt;=설정!$B$4,"낮음","정상"))))</f>
        <v/>
      </c>
      <c r="Q759" s="20"/>
      <c r="R759" s="18" t="str">
        <f aca="false">IF(J759="","",J759^2)</f>
        <v/>
      </c>
    </row>
    <row r="760" customFormat="false" ht="15" hidden="false" customHeight="false" outlineLevel="0" collapsed="false">
      <c r="A760" s="16"/>
      <c r="B760" s="17"/>
      <c r="C760" s="17"/>
      <c r="D760" s="17"/>
      <c r="E760" s="17"/>
      <c r="F760" s="17"/>
      <c r="G760" s="17"/>
      <c r="H760" s="17"/>
      <c r="I760" s="17"/>
      <c r="J760" s="18" t="str">
        <f aca="false">IF(COUNT(E760:I760)&lt;5,"",SUM(E760:I760))</f>
        <v/>
      </c>
      <c r="K760" s="18" t="str">
        <f aca="false">IF(J760="","",IF(M760&lt;설정!$B$3,"",ROUND(AVERAGEIFS($J$2:$J$1001,$B$2:$B$1001,B760,$A$2:$A$1001,"&lt;"&amp;A760,$A$2:$A$1001,"&gt;="&amp;(A760-설정!$B$2)),2)))</f>
        <v/>
      </c>
      <c r="L760" s="18" t="str">
        <f aca="false">IF(K760="","",ROUND(SQRT(MAX(0,(SUMIFS($R$2:$R$1001,$B$2:$B$1001,B760,$A$2:$A$1001,"&lt;"&amp;A760,$A$2:$A$1001,"&gt;="&amp;(A760-설정!$B$2))-M760*AVERAGEIFS($J$2:$J$1001,$B$2:$B$1001,B760,$A$2:$A$1001,"&lt;"&amp;A760,$A$2:$A$1001,"&gt;="&amp;(A760-설정!$B$2))^2)/(M760-1))),2))</f>
        <v/>
      </c>
      <c r="M760" s="18" t="str">
        <f aca="false">IF(J760="","",COUNTIFS($B$2:$B$1001,B760,$A$2:$A$1001,"&lt;"&amp;A760,$A$2:$A$1001,"&gt;="&amp;(A760-설정!$B$2),$J$2:$J$1001,"&gt;=0"))</f>
        <v/>
      </c>
      <c r="N760" s="18" t="str">
        <f aca="false">IF(K760="","",IF(L760=0,"",ROUND((J760-K760)/L760,2)))</f>
        <v/>
      </c>
      <c r="O760" s="19" t="str">
        <f aca="false">IF(J760="","",IF(MIN(F760,G760)&lt;=설정!$B$5,"예",""))</f>
        <v/>
      </c>
      <c r="P760" s="19" t="str">
        <f aca="false">IF(J760="","",IF(M760&lt;설정!$B$3,"baseline 수집 중",IF(N760="","정상",IF(N760&lt;=설정!$B$4,"낮음","정상"))))</f>
        <v/>
      </c>
      <c r="Q760" s="20"/>
      <c r="R760" s="18" t="str">
        <f aca="false">IF(J760="","",J760^2)</f>
        <v/>
      </c>
    </row>
    <row r="761" customFormat="false" ht="15" hidden="false" customHeight="false" outlineLevel="0" collapsed="false">
      <c r="A761" s="16"/>
      <c r="B761" s="17"/>
      <c r="C761" s="17"/>
      <c r="D761" s="17"/>
      <c r="E761" s="17"/>
      <c r="F761" s="17"/>
      <c r="G761" s="17"/>
      <c r="H761" s="17"/>
      <c r="I761" s="17"/>
      <c r="J761" s="18" t="str">
        <f aca="false">IF(COUNT(E761:I761)&lt;5,"",SUM(E761:I761))</f>
        <v/>
      </c>
      <c r="K761" s="18" t="str">
        <f aca="false">IF(J761="","",IF(M761&lt;설정!$B$3,"",ROUND(AVERAGEIFS($J$2:$J$1001,$B$2:$B$1001,B761,$A$2:$A$1001,"&lt;"&amp;A761,$A$2:$A$1001,"&gt;="&amp;(A761-설정!$B$2)),2)))</f>
        <v/>
      </c>
      <c r="L761" s="18" t="str">
        <f aca="false">IF(K761="","",ROUND(SQRT(MAX(0,(SUMIFS($R$2:$R$1001,$B$2:$B$1001,B761,$A$2:$A$1001,"&lt;"&amp;A761,$A$2:$A$1001,"&gt;="&amp;(A761-설정!$B$2))-M761*AVERAGEIFS($J$2:$J$1001,$B$2:$B$1001,B761,$A$2:$A$1001,"&lt;"&amp;A761,$A$2:$A$1001,"&gt;="&amp;(A761-설정!$B$2))^2)/(M761-1))),2))</f>
        <v/>
      </c>
      <c r="M761" s="18" t="str">
        <f aca="false">IF(J761="","",COUNTIFS($B$2:$B$1001,B761,$A$2:$A$1001,"&lt;"&amp;A761,$A$2:$A$1001,"&gt;="&amp;(A761-설정!$B$2),$J$2:$J$1001,"&gt;=0"))</f>
        <v/>
      </c>
      <c r="N761" s="18" t="str">
        <f aca="false">IF(K761="","",IF(L761=0,"",ROUND((J761-K761)/L761,2)))</f>
        <v/>
      </c>
      <c r="O761" s="19" t="str">
        <f aca="false">IF(J761="","",IF(MIN(F761,G761)&lt;=설정!$B$5,"예",""))</f>
        <v/>
      </c>
      <c r="P761" s="19" t="str">
        <f aca="false">IF(J761="","",IF(M761&lt;설정!$B$3,"baseline 수집 중",IF(N761="","정상",IF(N761&lt;=설정!$B$4,"낮음","정상"))))</f>
        <v/>
      </c>
      <c r="Q761" s="20"/>
      <c r="R761" s="18" t="str">
        <f aca="false">IF(J761="","",J761^2)</f>
        <v/>
      </c>
    </row>
    <row r="762" customFormat="false" ht="15" hidden="false" customHeight="false" outlineLevel="0" collapsed="false">
      <c r="A762" s="16"/>
      <c r="B762" s="17"/>
      <c r="C762" s="17"/>
      <c r="D762" s="17"/>
      <c r="E762" s="17"/>
      <c r="F762" s="17"/>
      <c r="G762" s="17"/>
      <c r="H762" s="17"/>
      <c r="I762" s="17"/>
      <c r="J762" s="18" t="str">
        <f aca="false">IF(COUNT(E762:I762)&lt;5,"",SUM(E762:I762))</f>
        <v/>
      </c>
      <c r="K762" s="18" t="str">
        <f aca="false">IF(J762="","",IF(M762&lt;설정!$B$3,"",ROUND(AVERAGEIFS($J$2:$J$1001,$B$2:$B$1001,B762,$A$2:$A$1001,"&lt;"&amp;A762,$A$2:$A$1001,"&gt;="&amp;(A762-설정!$B$2)),2)))</f>
        <v/>
      </c>
      <c r="L762" s="18" t="str">
        <f aca="false">IF(K762="","",ROUND(SQRT(MAX(0,(SUMIFS($R$2:$R$1001,$B$2:$B$1001,B762,$A$2:$A$1001,"&lt;"&amp;A762,$A$2:$A$1001,"&gt;="&amp;(A762-설정!$B$2))-M762*AVERAGEIFS($J$2:$J$1001,$B$2:$B$1001,B762,$A$2:$A$1001,"&lt;"&amp;A762,$A$2:$A$1001,"&gt;="&amp;(A762-설정!$B$2))^2)/(M762-1))),2))</f>
        <v/>
      </c>
      <c r="M762" s="18" t="str">
        <f aca="false">IF(J762="","",COUNTIFS($B$2:$B$1001,B762,$A$2:$A$1001,"&lt;"&amp;A762,$A$2:$A$1001,"&gt;="&amp;(A762-설정!$B$2),$J$2:$J$1001,"&gt;=0"))</f>
        <v/>
      </c>
      <c r="N762" s="18" t="str">
        <f aca="false">IF(K762="","",IF(L762=0,"",ROUND((J762-K762)/L762,2)))</f>
        <v/>
      </c>
      <c r="O762" s="19" t="str">
        <f aca="false">IF(J762="","",IF(MIN(F762,G762)&lt;=설정!$B$5,"예",""))</f>
        <v/>
      </c>
      <c r="P762" s="19" t="str">
        <f aca="false">IF(J762="","",IF(M762&lt;설정!$B$3,"baseline 수집 중",IF(N762="","정상",IF(N762&lt;=설정!$B$4,"낮음","정상"))))</f>
        <v/>
      </c>
      <c r="Q762" s="20"/>
      <c r="R762" s="18" t="str">
        <f aca="false">IF(J762="","",J762^2)</f>
        <v/>
      </c>
    </row>
    <row r="763" customFormat="false" ht="15" hidden="false" customHeight="false" outlineLevel="0" collapsed="false">
      <c r="A763" s="16"/>
      <c r="B763" s="17"/>
      <c r="C763" s="17"/>
      <c r="D763" s="17"/>
      <c r="E763" s="17"/>
      <c r="F763" s="17"/>
      <c r="G763" s="17"/>
      <c r="H763" s="17"/>
      <c r="I763" s="17"/>
      <c r="J763" s="18" t="str">
        <f aca="false">IF(COUNT(E763:I763)&lt;5,"",SUM(E763:I763))</f>
        <v/>
      </c>
      <c r="K763" s="18" t="str">
        <f aca="false">IF(J763="","",IF(M763&lt;설정!$B$3,"",ROUND(AVERAGEIFS($J$2:$J$1001,$B$2:$B$1001,B763,$A$2:$A$1001,"&lt;"&amp;A763,$A$2:$A$1001,"&gt;="&amp;(A763-설정!$B$2)),2)))</f>
        <v/>
      </c>
      <c r="L763" s="18" t="str">
        <f aca="false">IF(K763="","",ROUND(SQRT(MAX(0,(SUMIFS($R$2:$R$1001,$B$2:$B$1001,B763,$A$2:$A$1001,"&lt;"&amp;A763,$A$2:$A$1001,"&gt;="&amp;(A763-설정!$B$2))-M763*AVERAGEIFS($J$2:$J$1001,$B$2:$B$1001,B763,$A$2:$A$1001,"&lt;"&amp;A763,$A$2:$A$1001,"&gt;="&amp;(A763-설정!$B$2))^2)/(M763-1))),2))</f>
        <v/>
      </c>
      <c r="M763" s="18" t="str">
        <f aca="false">IF(J763="","",COUNTIFS($B$2:$B$1001,B763,$A$2:$A$1001,"&lt;"&amp;A763,$A$2:$A$1001,"&gt;="&amp;(A763-설정!$B$2),$J$2:$J$1001,"&gt;=0"))</f>
        <v/>
      </c>
      <c r="N763" s="18" t="str">
        <f aca="false">IF(K763="","",IF(L763=0,"",ROUND((J763-K763)/L763,2)))</f>
        <v/>
      </c>
      <c r="O763" s="19" t="str">
        <f aca="false">IF(J763="","",IF(MIN(F763,G763)&lt;=설정!$B$5,"예",""))</f>
        <v/>
      </c>
      <c r="P763" s="19" t="str">
        <f aca="false">IF(J763="","",IF(M763&lt;설정!$B$3,"baseline 수집 중",IF(N763="","정상",IF(N763&lt;=설정!$B$4,"낮음","정상"))))</f>
        <v/>
      </c>
      <c r="Q763" s="20"/>
      <c r="R763" s="18" t="str">
        <f aca="false">IF(J763="","",J763^2)</f>
        <v/>
      </c>
    </row>
    <row r="764" customFormat="false" ht="15" hidden="false" customHeight="false" outlineLevel="0" collapsed="false">
      <c r="A764" s="16"/>
      <c r="B764" s="17"/>
      <c r="C764" s="17"/>
      <c r="D764" s="17"/>
      <c r="E764" s="17"/>
      <c r="F764" s="17"/>
      <c r="G764" s="17"/>
      <c r="H764" s="17"/>
      <c r="I764" s="17"/>
      <c r="J764" s="18" t="str">
        <f aca="false">IF(COUNT(E764:I764)&lt;5,"",SUM(E764:I764))</f>
        <v/>
      </c>
      <c r="K764" s="18" t="str">
        <f aca="false">IF(J764="","",IF(M764&lt;설정!$B$3,"",ROUND(AVERAGEIFS($J$2:$J$1001,$B$2:$B$1001,B764,$A$2:$A$1001,"&lt;"&amp;A764,$A$2:$A$1001,"&gt;="&amp;(A764-설정!$B$2)),2)))</f>
        <v/>
      </c>
      <c r="L764" s="18" t="str">
        <f aca="false">IF(K764="","",ROUND(SQRT(MAX(0,(SUMIFS($R$2:$R$1001,$B$2:$B$1001,B764,$A$2:$A$1001,"&lt;"&amp;A764,$A$2:$A$1001,"&gt;="&amp;(A764-설정!$B$2))-M764*AVERAGEIFS($J$2:$J$1001,$B$2:$B$1001,B764,$A$2:$A$1001,"&lt;"&amp;A764,$A$2:$A$1001,"&gt;="&amp;(A764-설정!$B$2))^2)/(M764-1))),2))</f>
        <v/>
      </c>
      <c r="M764" s="18" t="str">
        <f aca="false">IF(J764="","",COUNTIFS($B$2:$B$1001,B764,$A$2:$A$1001,"&lt;"&amp;A764,$A$2:$A$1001,"&gt;="&amp;(A764-설정!$B$2),$J$2:$J$1001,"&gt;=0"))</f>
        <v/>
      </c>
      <c r="N764" s="18" t="str">
        <f aca="false">IF(K764="","",IF(L764=0,"",ROUND((J764-K764)/L764,2)))</f>
        <v/>
      </c>
      <c r="O764" s="19" t="str">
        <f aca="false">IF(J764="","",IF(MIN(F764,G764)&lt;=설정!$B$5,"예",""))</f>
        <v/>
      </c>
      <c r="P764" s="19" t="str">
        <f aca="false">IF(J764="","",IF(M764&lt;설정!$B$3,"baseline 수집 중",IF(N764="","정상",IF(N764&lt;=설정!$B$4,"낮음","정상"))))</f>
        <v/>
      </c>
      <c r="Q764" s="20"/>
      <c r="R764" s="18" t="str">
        <f aca="false">IF(J764="","",J764^2)</f>
        <v/>
      </c>
    </row>
    <row r="765" customFormat="false" ht="15" hidden="false" customHeight="false" outlineLevel="0" collapsed="false">
      <c r="A765" s="16"/>
      <c r="B765" s="17"/>
      <c r="C765" s="17"/>
      <c r="D765" s="17"/>
      <c r="E765" s="17"/>
      <c r="F765" s="17"/>
      <c r="G765" s="17"/>
      <c r="H765" s="17"/>
      <c r="I765" s="17"/>
      <c r="J765" s="18" t="str">
        <f aca="false">IF(COUNT(E765:I765)&lt;5,"",SUM(E765:I765))</f>
        <v/>
      </c>
      <c r="K765" s="18" t="str">
        <f aca="false">IF(J765="","",IF(M765&lt;설정!$B$3,"",ROUND(AVERAGEIFS($J$2:$J$1001,$B$2:$B$1001,B765,$A$2:$A$1001,"&lt;"&amp;A765,$A$2:$A$1001,"&gt;="&amp;(A765-설정!$B$2)),2)))</f>
        <v/>
      </c>
      <c r="L765" s="18" t="str">
        <f aca="false">IF(K765="","",ROUND(SQRT(MAX(0,(SUMIFS($R$2:$R$1001,$B$2:$B$1001,B765,$A$2:$A$1001,"&lt;"&amp;A765,$A$2:$A$1001,"&gt;="&amp;(A765-설정!$B$2))-M765*AVERAGEIFS($J$2:$J$1001,$B$2:$B$1001,B765,$A$2:$A$1001,"&lt;"&amp;A765,$A$2:$A$1001,"&gt;="&amp;(A765-설정!$B$2))^2)/(M765-1))),2))</f>
        <v/>
      </c>
      <c r="M765" s="18" t="str">
        <f aca="false">IF(J765="","",COUNTIFS($B$2:$B$1001,B765,$A$2:$A$1001,"&lt;"&amp;A765,$A$2:$A$1001,"&gt;="&amp;(A765-설정!$B$2),$J$2:$J$1001,"&gt;=0"))</f>
        <v/>
      </c>
      <c r="N765" s="18" t="str">
        <f aca="false">IF(K765="","",IF(L765=0,"",ROUND((J765-K765)/L765,2)))</f>
        <v/>
      </c>
      <c r="O765" s="19" t="str">
        <f aca="false">IF(J765="","",IF(MIN(F765,G765)&lt;=설정!$B$5,"예",""))</f>
        <v/>
      </c>
      <c r="P765" s="19" t="str">
        <f aca="false">IF(J765="","",IF(M765&lt;설정!$B$3,"baseline 수집 중",IF(N765="","정상",IF(N765&lt;=설정!$B$4,"낮음","정상"))))</f>
        <v/>
      </c>
      <c r="Q765" s="20"/>
      <c r="R765" s="18" t="str">
        <f aca="false">IF(J765="","",J765^2)</f>
        <v/>
      </c>
    </row>
    <row r="766" customFormat="false" ht="15" hidden="false" customHeight="false" outlineLevel="0" collapsed="false">
      <c r="A766" s="16"/>
      <c r="B766" s="17"/>
      <c r="C766" s="17"/>
      <c r="D766" s="17"/>
      <c r="E766" s="17"/>
      <c r="F766" s="17"/>
      <c r="G766" s="17"/>
      <c r="H766" s="17"/>
      <c r="I766" s="17"/>
      <c r="J766" s="18" t="str">
        <f aca="false">IF(COUNT(E766:I766)&lt;5,"",SUM(E766:I766))</f>
        <v/>
      </c>
      <c r="K766" s="18" t="str">
        <f aca="false">IF(J766="","",IF(M766&lt;설정!$B$3,"",ROUND(AVERAGEIFS($J$2:$J$1001,$B$2:$B$1001,B766,$A$2:$A$1001,"&lt;"&amp;A766,$A$2:$A$1001,"&gt;="&amp;(A766-설정!$B$2)),2)))</f>
        <v/>
      </c>
      <c r="L766" s="18" t="str">
        <f aca="false">IF(K766="","",ROUND(SQRT(MAX(0,(SUMIFS($R$2:$R$1001,$B$2:$B$1001,B766,$A$2:$A$1001,"&lt;"&amp;A766,$A$2:$A$1001,"&gt;="&amp;(A766-설정!$B$2))-M766*AVERAGEIFS($J$2:$J$1001,$B$2:$B$1001,B766,$A$2:$A$1001,"&lt;"&amp;A766,$A$2:$A$1001,"&gt;="&amp;(A766-설정!$B$2))^2)/(M766-1))),2))</f>
        <v/>
      </c>
      <c r="M766" s="18" t="str">
        <f aca="false">IF(J766="","",COUNTIFS($B$2:$B$1001,B766,$A$2:$A$1001,"&lt;"&amp;A766,$A$2:$A$1001,"&gt;="&amp;(A766-설정!$B$2),$J$2:$J$1001,"&gt;=0"))</f>
        <v/>
      </c>
      <c r="N766" s="18" t="str">
        <f aca="false">IF(K766="","",IF(L766=0,"",ROUND((J766-K766)/L766,2)))</f>
        <v/>
      </c>
      <c r="O766" s="19" t="str">
        <f aca="false">IF(J766="","",IF(MIN(F766,G766)&lt;=설정!$B$5,"예",""))</f>
        <v/>
      </c>
      <c r="P766" s="19" t="str">
        <f aca="false">IF(J766="","",IF(M766&lt;설정!$B$3,"baseline 수집 중",IF(N766="","정상",IF(N766&lt;=설정!$B$4,"낮음","정상"))))</f>
        <v/>
      </c>
      <c r="Q766" s="20"/>
      <c r="R766" s="18" t="str">
        <f aca="false">IF(J766="","",J766^2)</f>
        <v/>
      </c>
    </row>
    <row r="767" customFormat="false" ht="15" hidden="false" customHeight="false" outlineLevel="0" collapsed="false">
      <c r="A767" s="16"/>
      <c r="B767" s="17"/>
      <c r="C767" s="17"/>
      <c r="D767" s="17"/>
      <c r="E767" s="17"/>
      <c r="F767" s="17"/>
      <c r="G767" s="17"/>
      <c r="H767" s="17"/>
      <c r="I767" s="17"/>
      <c r="J767" s="18" t="str">
        <f aca="false">IF(COUNT(E767:I767)&lt;5,"",SUM(E767:I767))</f>
        <v/>
      </c>
      <c r="K767" s="18" t="str">
        <f aca="false">IF(J767="","",IF(M767&lt;설정!$B$3,"",ROUND(AVERAGEIFS($J$2:$J$1001,$B$2:$B$1001,B767,$A$2:$A$1001,"&lt;"&amp;A767,$A$2:$A$1001,"&gt;="&amp;(A767-설정!$B$2)),2)))</f>
        <v/>
      </c>
      <c r="L767" s="18" t="str">
        <f aca="false">IF(K767="","",ROUND(SQRT(MAX(0,(SUMIFS($R$2:$R$1001,$B$2:$B$1001,B767,$A$2:$A$1001,"&lt;"&amp;A767,$A$2:$A$1001,"&gt;="&amp;(A767-설정!$B$2))-M767*AVERAGEIFS($J$2:$J$1001,$B$2:$B$1001,B767,$A$2:$A$1001,"&lt;"&amp;A767,$A$2:$A$1001,"&gt;="&amp;(A767-설정!$B$2))^2)/(M767-1))),2))</f>
        <v/>
      </c>
      <c r="M767" s="18" t="str">
        <f aca="false">IF(J767="","",COUNTIFS($B$2:$B$1001,B767,$A$2:$A$1001,"&lt;"&amp;A767,$A$2:$A$1001,"&gt;="&amp;(A767-설정!$B$2),$J$2:$J$1001,"&gt;=0"))</f>
        <v/>
      </c>
      <c r="N767" s="18" t="str">
        <f aca="false">IF(K767="","",IF(L767=0,"",ROUND((J767-K767)/L767,2)))</f>
        <v/>
      </c>
      <c r="O767" s="19" t="str">
        <f aca="false">IF(J767="","",IF(MIN(F767,G767)&lt;=설정!$B$5,"예",""))</f>
        <v/>
      </c>
      <c r="P767" s="19" t="str">
        <f aca="false">IF(J767="","",IF(M767&lt;설정!$B$3,"baseline 수집 중",IF(N767="","정상",IF(N767&lt;=설정!$B$4,"낮음","정상"))))</f>
        <v/>
      </c>
      <c r="Q767" s="20"/>
      <c r="R767" s="18" t="str">
        <f aca="false">IF(J767="","",J767^2)</f>
        <v/>
      </c>
    </row>
    <row r="768" customFormat="false" ht="15" hidden="false" customHeight="false" outlineLevel="0" collapsed="false">
      <c r="A768" s="16"/>
      <c r="B768" s="17"/>
      <c r="C768" s="17"/>
      <c r="D768" s="17"/>
      <c r="E768" s="17"/>
      <c r="F768" s="17"/>
      <c r="G768" s="17"/>
      <c r="H768" s="17"/>
      <c r="I768" s="17"/>
      <c r="J768" s="18" t="str">
        <f aca="false">IF(COUNT(E768:I768)&lt;5,"",SUM(E768:I768))</f>
        <v/>
      </c>
      <c r="K768" s="18" t="str">
        <f aca="false">IF(J768="","",IF(M768&lt;설정!$B$3,"",ROUND(AVERAGEIFS($J$2:$J$1001,$B$2:$B$1001,B768,$A$2:$A$1001,"&lt;"&amp;A768,$A$2:$A$1001,"&gt;="&amp;(A768-설정!$B$2)),2)))</f>
        <v/>
      </c>
      <c r="L768" s="18" t="str">
        <f aca="false">IF(K768="","",ROUND(SQRT(MAX(0,(SUMIFS($R$2:$R$1001,$B$2:$B$1001,B768,$A$2:$A$1001,"&lt;"&amp;A768,$A$2:$A$1001,"&gt;="&amp;(A768-설정!$B$2))-M768*AVERAGEIFS($J$2:$J$1001,$B$2:$B$1001,B768,$A$2:$A$1001,"&lt;"&amp;A768,$A$2:$A$1001,"&gt;="&amp;(A768-설정!$B$2))^2)/(M768-1))),2))</f>
        <v/>
      </c>
      <c r="M768" s="18" t="str">
        <f aca="false">IF(J768="","",COUNTIFS($B$2:$B$1001,B768,$A$2:$A$1001,"&lt;"&amp;A768,$A$2:$A$1001,"&gt;="&amp;(A768-설정!$B$2),$J$2:$J$1001,"&gt;=0"))</f>
        <v/>
      </c>
      <c r="N768" s="18" t="str">
        <f aca="false">IF(K768="","",IF(L768=0,"",ROUND((J768-K768)/L768,2)))</f>
        <v/>
      </c>
      <c r="O768" s="19" t="str">
        <f aca="false">IF(J768="","",IF(MIN(F768,G768)&lt;=설정!$B$5,"예",""))</f>
        <v/>
      </c>
      <c r="P768" s="19" t="str">
        <f aca="false">IF(J768="","",IF(M768&lt;설정!$B$3,"baseline 수집 중",IF(N768="","정상",IF(N768&lt;=설정!$B$4,"낮음","정상"))))</f>
        <v/>
      </c>
      <c r="Q768" s="20"/>
      <c r="R768" s="18" t="str">
        <f aca="false">IF(J768="","",J768^2)</f>
        <v/>
      </c>
    </row>
    <row r="769" customFormat="false" ht="15" hidden="false" customHeight="false" outlineLevel="0" collapsed="false">
      <c r="A769" s="16"/>
      <c r="B769" s="17"/>
      <c r="C769" s="17"/>
      <c r="D769" s="17"/>
      <c r="E769" s="17"/>
      <c r="F769" s="17"/>
      <c r="G769" s="17"/>
      <c r="H769" s="17"/>
      <c r="I769" s="17"/>
      <c r="J769" s="18" t="str">
        <f aca="false">IF(COUNT(E769:I769)&lt;5,"",SUM(E769:I769))</f>
        <v/>
      </c>
      <c r="K769" s="18" t="str">
        <f aca="false">IF(J769="","",IF(M769&lt;설정!$B$3,"",ROUND(AVERAGEIFS($J$2:$J$1001,$B$2:$B$1001,B769,$A$2:$A$1001,"&lt;"&amp;A769,$A$2:$A$1001,"&gt;="&amp;(A769-설정!$B$2)),2)))</f>
        <v/>
      </c>
      <c r="L769" s="18" t="str">
        <f aca="false">IF(K769="","",ROUND(SQRT(MAX(0,(SUMIFS($R$2:$R$1001,$B$2:$B$1001,B769,$A$2:$A$1001,"&lt;"&amp;A769,$A$2:$A$1001,"&gt;="&amp;(A769-설정!$B$2))-M769*AVERAGEIFS($J$2:$J$1001,$B$2:$B$1001,B769,$A$2:$A$1001,"&lt;"&amp;A769,$A$2:$A$1001,"&gt;="&amp;(A769-설정!$B$2))^2)/(M769-1))),2))</f>
        <v/>
      </c>
      <c r="M769" s="18" t="str">
        <f aca="false">IF(J769="","",COUNTIFS($B$2:$B$1001,B769,$A$2:$A$1001,"&lt;"&amp;A769,$A$2:$A$1001,"&gt;="&amp;(A769-설정!$B$2),$J$2:$J$1001,"&gt;=0"))</f>
        <v/>
      </c>
      <c r="N769" s="18" t="str">
        <f aca="false">IF(K769="","",IF(L769=0,"",ROUND((J769-K769)/L769,2)))</f>
        <v/>
      </c>
      <c r="O769" s="19" t="str">
        <f aca="false">IF(J769="","",IF(MIN(F769,G769)&lt;=설정!$B$5,"예",""))</f>
        <v/>
      </c>
      <c r="P769" s="19" t="str">
        <f aca="false">IF(J769="","",IF(M769&lt;설정!$B$3,"baseline 수집 중",IF(N769="","정상",IF(N769&lt;=설정!$B$4,"낮음","정상"))))</f>
        <v/>
      </c>
      <c r="Q769" s="20"/>
      <c r="R769" s="18" t="str">
        <f aca="false">IF(J769="","",J769^2)</f>
        <v/>
      </c>
    </row>
    <row r="770" customFormat="false" ht="15" hidden="false" customHeight="false" outlineLevel="0" collapsed="false">
      <c r="A770" s="16"/>
      <c r="B770" s="17"/>
      <c r="C770" s="17"/>
      <c r="D770" s="17"/>
      <c r="E770" s="17"/>
      <c r="F770" s="17"/>
      <c r="G770" s="17"/>
      <c r="H770" s="17"/>
      <c r="I770" s="17"/>
      <c r="J770" s="18" t="str">
        <f aca="false">IF(COUNT(E770:I770)&lt;5,"",SUM(E770:I770))</f>
        <v/>
      </c>
      <c r="K770" s="18" t="str">
        <f aca="false">IF(J770="","",IF(M770&lt;설정!$B$3,"",ROUND(AVERAGEIFS($J$2:$J$1001,$B$2:$B$1001,B770,$A$2:$A$1001,"&lt;"&amp;A770,$A$2:$A$1001,"&gt;="&amp;(A770-설정!$B$2)),2)))</f>
        <v/>
      </c>
      <c r="L770" s="18" t="str">
        <f aca="false">IF(K770="","",ROUND(SQRT(MAX(0,(SUMIFS($R$2:$R$1001,$B$2:$B$1001,B770,$A$2:$A$1001,"&lt;"&amp;A770,$A$2:$A$1001,"&gt;="&amp;(A770-설정!$B$2))-M770*AVERAGEIFS($J$2:$J$1001,$B$2:$B$1001,B770,$A$2:$A$1001,"&lt;"&amp;A770,$A$2:$A$1001,"&gt;="&amp;(A770-설정!$B$2))^2)/(M770-1))),2))</f>
        <v/>
      </c>
      <c r="M770" s="18" t="str">
        <f aca="false">IF(J770="","",COUNTIFS($B$2:$B$1001,B770,$A$2:$A$1001,"&lt;"&amp;A770,$A$2:$A$1001,"&gt;="&amp;(A770-설정!$B$2),$J$2:$J$1001,"&gt;=0"))</f>
        <v/>
      </c>
      <c r="N770" s="18" t="str">
        <f aca="false">IF(K770="","",IF(L770=0,"",ROUND((J770-K770)/L770,2)))</f>
        <v/>
      </c>
      <c r="O770" s="19" t="str">
        <f aca="false">IF(J770="","",IF(MIN(F770,G770)&lt;=설정!$B$5,"예",""))</f>
        <v/>
      </c>
      <c r="P770" s="19" t="str">
        <f aca="false">IF(J770="","",IF(M770&lt;설정!$B$3,"baseline 수집 중",IF(N770="","정상",IF(N770&lt;=설정!$B$4,"낮음","정상"))))</f>
        <v/>
      </c>
      <c r="Q770" s="20"/>
      <c r="R770" s="18" t="str">
        <f aca="false">IF(J770="","",J770^2)</f>
        <v/>
      </c>
    </row>
    <row r="771" customFormat="false" ht="15" hidden="false" customHeight="false" outlineLevel="0" collapsed="false">
      <c r="A771" s="16"/>
      <c r="B771" s="17"/>
      <c r="C771" s="17"/>
      <c r="D771" s="17"/>
      <c r="E771" s="17"/>
      <c r="F771" s="17"/>
      <c r="G771" s="17"/>
      <c r="H771" s="17"/>
      <c r="I771" s="17"/>
      <c r="J771" s="18" t="str">
        <f aca="false">IF(COUNT(E771:I771)&lt;5,"",SUM(E771:I771))</f>
        <v/>
      </c>
      <c r="K771" s="18" t="str">
        <f aca="false">IF(J771="","",IF(M771&lt;설정!$B$3,"",ROUND(AVERAGEIFS($J$2:$J$1001,$B$2:$B$1001,B771,$A$2:$A$1001,"&lt;"&amp;A771,$A$2:$A$1001,"&gt;="&amp;(A771-설정!$B$2)),2)))</f>
        <v/>
      </c>
      <c r="L771" s="18" t="str">
        <f aca="false">IF(K771="","",ROUND(SQRT(MAX(0,(SUMIFS($R$2:$R$1001,$B$2:$B$1001,B771,$A$2:$A$1001,"&lt;"&amp;A771,$A$2:$A$1001,"&gt;="&amp;(A771-설정!$B$2))-M771*AVERAGEIFS($J$2:$J$1001,$B$2:$B$1001,B771,$A$2:$A$1001,"&lt;"&amp;A771,$A$2:$A$1001,"&gt;="&amp;(A771-설정!$B$2))^2)/(M771-1))),2))</f>
        <v/>
      </c>
      <c r="M771" s="18" t="str">
        <f aca="false">IF(J771="","",COUNTIFS($B$2:$B$1001,B771,$A$2:$A$1001,"&lt;"&amp;A771,$A$2:$A$1001,"&gt;="&amp;(A771-설정!$B$2),$J$2:$J$1001,"&gt;=0"))</f>
        <v/>
      </c>
      <c r="N771" s="18" t="str">
        <f aca="false">IF(K771="","",IF(L771=0,"",ROUND((J771-K771)/L771,2)))</f>
        <v/>
      </c>
      <c r="O771" s="19" t="str">
        <f aca="false">IF(J771="","",IF(MIN(F771,G771)&lt;=설정!$B$5,"예",""))</f>
        <v/>
      </c>
      <c r="P771" s="19" t="str">
        <f aca="false">IF(J771="","",IF(M771&lt;설정!$B$3,"baseline 수집 중",IF(N771="","정상",IF(N771&lt;=설정!$B$4,"낮음","정상"))))</f>
        <v/>
      </c>
      <c r="Q771" s="20"/>
      <c r="R771" s="18" t="str">
        <f aca="false">IF(J771="","",J771^2)</f>
        <v/>
      </c>
    </row>
    <row r="772" customFormat="false" ht="15" hidden="false" customHeight="false" outlineLevel="0" collapsed="false">
      <c r="A772" s="16"/>
      <c r="B772" s="17"/>
      <c r="C772" s="17"/>
      <c r="D772" s="17"/>
      <c r="E772" s="17"/>
      <c r="F772" s="17"/>
      <c r="G772" s="17"/>
      <c r="H772" s="17"/>
      <c r="I772" s="17"/>
      <c r="J772" s="18" t="str">
        <f aca="false">IF(COUNT(E772:I772)&lt;5,"",SUM(E772:I772))</f>
        <v/>
      </c>
      <c r="K772" s="18" t="str">
        <f aca="false">IF(J772="","",IF(M772&lt;설정!$B$3,"",ROUND(AVERAGEIFS($J$2:$J$1001,$B$2:$B$1001,B772,$A$2:$A$1001,"&lt;"&amp;A772,$A$2:$A$1001,"&gt;="&amp;(A772-설정!$B$2)),2)))</f>
        <v/>
      </c>
      <c r="L772" s="18" t="str">
        <f aca="false">IF(K772="","",ROUND(SQRT(MAX(0,(SUMIFS($R$2:$R$1001,$B$2:$B$1001,B772,$A$2:$A$1001,"&lt;"&amp;A772,$A$2:$A$1001,"&gt;="&amp;(A772-설정!$B$2))-M772*AVERAGEIFS($J$2:$J$1001,$B$2:$B$1001,B772,$A$2:$A$1001,"&lt;"&amp;A772,$A$2:$A$1001,"&gt;="&amp;(A772-설정!$B$2))^2)/(M772-1))),2))</f>
        <v/>
      </c>
      <c r="M772" s="18" t="str">
        <f aca="false">IF(J772="","",COUNTIFS($B$2:$B$1001,B772,$A$2:$A$1001,"&lt;"&amp;A772,$A$2:$A$1001,"&gt;="&amp;(A772-설정!$B$2),$J$2:$J$1001,"&gt;=0"))</f>
        <v/>
      </c>
      <c r="N772" s="18" t="str">
        <f aca="false">IF(K772="","",IF(L772=0,"",ROUND((J772-K772)/L772,2)))</f>
        <v/>
      </c>
      <c r="O772" s="19" t="str">
        <f aca="false">IF(J772="","",IF(MIN(F772,G772)&lt;=설정!$B$5,"예",""))</f>
        <v/>
      </c>
      <c r="P772" s="19" t="str">
        <f aca="false">IF(J772="","",IF(M772&lt;설정!$B$3,"baseline 수집 중",IF(N772="","정상",IF(N772&lt;=설정!$B$4,"낮음","정상"))))</f>
        <v/>
      </c>
      <c r="Q772" s="20"/>
      <c r="R772" s="18" t="str">
        <f aca="false">IF(J772="","",J772^2)</f>
        <v/>
      </c>
    </row>
    <row r="773" customFormat="false" ht="15" hidden="false" customHeight="false" outlineLevel="0" collapsed="false">
      <c r="A773" s="16"/>
      <c r="B773" s="17"/>
      <c r="C773" s="17"/>
      <c r="D773" s="17"/>
      <c r="E773" s="17"/>
      <c r="F773" s="17"/>
      <c r="G773" s="17"/>
      <c r="H773" s="17"/>
      <c r="I773" s="17"/>
      <c r="J773" s="18" t="str">
        <f aca="false">IF(COUNT(E773:I773)&lt;5,"",SUM(E773:I773))</f>
        <v/>
      </c>
      <c r="K773" s="18" t="str">
        <f aca="false">IF(J773="","",IF(M773&lt;설정!$B$3,"",ROUND(AVERAGEIFS($J$2:$J$1001,$B$2:$B$1001,B773,$A$2:$A$1001,"&lt;"&amp;A773,$A$2:$A$1001,"&gt;="&amp;(A773-설정!$B$2)),2)))</f>
        <v/>
      </c>
      <c r="L773" s="18" t="str">
        <f aca="false">IF(K773="","",ROUND(SQRT(MAX(0,(SUMIFS($R$2:$R$1001,$B$2:$B$1001,B773,$A$2:$A$1001,"&lt;"&amp;A773,$A$2:$A$1001,"&gt;="&amp;(A773-설정!$B$2))-M773*AVERAGEIFS($J$2:$J$1001,$B$2:$B$1001,B773,$A$2:$A$1001,"&lt;"&amp;A773,$A$2:$A$1001,"&gt;="&amp;(A773-설정!$B$2))^2)/(M773-1))),2))</f>
        <v/>
      </c>
      <c r="M773" s="18" t="str">
        <f aca="false">IF(J773="","",COUNTIFS($B$2:$B$1001,B773,$A$2:$A$1001,"&lt;"&amp;A773,$A$2:$A$1001,"&gt;="&amp;(A773-설정!$B$2),$J$2:$J$1001,"&gt;=0"))</f>
        <v/>
      </c>
      <c r="N773" s="18" t="str">
        <f aca="false">IF(K773="","",IF(L773=0,"",ROUND((J773-K773)/L773,2)))</f>
        <v/>
      </c>
      <c r="O773" s="19" t="str">
        <f aca="false">IF(J773="","",IF(MIN(F773,G773)&lt;=설정!$B$5,"예",""))</f>
        <v/>
      </c>
      <c r="P773" s="19" t="str">
        <f aca="false">IF(J773="","",IF(M773&lt;설정!$B$3,"baseline 수집 중",IF(N773="","정상",IF(N773&lt;=설정!$B$4,"낮음","정상"))))</f>
        <v/>
      </c>
      <c r="Q773" s="20"/>
      <c r="R773" s="18" t="str">
        <f aca="false">IF(J773="","",J773^2)</f>
        <v/>
      </c>
    </row>
    <row r="774" customFormat="false" ht="15" hidden="false" customHeight="false" outlineLevel="0" collapsed="false">
      <c r="A774" s="16"/>
      <c r="B774" s="17"/>
      <c r="C774" s="17"/>
      <c r="D774" s="17"/>
      <c r="E774" s="17"/>
      <c r="F774" s="17"/>
      <c r="G774" s="17"/>
      <c r="H774" s="17"/>
      <c r="I774" s="17"/>
      <c r="J774" s="18" t="str">
        <f aca="false">IF(COUNT(E774:I774)&lt;5,"",SUM(E774:I774))</f>
        <v/>
      </c>
      <c r="K774" s="18" t="str">
        <f aca="false">IF(J774="","",IF(M774&lt;설정!$B$3,"",ROUND(AVERAGEIFS($J$2:$J$1001,$B$2:$B$1001,B774,$A$2:$A$1001,"&lt;"&amp;A774,$A$2:$A$1001,"&gt;="&amp;(A774-설정!$B$2)),2)))</f>
        <v/>
      </c>
      <c r="L774" s="18" t="str">
        <f aca="false">IF(K774="","",ROUND(SQRT(MAX(0,(SUMIFS($R$2:$R$1001,$B$2:$B$1001,B774,$A$2:$A$1001,"&lt;"&amp;A774,$A$2:$A$1001,"&gt;="&amp;(A774-설정!$B$2))-M774*AVERAGEIFS($J$2:$J$1001,$B$2:$B$1001,B774,$A$2:$A$1001,"&lt;"&amp;A774,$A$2:$A$1001,"&gt;="&amp;(A774-설정!$B$2))^2)/(M774-1))),2))</f>
        <v/>
      </c>
      <c r="M774" s="18" t="str">
        <f aca="false">IF(J774="","",COUNTIFS($B$2:$B$1001,B774,$A$2:$A$1001,"&lt;"&amp;A774,$A$2:$A$1001,"&gt;="&amp;(A774-설정!$B$2),$J$2:$J$1001,"&gt;=0"))</f>
        <v/>
      </c>
      <c r="N774" s="18" t="str">
        <f aca="false">IF(K774="","",IF(L774=0,"",ROUND((J774-K774)/L774,2)))</f>
        <v/>
      </c>
      <c r="O774" s="19" t="str">
        <f aca="false">IF(J774="","",IF(MIN(F774,G774)&lt;=설정!$B$5,"예",""))</f>
        <v/>
      </c>
      <c r="P774" s="19" t="str">
        <f aca="false">IF(J774="","",IF(M774&lt;설정!$B$3,"baseline 수집 중",IF(N774="","정상",IF(N774&lt;=설정!$B$4,"낮음","정상"))))</f>
        <v/>
      </c>
      <c r="Q774" s="20"/>
      <c r="R774" s="18" t="str">
        <f aca="false">IF(J774="","",J774^2)</f>
        <v/>
      </c>
    </row>
    <row r="775" customFormat="false" ht="15" hidden="false" customHeight="false" outlineLevel="0" collapsed="false">
      <c r="A775" s="16"/>
      <c r="B775" s="17"/>
      <c r="C775" s="17"/>
      <c r="D775" s="17"/>
      <c r="E775" s="17"/>
      <c r="F775" s="17"/>
      <c r="G775" s="17"/>
      <c r="H775" s="17"/>
      <c r="I775" s="17"/>
      <c r="J775" s="18" t="str">
        <f aca="false">IF(COUNT(E775:I775)&lt;5,"",SUM(E775:I775))</f>
        <v/>
      </c>
      <c r="K775" s="18" t="str">
        <f aca="false">IF(J775="","",IF(M775&lt;설정!$B$3,"",ROUND(AVERAGEIFS($J$2:$J$1001,$B$2:$B$1001,B775,$A$2:$A$1001,"&lt;"&amp;A775,$A$2:$A$1001,"&gt;="&amp;(A775-설정!$B$2)),2)))</f>
        <v/>
      </c>
      <c r="L775" s="18" t="str">
        <f aca="false">IF(K775="","",ROUND(SQRT(MAX(0,(SUMIFS($R$2:$R$1001,$B$2:$B$1001,B775,$A$2:$A$1001,"&lt;"&amp;A775,$A$2:$A$1001,"&gt;="&amp;(A775-설정!$B$2))-M775*AVERAGEIFS($J$2:$J$1001,$B$2:$B$1001,B775,$A$2:$A$1001,"&lt;"&amp;A775,$A$2:$A$1001,"&gt;="&amp;(A775-설정!$B$2))^2)/(M775-1))),2))</f>
        <v/>
      </c>
      <c r="M775" s="18" t="str">
        <f aca="false">IF(J775="","",COUNTIFS($B$2:$B$1001,B775,$A$2:$A$1001,"&lt;"&amp;A775,$A$2:$A$1001,"&gt;="&amp;(A775-설정!$B$2),$J$2:$J$1001,"&gt;=0"))</f>
        <v/>
      </c>
      <c r="N775" s="18" t="str">
        <f aca="false">IF(K775="","",IF(L775=0,"",ROUND((J775-K775)/L775,2)))</f>
        <v/>
      </c>
      <c r="O775" s="19" t="str">
        <f aca="false">IF(J775="","",IF(MIN(F775,G775)&lt;=설정!$B$5,"예",""))</f>
        <v/>
      </c>
      <c r="P775" s="19" t="str">
        <f aca="false">IF(J775="","",IF(M775&lt;설정!$B$3,"baseline 수집 중",IF(N775="","정상",IF(N775&lt;=설정!$B$4,"낮음","정상"))))</f>
        <v/>
      </c>
      <c r="Q775" s="20"/>
      <c r="R775" s="18" t="str">
        <f aca="false">IF(J775="","",J775^2)</f>
        <v/>
      </c>
    </row>
    <row r="776" customFormat="false" ht="15" hidden="false" customHeight="false" outlineLevel="0" collapsed="false">
      <c r="A776" s="16"/>
      <c r="B776" s="17"/>
      <c r="C776" s="17"/>
      <c r="D776" s="17"/>
      <c r="E776" s="17"/>
      <c r="F776" s="17"/>
      <c r="G776" s="17"/>
      <c r="H776" s="17"/>
      <c r="I776" s="17"/>
      <c r="J776" s="18" t="str">
        <f aca="false">IF(COUNT(E776:I776)&lt;5,"",SUM(E776:I776))</f>
        <v/>
      </c>
      <c r="K776" s="18" t="str">
        <f aca="false">IF(J776="","",IF(M776&lt;설정!$B$3,"",ROUND(AVERAGEIFS($J$2:$J$1001,$B$2:$B$1001,B776,$A$2:$A$1001,"&lt;"&amp;A776,$A$2:$A$1001,"&gt;="&amp;(A776-설정!$B$2)),2)))</f>
        <v/>
      </c>
      <c r="L776" s="18" t="str">
        <f aca="false">IF(K776="","",ROUND(SQRT(MAX(0,(SUMIFS($R$2:$R$1001,$B$2:$B$1001,B776,$A$2:$A$1001,"&lt;"&amp;A776,$A$2:$A$1001,"&gt;="&amp;(A776-설정!$B$2))-M776*AVERAGEIFS($J$2:$J$1001,$B$2:$B$1001,B776,$A$2:$A$1001,"&lt;"&amp;A776,$A$2:$A$1001,"&gt;="&amp;(A776-설정!$B$2))^2)/(M776-1))),2))</f>
        <v/>
      </c>
      <c r="M776" s="18" t="str">
        <f aca="false">IF(J776="","",COUNTIFS($B$2:$B$1001,B776,$A$2:$A$1001,"&lt;"&amp;A776,$A$2:$A$1001,"&gt;="&amp;(A776-설정!$B$2),$J$2:$J$1001,"&gt;=0"))</f>
        <v/>
      </c>
      <c r="N776" s="18" t="str">
        <f aca="false">IF(K776="","",IF(L776=0,"",ROUND((J776-K776)/L776,2)))</f>
        <v/>
      </c>
      <c r="O776" s="19" t="str">
        <f aca="false">IF(J776="","",IF(MIN(F776,G776)&lt;=설정!$B$5,"예",""))</f>
        <v/>
      </c>
      <c r="P776" s="19" t="str">
        <f aca="false">IF(J776="","",IF(M776&lt;설정!$B$3,"baseline 수집 중",IF(N776="","정상",IF(N776&lt;=설정!$B$4,"낮음","정상"))))</f>
        <v/>
      </c>
      <c r="Q776" s="20"/>
      <c r="R776" s="18" t="str">
        <f aca="false">IF(J776="","",J776^2)</f>
        <v/>
      </c>
    </row>
    <row r="777" customFormat="false" ht="15" hidden="false" customHeight="false" outlineLevel="0" collapsed="false">
      <c r="A777" s="16"/>
      <c r="B777" s="17"/>
      <c r="C777" s="17"/>
      <c r="D777" s="17"/>
      <c r="E777" s="17"/>
      <c r="F777" s="17"/>
      <c r="G777" s="17"/>
      <c r="H777" s="17"/>
      <c r="I777" s="17"/>
      <c r="J777" s="18" t="str">
        <f aca="false">IF(COUNT(E777:I777)&lt;5,"",SUM(E777:I777))</f>
        <v/>
      </c>
      <c r="K777" s="18" t="str">
        <f aca="false">IF(J777="","",IF(M777&lt;설정!$B$3,"",ROUND(AVERAGEIFS($J$2:$J$1001,$B$2:$B$1001,B777,$A$2:$A$1001,"&lt;"&amp;A777,$A$2:$A$1001,"&gt;="&amp;(A777-설정!$B$2)),2)))</f>
        <v/>
      </c>
      <c r="L777" s="18" t="str">
        <f aca="false">IF(K777="","",ROUND(SQRT(MAX(0,(SUMIFS($R$2:$R$1001,$B$2:$B$1001,B777,$A$2:$A$1001,"&lt;"&amp;A777,$A$2:$A$1001,"&gt;="&amp;(A777-설정!$B$2))-M777*AVERAGEIFS($J$2:$J$1001,$B$2:$B$1001,B777,$A$2:$A$1001,"&lt;"&amp;A777,$A$2:$A$1001,"&gt;="&amp;(A777-설정!$B$2))^2)/(M777-1))),2))</f>
        <v/>
      </c>
      <c r="M777" s="18" t="str">
        <f aca="false">IF(J777="","",COUNTIFS($B$2:$B$1001,B777,$A$2:$A$1001,"&lt;"&amp;A777,$A$2:$A$1001,"&gt;="&amp;(A777-설정!$B$2),$J$2:$J$1001,"&gt;=0"))</f>
        <v/>
      </c>
      <c r="N777" s="18" t="str">
        <f aca="false">IF(K777="","",IF(L777=0,"",ROUND((J777-K777)/L777,2)))</f>
        <v/>
      </c>
      <c r="O777" s="19" t="str">
        <f aca="false">IF(J777="","",IF(MIN(F777,G777)&lt;=설정!$B$5,"예",""))</f>
        <v/>
      </c>
      <c r="P777" s="19" t="str">
        <f aca="false">IF(J777="","",IF(M777&lt;설정!$B$3,"baseline 수집 중",IF(N777="","정상",IF(N777&lt;=설정!$B$4,"낮음","정상"))))</f>
        <v/>
      </c>
      <c r="Q777" s="20"/>
      <c r="R777" s="18" t="str">
        <f aca="false">IF(J777="","",J777^2)</f>
        <v/>
      </c>
    </row>
    <row r="778" customFormat="false" ht="15" hidden="false" customHeight="false" outlineLevel="0" collapsed="false">
      <c r="A778" s="16"/>
      <c r="B778" s="17"/>
      <c r="C778" s="17"/>
      <c r="D778" s="17"/>
      <c r="E778" s="17"/>
      <c r="F778" s="17"/>
      <c r="G778" s="17"/>
      <c r="H778" s="17"/>
      <c r="I778" s="17"/>
      <c r="J778" s="18" t="str">
        <f aca="false">IF(COUNT(E778:I778)&lt;5,"",SUM(E778:I778))</f>
        <v/>
      </c>
      <c r="K778" s="18" t="str">
        <f aca="false">IF(J778="","",IF(M778&lt;설정!$B$3,"",ROUND(AVERAGEIFS($J$2:$J$1001,$B$2:$B$1001,B778,$A$2:$A$1001,"&lt;"&amp;A778,$A$2:$A$1001,"&gt;="&amp;(A778-설정!$B$2)),2)))</f>
        <v/>
      </c>
      <c r="L778" s="18" t="str">
        <f aca="false">IF(K778="","",ROUND(SQRT(MAX(0,(SUMIFS($R$2:$R$1001,$B$2:$B$1001,B778,$A$2:$A$1001,"&lt;"&amp;A778,$A$2:$A$1001,"&gt;="&amp;(A778-설정!$B$2))-M778*AVERAGEIFS($J$2:$J$1001,$B$2:$B$1001,B778,$A$2:$A$1001,"&lt;"&amp;A778,$A$2:$A$1001,"&gt;="&amp;(A778-설정!$B$2))^2)/(M778-1))),2))</f>
        <v/>
      </c>
      <c r="M778" s="18" t="str">
        <f aca="false">IF(J778="","",COUNTIFS($B$2:$B$1001,B778,$A$2:$A$1001,"&lt;"&amp;A778,$A$2:$A$1001,"&gt;="&amp;(A778-설정!$B$2),$J$2:$J$1001,"&gt;=0"))</f>
        <v/>
      </c>
      <c r="N778" s="18" t="str">
        <f aca="false">IF(K778="","",IF(L778=0,"",ROUND((J778-K778)/L778,2)))</f>
        <v/>
      </c>
      <c r="O778" s="19" t="str">
        <f aca="false">IF(J778="","",IF(MIN(F778,G778)&lt;=설정!$B$5,"예",""))</f>
        <v/>
      </c>
      <c r="P778" s="19" t="str">
        <f aca="false">IF(J778="","",IF(M778&lt;설정!$B$3,"baseline 수집 중",IF(N778="","정상",IF(N778&lt;=설정!$B$4,"낮음","정상"))))</f>
        <v/>
      </c>
      <c r="Q778" s="20"/>
      <c r="R778" s="18" t="str">
        <f aca="false">IF(J778="","",J778^2)</f>
        <v/>
      </c>
    </row>
    <row r="779" customFormat="false" ht="15" hidden="false" customHeight="false" outlineLevel="0" collapsed="false">
      <c r="A779" s="16"/>
      <c r="B779" s="17"/>
      <c r="C779" s="17"/>
      <c r="D779" s="17"/>
      <c r="E779" s="17"/>
      <c r="F779" s="17"/>
      <c r="G779" s="17"/>
      <c r="H779" s="17"/>
      <c r="I779" s="17"/>
      <c r="J779" s="18" t="str">
        <f aca="false">IF(COUNT(E779:I779)&lt;5,"",SUM(E779:I779))</f>
        <v/>
      </c>
      <c r="K779" s="18" t="str">
        <f aca="false">IF(J779="","",IF(M779&lt;설정!$B$3,"",ROUND(AVERAGEIFS($J$2:$J$1001,$B$2:$B$1001,B779,$A$2:$A$1001,"&lt;"&amp;A779,$A$2:$A$1001,"&gt;="&amp;(A779-설정!$B$2)),2)))</f>
        <v/>
      </c>
      <c r="L779" s="18" t="str">
        <f aca="false">IF(K779="","",ROUND(SQRT(MAX(0,(SUMIFS($R$2:$R$1001,$B$2:$B$1001,B779,$A$2:$A$1001,"&lt;"&amp;A779,$A$2:$A$1001,"&gt;="&amp;(A779-설정!$B$2))-M779*AVERAGEIFS($J$2:$J$1001,$B$2:$B$1001,B779,$A$2:$A$1001,"&lt;"&amp;A779,$A$2:$A$1001,"&gt;="&amp;(A779-설정!$B$2))^2)/(M779-1))),2))</f>
        <v/>
      </c>
      <c r="M779" s="18" t="str">
        <f aca="false">IF(J779="","",COUNTIFS($B$2:$B$1001,B779,$A$2:$A$1001,"&lt;"&amp;A779,$A$2:$A$1001,"&gt;="&amp;(A779-설정!$B$2),$J$2:$J$1001,"&gt;=0"))</f>
        <v/>
      </c>
      <c r="N779" s="18" t="str">
        <f aca="false">IF(K779="","",IF(L779=0,"",ROUND((J779-K779)/L779,2)))</f>
        <v/>
      </c>
      <c r="O779" s="19" t="str">
        <f aca="false">IF(J779="","",IF(MIN(F779,G779)&lt;=설정!$B$5,"예",""))</f>
        <v/>
      </c>
      <c r="P779" s="19" t="str">
        <f aca="false">IF(J779="","",IF(M779&lt;설정!$B$3,"baseline 수집 중",IF(N779="","정상",IF(N779&lt;=설정!$B$4,"낮음","정상"))))</f>
        <v/>
      </c>
      <c r="Q779" s="20"/>
      <c r="R779" s="18" t="str">
        <f aca="false">IF(J779="","",J779^2)</f>
        <v/>
      </c>
    </row>
    <row r="780" customFormat="false" ht="15" hidden="false" customHeight="false" outlineLevel="0" collapsed="false">
      <c r="A780" s="16"/>
      <c r="B780" s="17"/>
      <c r="C780" s="17"/>
      <c r="D780" s="17"/>
      <c r="E780" s="17"/>
      <c r="F780" s="17"/>
      <c r="G780" s="17"/>
      <c r="H780" s="17"/>
      <c r="I780" s="17"/>
      <c r="J780" s="18" t="str">
        <f aca="false">IF(COUNT(E780:I780)&lt;5,"",SUM(E780:I780))</f>
        <v/>
      </c>
      <c r="K780" s="18" t="str">
        <f aca="false">IF(J780="","",IF(M780&lt;설정!$B$3,"",ROUND(AVERAGEIFS($J$2:$J$1001,$B$2:$B$1001,B780,$A$2:$A$1001,"&lt;"&amp;A780,$A$2:$A$1001,"&gt;="&amp;(A780-설정!$B$2)),2)))</f>
        <v/>
      </c>
      <c r="L780" s="18" t="str">
        <f aca="false">IF(K780="","",ROUND(SQRT(MAX(0,(SUMIFS($R$2:$R$1001,$B$2:$B$1001,B780,$A$2:$A$1001,"&lt;"&amp;A780,$A$2:$A$1001,"&gt;="&amp;(A780-설정!$B$2))-M780*AVERAGEIFS($J$2:$J$1001,$B$2:$B$1001,B780,$A$2:$A$1001,"&lt;"&amp;A780,$A$2:$A$1001,"&gt;="&amp;(A780-설정!$B$2))^2)/(M780-1))),2))</f>
        <v/>
      </c>
      <c r="M780" s="18" t="str">
        <f aca="false">IF(J780="","",COUNTIFS($B$2:$B$1001,B780,$A$2:$A$1001,"&lt;"&amp;A780,$A$2:$A$1001,"&gt;="&amp;(A780-설정!$B$2),$J$2:$J$1001,"&gt;=0"))</f>
        <v/>
      </c>
      <c r="N780" s="18" t="str">
        <f aca="false">IF(K780="","",IF(L780=0,"",ROUND((J780-K780)/L780,2)))</f>
        <v/>
      </c>
      <c r="O780" s="19" t="str">
        <f aca="false">IF(J780="","",IF(MIN(F780,G780)&lt;=설정!$B$5,"예",""))</f>
        <v/>
      </c>
      <c r="P780" s="19" t="str">
        <f aca="false">IF(J780="","",IF(M780&lt;설정!$B$3,"baseline 수집 중",IF(N780="","정상",IF(N780&lt;=설정!$B$4,"낮음","정상"))))</f>
        <v/>
      </c>
      <c r="Q780" s="20"/>
      <c r="R780" s="18" t="str">
        <f aca="false">IF(J780="","",J780^2)</f>
        <v/>
      </c>
    </row>
    <row r="781" customFormat="false" ht="15" hidden="false" customHeight="false" outlineLevel="0" collapsed="false">
      <c r="A781" s="16"/>
      <c r="B781" s="17"/>
      <c r="C781" s="17"/>
      <c r="D781" s="17"/>
      <c r="E781" s="17"/>
      <c r="F781" s="17"/>
      <c r="G781" s="17"/>
      <c r="H781" s="17"/>
      <c r="I781" s="17"/>
      <c r="J781" s="18" t="str">
        <f aca="false">IF(COUNT(E781:I781)&lt;5,"",SUM(E781:I781))</f>
        <v/>
      </c>
      <c r="K781" s="18" t="str">
        <f aca="false">IF(J781="","",IF(M781&lt;설정!$B$3,"",ROUND(AVERAGEIFS($J$2:$J$1001,$B$2:$B$1001,B781,$A$2:$A$1001,"&lt;"&amp;A781,$A$2:$A$1001,"&gt;="&amp;(A781-설정!$B$2)),2)))</f>
        <v/>
      </c>
      <c r="L781" s="18" t="str">
        <f aca="false">IF(K781="","",ROUND(SQRT(MAX(0,(SUMIFS($R$2:$R$1001,$B$2:$B$1001,B781,$A$2:$A$1001,"&lt;"&amp;A781,$A$2:$A$1001,"&gt;="&amp;(A781-설정!$B$2))-M781*AVERAGEIFS($J$2:$J$1001,$B$2:$B$1001,B781,$A$2:$A$1001,"&lt;"&amp;A781,$A$2:$A$1001,"&gt;="&amp;(A781-설정!$B$2))^2)/(M781-1))),2))</f>
        <v/>
      </c>
      <c r="M781" s="18" t="str">
        <f aca="false">IF(J781="","",COUNTIFS($B$2:$B$1001,B781,$A$2:$A$1001,"&lt;"&amp;A781,$A$2:$A$1001,"&gt;="&amp;(A781-설정!$B$2),$J$2:$J$1001,"&gt;=0"))</f>
        <v/>
      </c>
      <c r="N781" s="18" t="str">
        <f aca="false">IF(K781="","",IF(L781=0,"",ROUND((J781-K781)/L781,2)))</f>
        <v/>
      </c>
      <c r="O781" s="19" t="str">
        <f aca="false">IF(J781="","",IF(MIN(F781,G781)&lt;=설정!$B$5,"예",""))</f>
        <v/>
      </c>
      <c r="P781" s="19" t="str">
        <f aca="false">IF(J781="","",IF(M781&lt;설정!$B$3,"baseline 수집 중",IF(N781="","정상",IF(N781&lt;=설정!$B$4,"낮음","정상"))))</f>
        <v/>
      </c>
      <c r="Q781" s="20"/>
      <c r="R781" s="18" t="str">
        <f aca="false">IF(J781="","",J781^2)</f>
        <v/>
      </c>
    </row>
    <row r="782" customFormat="false" ht="15" hidden="false" customHeight="false" outlineLevel="0" collapsed="false">
      <c r="A782" s="16"/>
      <c r="B782" s="17"/>
      <c r="C782" s="17"/>
      <c r="D782" s="17"/>
      <c r="E782" s="17"/>
      <c r="F782" s="17"/>
      <c r="G782" s="17"/>
      <c r="H782" s="17"/>
      <c r="I782" s="17"/>
      <c r="J782" s="18" t="str">
        <f aca="false">IF(COUNT(E782:I782)&lt;5,"",SUM(E782:I782))</f>
        <v/>
      </c>
      <c r="K782" s="18" t="str">
        <f aca="false">IF(J782="","",IF(M782&lt;설정!$B$3,"",ROUND(AVERAGEIFS($J$2:$J$1001,$B$2:$B$1001,B782,$A$2:$A$1001,"&lt;"&amp;A782,$A$2:$A$1001,"&gt;="&amp;(A782-설정!$B$2)),2)))</f>
        <v/>
      </c>
      <c r="L782" s="18" t="str">
        <f aca="false">IF(K782="","",ROUND(SQRT(MAX(0,(SUMIFS($R$2:$R$1001,$B$2:$B$1001,B782,$A$2:$A$1001,"&lt;"&amp;A782,$A$2:$A$1001,"&gt;="&amp;(A782-설정!$B$2))-M782*AVERAGEIFS($J$2:$J$1001,$B$2:$B$1001,B782,$A$2:$A$1001,"&lt;"&amp;A782,$A$2:$A$1001,"&gt;="&amp;(A782-설정!$B$2))^2)/(M782-1))),2))</f>
        <v/>
      </c>
      <c r="M782" s="18" t="str">
        <f aca="false">IF(J782="","",COUNTIFS($B$2:$B$1001,B782,$A$2:$A$1001,"&lt;"&amp;A782,$A$2:$A$1001,"&gt;="&amp;(A782-설정!$B$2),$J$2:$J$1001,"&gt;=0"))</f>
        <v/>
      </c>
      <c r="N782" s="18" t="str">
        <f aca="false">IF(K782="","",IF(L782=0,"",ROUND((J782-K782)/L782,2)))</f>
        <v/>
      </c>
      <c r="O782" s="19" t="str">
        <f aca="false">IF(J782="","",IF(MIN(F782,G782)&lt;=설정!$B$5,"예",""))</f>
        <v/>
      </c>
      <c r="P782" s="19" t="str">
        <f aca="false">IF(J782="","",IF(M782&lt;설정!$B$3,"baseline 수집 중",IF(N782="","정상",IF(N782&lt;=설정!$B$4,"낮음","정상"))))</f>
        <v/>
      </c>
      <c r="Q782" s="20"/>
      <c r="R782" s="18" t="str">
        <f aca="false">IF(J782="","",J782^2)</f>
        <v/>
      </c>
    </row>
    <row r="783" customFormat="false" ht="15" hidden="false" customHeight="false" outlineLevel="0" collapsed="false">
      <c r="A783" s="16"/>
      <c r="B783" s="17"/>
      <c r="C783" s="17"/>
      <c r="D783" s="17"/>
      <c r="E783" s="17"/>
      <c r="F783" s="17"/>
      <c r="G783" s="17"/>
      <c r="H783" s="17"/>
      <c r="I783" s="17"/>
      <c r="J783" s="18" t="str">
        <f aca="false">IF(COUNT(E783:I783)&lt;5,"",SUM(E783:I783))</f>
        <v/>
      </c>
      <c r="K783" s="18" t="str">
        <f aca="false">IF(J783="","",IF(M783&lt;설정!$B$3,"",ROUND(AVERAGEIFS($J$2:$J$1001,$B$2:$B$1001,B783,$A$2:$A$1001,"&lt;"&amp;A783,$A$2:$A$1001,"&gt;="&amp;(A783-설정!$B$2)),2)))</f>
        <v/>
      </c>
      <c r="L783" s="18" t="str">
        <f aca="false">IF(K783="","",ROUND(SQRT(MAX(0,(SUMIFS($R$2:$R$1001,$B$2:$B$1001,B783,$A$2:$A$1001,"&lt;"&amp;A783,$A$2:$A$1001,"&gt;="&amp;(A783-설정!$B$2))-M783*AVERAGEIFS($J$2:$J$1001,$B$2:$B$1001,B783,$A$2:$A$1001,"&lt;"&amp;A783,$A$2:$A$1001,"&gt;="&amp;(A783-설정!$B$2))^2)/(M783-1))),2))</f>
        <v/>
      </c>
      <c r="M783" s="18" t="str">
        <f aca="false">IF(J783="","",COUNTIFS($B$2:$B$1001,B783,$A$2:$A$1001,"&lt;"&amp;A783,$A$2:$A$1001,"&gt;="&amp;(A783-설정!$B$2),$J$2:$J$1001,"&gt;=0"))</f>
        <v/>
      </c>
      <c r="N783" s="18" t="str">
        <f aca="false">IF(K783="","",IF(L783=0,"",ROUND((J783-K783)/L783,2)))</f>
        <v/>
      </c>
      <c r="O783" s="19" t="str">
        <f aca="false">IF(J783="","",IF(MIN(F783,G783)&lt;=설정!$B$5,"예",""))</f>
        <v/>
      </c>
      <c r="P783" s="19" t="str">
        <f aca="false">IF(J783="","",IF(M783&lt;설정!$B$3,"baseline 수집 중",IF(N783="","정상",IF(N783&lt;=설정!$B$4,"낮음","정상"))))</f>
        <v/>
      </c>
      <c r="Q783" s="20"/>
      <c r="R783" s="18" t="str">
        <f aca="false">IF(J783="","",J783^2)</f>
        <v/>
      </c>
    </row>
    <row r="784" customFormat="false" ht="15" hidden="false" customHeight="false" outlineLevel="0" collapsed="false">
      <c r="A784" s="16"/>
      <c r="B784" s="17"/>
      <c r="C784" s="17"/>
      <c r="D784" s="17"/>
      <c r="E784" s="17"/>
      <c r="F784" s="17"/>
      <c r="G784" s="17"/>
      <c r="H784" s="17"/>
      <c r="I784" s="17"/>
      <c r="J784" s="18" t="str">
        <f aca="false">IF(COUNT(E784:I784)&lt;5,"",SUM(E784:I784))</f>
        <v/>
      </c>
      <c r="K784" s="18" t="str">
        <f aca="false">IF(J784="","",IF(M784&lt;설정!$B$3,"",ROUND(AVERAGEIFS($J$2:$J$1001,$B$2:$B$1001,B784,$A$2:$A$1001,"&lt;"&amp;A784,$A$2:$A$1001,"&gt;="&amp;(A784-설정!$B$2)),2)))</f>
        <v/>
      </c>
      <c r="L784" s="18" t="str">
        <f aca="false">IF(K784="","",ROUND(SQRT(MAX(0,(SUMIFS($R$2:$R$1001,$B$2:$B$1001,B784,$A$2:$A$1001,"&lt;"&amp;A784,$A$2:$A$1001,"&gt;="&amp;(A784-설정!$B$2))-M784*AVERAGEIFS($J$2:$J$1001,$B$2:$B$1001,B784,$A$2:$A$1001,"&lt;"&amp;A784,$A$2:$A$1001,"&gt;="&amp;(A784-설정!$B$2))^2)/(M784-1))),2))</f>
        <v/>
      </c>
      <c r="M784" s="18" t="str">
        <f aca="false">IF(J784="","",COUNTIFS($B$2:$B$1001,B784,$A$2:$A$1001,"&lt;"&amp;A784,$A$2:$A$1001,"&gt;="&amp;(A784-설정!$B$2),$J$2:$J$1001,"&gt;=0"))</f>
        <v/>
      </c>
      <c r="N784" s="18" t="str">
        <f aca="false">IF(K784="","",IF(L784=0,"",ROUND((J784-K784)/L784,2)))</f>
        <v/>
      </c>
      <c r="O784" s="19" t="str">
        <f aca="false">IF(J784="","",IF(MIN(F784,G784)&lt;=설정!$B$5,"예",""))</f>
        <v/>
      </c>
      <c r="P784" s="19" t="str">
        <f aca="false">IF(J784="","",IF(M784&lt;설정!$B$3,"baseline 수집 중",IF(N784="","정상",IF(N784&lt;=설정!$B$4,"낮음","정상"))))</f>
        <v/>
      </c>
      <c r="Q784" s="20"/>
      <c r="R784" s="18" t="str">
        <f aca="false">IF(J784="","",J784^2)</f>
        <v/>
      </c>
    </row>
    <row r="785" customFormat="false" ht="15" hidden="false" customHeight="false" outlineLevel="0" collapsed="false">
      <c r="A785" s="16"/>
      <c r="B785" s="17"/>
      <c r="C785" s="17"/>
      <c r="D785" s="17"/>
      <c r="E785" s="17"/>
      <c r="F785" s="17"/>
      <c r="G785" s="17"/>
      <c r="H785" s="17"/>
      <c r="I785" s="17"/>
      <c r="J785" s="18" t="str">
        <f aca="false">IF(COUNT(E785:I785)&lt;5,"",SUM(E785:I785))</f>
        <v/>
      </c>
      <c r="K785" s="18" t="str">
        <f aca="false">IF(J785="","",IF(M785&lt;설정!$B$3,"",ROUND(AVERAGEIFS($J$2:$J$1001,$B$2:$B$1001,B785,$A$2:$A$1001,"&lt;"&amp;A785,$A$2:$A$1001,"&gt;="&amp;(A785-설정!$B$2)),2)))</f>
        <v/>
      </c>
      <c r="L785" s="18" t="str">
        <f aca="false">IF(K785="","",ROUND(SQRT(MAX(0,(SUMIFS($R$2:$R$1001,$B$2:$B$1001,B785,$A$2:$A$1001,"&lt;"&amp;A785,$A$2:$A$1001,"&gt;="&amp;(A785-설정!$B$2))-M785*AVERAGEIFS($J$2:$J$1001,$B$2:$B$1001,B785,$A$2:$A$1001,"&lt;"&amp;A785,$A$2:$A$1001,"&gt;="&amp;(A785-설정!$B$2))^2)/(M785-1))),2))</f>
        <v/>
      </c>
      <c r="M785" s="18" t="str">
        <f aca="false">IF(J785="","",COUNTIFS($B$2:$B$1001,B785,$A$2:$A$1001,"&lt;"&amp;A785,$A$2:$A$1001,"&gt;="&amp;(A785-설정!$B$2),$J$2:$J$1001,"&gt;=0"))</f>
        <v/>
      </c>
      <c r="N785" s="18" t="str">
        <f aca="false">IF(K785="","",IF(L785=0,"",ROUND((J785-K785)/L785,2)))</f>
        <v/>
      </c>
      <c r="O785" s="19" t="str">
        <f aca="false">IF(J785="","",IF(MIN(F785,G785)&lt;=설정!$B$5,"예",""))</f>
        <v/>
      </c>
      <c r="P785" s="19" t="str">
        <f aca="false">IF(J785="","",IF(M785&lt;설정!$B$3,"baseline 수집 중",IF(N785="","정상",IF(N785&lt;=설정!$B$4,"낮음","정상"))))</f>
        <v/>
      </c>
      <c r="Q785" s="20"/>
      <c r="R785" s="18" t="str">
        <f aca="false">IF(J785="","",J785^2)</f>
        <v/>
      </c>
    </row>
    <row r="786" customFormat="false" ht="15" hidden="false" customHeight="false" outlineLevel="0" collapsed="false">
      <c r="A786" s="16"/>
      <c r="B786" s="17"/>
      <c r="C786" s="17"/>
      <c r="D786" s="17"/>
      <c r="E786" s="17"/>
      <c r="F786" s="17"/>
      <c r="G786" s="17"/>
      <c r="H786" s="17"/>
      <c r="I786" s="17"/>
      <c r="J786" s="18" t="str">
        <f aca="false">IF(COUNT(E786:I786)&lt;5,"",SUM(E786:I786))</f>
        <v/>
      </c>
      <c r="K786" s="18" t="str">
        <f aca="false">IF(J786="","",IF(M786&lt;설정!$B$3,"",ROUND(AVERAGEIFS($J$2:$J$1001,$B$2:$B$1001,B786,$A$2:$A$1001,"&lt;"&amp;A786,$A$2:$A$1001,"&gt;="&amp;(A786-설정!$B$2)),2)))</f>
        <v/>
      </c>
      <c r="L786" s="18" t="str">
        <f aca="false">IF(K786="","",ROUND(SQRT(MAX(0,(SUMIFS($R$2:$R$1001,$B$2:$B$1001,B786,$A$2:$A$1001,"&lt;"&amp;A786,$A$2:$A$1001,"&gt;="&amp;(A786-설정!$B$2))-M786*AVERAGEIFS($J$2:$J$1001,$B$2:$B$1001,B786,$A$2:$A$1001,"&lt;"&amp;A786,$A$2:$A$1001,"&gt;="&amp;(A786-설정!$B$2))^2)/(M786-1))),2))</f>
        <v/>
      </c>
      <c r="M786" s="18" t="str">
        <f aca="false">IF(J786="","",COUNTIFS($B$2:$B$1001,B786,$A$2:$A$1001,"&lt;"&amp;A786,$A$2:$A$1001,"&gt;="&amp;(A786-설정!$B$2),$J$2:$J$1001,"&gt;=0"))</f>
        <v/>
      </c>
      <c r="N786" s="18" t="str">
        <f aca="false">IF(K786="","",IF(L786=0,"",ROUND((J786-K786)/L786,2)))</f>
        <v/>
      </c>
      <c r="O786" s="19" t="str">
        <f aca="false">IF(J786="","",IF(MIN(F786,G786)&lt;=설정!$B$5,"예",""))</f>
        <v/>
      </c>
      <c r="P786" s="19" t="str">
        <f aca="false">IF(J786="","",IF(M786&lt;설정!$B$3,"baseline 수집 중",IF(N786="","정상",IF(N786&lt;=설정!$B$4,"낮음","정상"))))</f>
        <v/>
      </c>
      <c r="Q786" s="20"/>
      <c r="R786" s="18" t="str">
        <f aca="false">IF(J786="","",J786^2)</f>
        <v/>
      </c>
    </row>
    <row r="787" customFormat="false" ht="15" hidden="false" customHeight="false" outlineLevel="0" collapsed="false">
      <c r="A787" s="16"/>
      <c r="B787" s="17"/>
      <c r="C787" s="17"/>
      <c r="D787" s="17"/>
      <c r="E787" s="17"/>
      <c r="F787" s="17"/>
      <c r="G787" s="17"/>
      <c r="H787" s="17"/>
      <c r="I787" s="17"/>
      <c r="J787" s="18" t="str">
        <f aca="false">IF(COUNT(E787:I787)&lt;5,"",SUM(E787:I787))</f>
        <v/>
      </c>
      <c r="K787" s="18" t="str">
        <f aca="false">IF(J787="","",IF(M787&lt;설정!$B$3,"",ROUND(AVERAGEIFS($J$2:$J$1001,$B$2:$B$1001,B787,$A$2:$A$1001,"&lt;"&amp;A787,$A$2:$A$1001,"&gt;="&amp;(A787-설정!$B$2)),2)))</f>
        <v/>
      </c>
      <c r="L787" s="18" t="str">
        <f aca="false">IF(K787="","",ROUND(SQRT(MAX(0,(SUMIFS($R$2:$R$1001,$B$2:$B$1001,B787,$A$2:$A$1001,"&lt;"&amp;A787,$A$2:$A$1001,"&gt;="&amp;(A787-설정!$B$2))-M787*AVERAGEIFS($J$2:$J$1001,$B$2:$B$1001,B787,$A$2:$A$1001,"&lt;"&amp;A787,$A$2:$A$1001,"&gt;="&amp;(A787-설정!$B$2))^2)/(M787-1))),2))</f>
        <v/>
      </c>
      <c r="M787" s="18" t="str">
        <f aca="false">IF(J787="","",COUNTIFS($B$2:$B$1001,B787,$A$2:$A$1001,"&lt;"&amp;A787,$A$2:$A$1001,"&gt;="&amp;(A787-설정!$B$2),$J$2:$J$1001,"&gt;=0"))</f>
        <v/>
      </c>
      <c r="N787" s="18" t="str">
        <f aca="false">IF(K787="","",IF(L787=0,"",ROUND((J787-K787)/L787,2)))</f>
        <v/>
      </c>
      <c r="O787" s="19" t="str">
        <f aca="false">IF(J787="","",IF(MIN(F787,G787)&lt;=설정!$B$5,"예",""))</f>
        <v/>
      </c>
      <c r="P787" s="19" t="str">
        <f aca="false">IF(J787="","",IF(M787&lt;설정!$B$3,"baseline 수집 중",IF(N787="","정상",IF(N787&lt;=설정!$B$4,"낮음","정상"))))</f>
        <v/>
      </c>
      <c r="Q787" s="20"/>
      <c r="R787" s="18" t="str">
        <f aca="false">IF(J787="","",J787^2)</f>
        <v/>
      </c>
    </row>
    <row r="788" customFormat="false" ht="15" hidden="false" customHeight="false" outlineLevel="0" collapsed="false">
      <c r="A788" s="16"/>
      <c r="B788" s="17"/>
      <c r="C788" s="17"/>
      <c r="D788" s="17"/>
      <c r="E788" s="17"/>
      <c r="F788" s="17"/>
      <c r="G788" s="17"/>
      <c r="H788" s="17"/>
      <c r="I788" s="17"/>
      <c r="J788" s="18" t="str">
        <f aca="false">IF(COUNT(E788:I788)&lt;5,"",SUM(E788:I788))</f>
        <v/>
      </c>
      <c r="K788" s="18" t="str">
        <f aca="false">IF(J788="","",IF(M788&lt;설정!$B$3,"",ROUND(AVERAGEIFS($J$2:$J$1001,$B$2:$B$1001,B788,$A$2:$A$1001,"&lt;"&amp;A788,$A$2:$A$1001,"&gt;="&amp;(A788-설정!$B$2)),2)))</f>
        <v/>
      </c>
      <c r="L788" s="18" t="str">
        <f aca="false">IF(K788="","",ROUND(SQRT(MAX(0,(SUMIFS($R$2:$R$1001,$B$2:$B$1001,B788,$A$2:$A$1001,"&lt;"&amp;A788,$A$2:$A$1001,"&gt;="&amp;(A788-설정!$B$2))-M788*AVERAGEIFS($J$2:$J$1001,$B$2:$B$1001,B788,$A$2:$A$1001,"&lt;"&amp;A788,$A$2:$A$1001,"&gt;="&amp;(A788-설정!$B$2))^2)/(M788-1))),2))</f>
        <v/>
      </c>
      <c r="M788" s="18" t="str">
        <f aca="false">IF(J788="","",COUNTIFS($B$2:$B$1001,B788,$A$2:$A$1001,"&lt;"&amp;A788,$A$2:$A$1001,"&gt;="&amp;(A788-설정!$B$2),$J$2:$J$1001,"&gt;=0"))</f>
        <v/>
      </c>
      <c r="N788" s="18" t="str">
        <f aca="false">IF(K788="","",IF(L788=0,"",ROUND((J788-K788)/L788,2)))</f>
        <v/>
      </c>
      <c r="O788" s="19" t="str">
        <f aca="false">IF(J788="","",IF(MIN(F788,G788)&lt;=설정!$B$5,"예",""))</f>
        <v/>
      </c>
      <c r="P788" s="19" t="str">
        <f aca="false">IF(J788="","",IF(M788&lt;설정!$B$3,"baseline 수집 중",IF(N788="","정상",IF(N788&lt;=설정!$B$4,"낮음","정상"))))</f>
        <v/>
      </c>
      <c r="Q788" s="20"/>
      <c r="R788" s="18" t="str">
        <f aca="false">IF(J788="","",J788^2)</f>
        <v/>
      </c>
    </row>
    <row r="789" customFormat="false" ht="15" hidden="false" customHeight="false" outlineLevel="0" collapsed="false">
      <c r="A789" s="16"/>
      <c r="B789" s="17"/>
      <c r="C789" s="17"/>
      <c r="D789" s="17"/>
      <c r="E789" s="17"/>
      <c r="F789" s="17"/>
      <c r="G789" s="17"/>
      <c r="H789" s="17"/>
      <c r="I789" s="17"/>
      <c r="J789" s="18" t="str">
        <f aca="false">IF(COUNT(E789:I789)&lt;5,"",SUM(E789:I789))</f>
        <v/>
      </c>
      <c r="K789" s="18" t="str">
        <f aca="false">IF(J789="","",IF(M789&lt;설정!$B$3,"",ROUND(AVERAGEIFS($J$2:$J$1001,$B$2:$B$1001,B789,$A$2:$A$1001,"&lt;"&amp;A789,$A$2:$A$1001,"&gt;="&amp;(A789-설정!$B$2)),2)))</f>
        <v/>
      </c>
      <c r="L789" s="18" t="str">
        <f aca="false">IF(K789="","",ROUND(SQRT(MAX(0,(SUMIFS($R$2:$R$1001,$B$2:$B$1001,B789,$A$2:$A$1001,"&lt;"&amp;A789,$A$2:$A$1001,"&gt;="&amp;(A789-설정!$B$2))-M789*AVERAGEIFS($J$2:$J$1001,$B$2:$B$1001,B789,$A$2:$A$1001,"&lt;"&amp;A789,$A$2:$A$1001,"&gt;="&amp;(A789-설정!$B$2))^2)/(M789-1))),2))</f>
        <v/>
      </c>
      <c r="M789" s="18" t="str">
        <f aca="false">IF(J789="","",COUNTIFS($B$2:$B$1001,B789,$A$2:$A$1001,"&lt;"&amp;A789,$A$2:$A$1001,"&gt;="&amp;(A789-설정!$B$2),$J$2:$J$1001,"&gt;=0"))</f>
        <v/>
      </c>
      <c r="N789" s="18" t="str">
        <f aca="false">IF(K789="","",IF(L789=0,"",ROUND((J789-K789)/L789,2)))</f>
        <v/>
      </c>
      <c r="O789" s="19" t="str">
        <f aca="false">IF(J789="","",IF(MIN(F789,G789)&lt;=설정!$B$5,"예",""))</f>
        <v/>
      </c>
      <c r="P789" s="19" t="str">
        <f aca="false">IF(J789="","",IF(M789&lt;설정!$B$3,"baseline 수집 중",IF(N789="","정상",IF(N789&lt;=설정!$B$4,"낮음","정상"))))</f>
        <v/>
      </c>
      <c r="Q789" s="20"/>
      <c r="R789" s="18" t="str">
        <f aca="false">IF(J789="","",J789^2)</f>
        <v/>
      </c>
    </row>
    <row r="790" customFormat="false" ht="15" hidden="false" customHeight="false" outlineLevel="0" collapsed="false">
      <c r="A790" s="16"/>
      <c r="B790" s="17"/>
      <c r="C790" s="17"/>
      <c r="D790" s="17"/>
      <c r="E790" s="17"/>
      <c r="F790" s="17"/>
      <c r="G790" s="17"/>
      <c r="H790" s="17"/>
      <c r="I790" s="17"/>
      <c r="J790" s="18" t="str">
        <f aca="false">IF(COUNT(E790:I790)&lt;5,"",SUM(E790:I790))</f>
        <v/>
      </c>
      <c r="K790" s="18" t="str">
        <f aca="false">IF(J790="","",IF(M790&lt;설정!$B$3,"",ROUND(AVERAGEIFS($J$2:$J$1001,$B$2:$B$1001,B790,$A$2:$A$1001,"&lt;"&amp;A790,$A$2:$A$1001,"&gt;="&amp;(A790-설정!$B$2)),2)))</f>
        <v/>
      </c>
      <c r="L790" s="18" t="str">
        <f aca="false">IF(K790="","",ROUND(SQRT(MAX(0,(SUMIFS($R$2:$R$1001,$B$2:$B$1001,B790,$A$2:$A$1001,"&lt;"&amp;A790,$A$2:$A$1001,"&gt;="&amp;(A790-설정!$B$2))-M790*AVERAGEIFS($J$2:$J$1001,$B$2:$B$1001,B790,$A$2:$A$1001,"&lt;"&amp;A790,$A$2:$A$1001,"&gt;="&amp;(A790-설정!$B$2))^2)/(M790-1))),2))</f>
        <v/>
      </c>
      <c r="M790" s="18" t="str">
        <f aca="false">IF(J790="","",COUNTIFS($B$2:$B$1001,B790,$A$2:$A$1001,"&lt;"&amp;A790,$A$2:$A$1001,"&gt;="&amp;(A790-설정!$B$2),$J$2:$J$1001,"&gt;=0"))</f>
        <v/>
      </c>
      <c r="N790" s="18" t="str">
        <f aca="false">IF(K790="","",IF(L790=0,"",ROUND((J790-K790)/L790,2)))</f>
        <v/>
      </c>
      <c r="O790" s="19" t="str">
        <f aca="false">IF(J790="","",IF(MIN(F790,G790)&lt;=설정!$B$5,"예",""))</f>
        <v/>
      </c>
      <c r="P790" s="19" t="str">
        <f aca="false">IF(J790="","",IF(M790&lt;설정!$B$3,"baseline 수집 중",IF(N790="","정상",IF(N790&lt;=설정!$B$4,"낮음","정상"))))</f>
        <v/>
      </c>
      <c r="Q790" s="20"/>
      <c r="R790" s="18" t="str">
        <f aca="false">IF(J790="","",J790^2)</f>
        <v/>
      </c>
    </row>
    <row r="791" customFormat="false" ht="15" hidden="false" customHeight="false" outlineLevel="0" collapsed="false">
      <c r="A791" s="16"/>
      <c r="B791" s="17"/>
      <c r="C791" s="17"/>
      <c r="D791" s="17"/>
      <c r="E791" s="17"/>
      <c r="F791" s="17"/>
      <c r="G791" s="17"/>
      <c r="H791" s="17"/>
      <c r="I791" s="17"/>
      <c r="J791" s="18" t="str">
        <f aca="false">IF(COUNT(E791:I791)&lt;5,"",SUM(E791:I791))</f>
        <v/>
      </c>
      <c r="K791" s="18" t="str">
        <f aca="false">IF(J791="","",IF(M791&lt;설정!$B$3,"",ROUND(AVERAGEIFS($J$2:$J$1001,$B$2:$B$1001,B791,$A$2:$A$1001,"&lt;"&amp;A791,$A$2:$A$1001,"&gt;="&amp;(A791-설정!$B$2)),2)))</f>
        <v/>
      </c>
      <c r="L791" s="18" t="str">
        <f aca="false">IF(K791="","",ROUND(SQRT(MAX(0,(SUMIFS($R$2:$R$1001,$B$2:$B$1001,B791,$A$2:$A$1001,"&lt;"&amp;A791,$A$2:$A$1001,"&gt;="&amp;(A791-설정!$B$2))-M791*AVERAGEIFS($J$2:$J$1001,$B$2:$B$1001,B791,$A$2:$A$1001,"&lt;"&amp;A791,$A$2:$A$1001,"&gt;="&amp;(A791-설정!$B$2))^2)/(M791-1))),2))</f>
        <v/>
      </c>
      <c r="M791" s="18" t="str">
        <f aca="false">IF(J791="","",COUNTIFS($B$2:$B$1001,B791,$A$2:$A$1001,"&lt;"&amp;A791,$A$2:$A$1001,"&gt;="&amp;(A791-설정!$B$2),$J$2:$J$1001,"&gt;=0"))</f>
        <v/>
      </c>
      <c r="N791" s="18" t="str">
        <f aca="false">IF(K791="","",IF(L791=0,"",ROUND((J791-K791)/L791,2)))</f>
        <v/>
      </c>
      <c r="O791" s="19" t="str">
        <f aca="false">IF(J791="","",IF(MIN(F791,G791)&lt;=설정!$B$5,"예",""))</f>
        <v/>
      </c>
      <c r="P791" s="19" t="str">
        <f aca="false">IF(J791="","",IF(M791&lt;설정!$B$3,"baseline 수집 중",IF(N791="","정상",IF(N791&lt;=설정!$B$4,"낮음","정상"))))</f>
        <v/>
      </c>
      <c r="Q791" s="20"/>
      <c r="R791" s="18" t="str">
        <f aca="false">IF(J791="","",J791^2)</f>
        <v/>
      </c>
    </row>
    <row r="792" customFormat="false" ht="15" hidden="false" customHeight="false" outlineLevel="0" collapsed="false">
      <c r="A792" s="16"/>
      <c r="B792" s="17"/>
      <c r="C792" s="17"/>
      <c r="D792" s="17"/>
      <c r="E792" s="17"/>
      <c r="F792" s="17"/>
      <c r="G792" s="17"/>
      <c r="H792" s="17"/>
      <c r="I792" s="17"/>
      <c r="J792" s="18" t="str">
        <f aca="false">IF(COUNT(E792:I792)&lt;5,"",SUM(E792:I792))</f>
        <v/>
      </c>
      <c r="K792" s="18" t="str">
        <f aca="false">IF(J792="","",IF(M792&lt;설정!$B$3,"",ROUND(AVERAGEIFS($J$2:$J$1001,$B$2:$B$1001,B792,$A$2:$A$1001,"&lt;"&amp;A792,$A$2:$A$1001,"&gt;="&amp;(A792-설정!$B$2)),2)))</f>
        <v/>
      </c>
      <c r="L792" s="18" t="str">
        <f aca="false">IF(K792="","",ROUND(SQRT(MAX(0,(SUMIFS($R$2:$R$1001,$B$2:$B$1001,B792,$A$2:$A$1001,"&lt;"&amp;A792,$A$2:$A$1001,"&gt;="&amp;(A792-설정!$B$2))-M792*AVERAGEIFS($J$2:$J$1001,$B$2:$B$1001,B792,$A$2:$A$1001,"&lt;"&amp;A792,$A$2:$A$1001,"&gt;="&amp;(A792-설정!$B$2))^2)/(M792-1))),2))</f>
        <v/>
      </c>
      <c r="M792" s="18" t="str">
        <f aca="false">IF(J792="","",COUNTIFS($B$2:$B$1001,B792,$A$2:$A$1001,"&lt;"&amp;A792,$A$2:$A$1001,"&gt;="&amp;(A792-설정!$B$2),$J$2:$J$1001,"&gt;=0"))</f>
        <v/>
      </c>
      <c r="N792" s="18" t="str">
        <f aca="false">IF(K792="","",IF(L792=0,"",ROUND((J792-K792)/L792,2)))</f>
        <v/>
      </c>
      <c r="O792" s="19" t="str">
        <f aca="false">IF(J792="","",IF(MIN(F792,G792)&lt;=설정!$B$5,"예",""))</f>
        <v/>
      </c>
      <c r="P792" s="19" t="str">
        <f aca="false">IF(J792="","",IF(M792&lt;설정!$B$3,"baseline 수집 중",IF(N792="","정상",IF(N792&lt;=설정!$B$4,"낮음","정상"))))</f>
        <v/>
      </c>
      <c r="Q792" s="20"/>
      <c r="R792" s="18" t="str">
        <f aca="false">IF(J792="","",J792^2)</f>
        <v/>
      </c>
    </row>
    <row r="793" customFormat="false" ht="15" hidden="false" customHeight="false" outlineLevel="0" collapsed="false">
      <c r="A793" s="16"/>
      <c r="B793" s="17"/>
      <c r="C793" s="17"/>
      <c r="D793" s="17"/>
      <c r="E793" s="17"/>
      <c r="F793" s="17"/>
      <c r="G793" s="17"/>
      <c r="H793" s="17"/>
      <c r="I793" s="17"/>
      <c r="J793" s="18" t="str">
        <f aca="false">IF(COUNT(E793:I793)&lt;5,"",SUM(E793:I793))</f>
        <v/>
      </c>
      <c r="K793" s="18" t="str">
        <f aca="false">IF(J793="","",IF(M793&lt;설정!$B$3,"",ROUND(AVERAGEIFS($J$2:$J$1001,$B$2:$B$1001,B793,$A$2:$A$1001,"&lt;"&amp;A793,$A$2:$A$1001,"&gt;="&amp;(A793-설정!$B$2)),2)))</f>
        <v/>
      </c>
      <c r="L793" s="18" t="str">
        <f aca="false">IF(K793="","",ROUND(SQRT(MAX(0,(SUMIFS($R$2:$R$1001,$B$2:$B$1001,B793,$A$2:$A$1001,"&lt;"&amp;A793,$A$2:$A$1001,"&gt;="&amp;(A793-설정!$B$2))-M793*AVERAGEIFS($J$2:$J$1001,$B$2:$B$1001,B793,$A$2:$A$1001,"&lt;"&amp;A793,$A$2:$A$1001,"&gt;="&amp;(A793-설정!$B$2))^2)/(M793-1))),2))</f>
        <v/>
      </c>
      <c r="M793" s="18" t="str">
        <f aca="false">IF(J793="","",COUNTIFS($B$2:$B$1001,B793,$A$2:$A$1001,"&lt;"&amp;A793,$A$2:$A$1001,"&gt;="&amp;(A793-설정!$B$2),$J$2:$J$1001,"&gt;=0"))</f>
        <v/>
      </c>
      <c r="N793" s="18" t="str">
        <f aca="false">IF(K793="","",IF(L793=0,"",ROUND((J793-K793)/L793,2)))</f>
        <v/>
      </c>
      <c r="O793" s="19" t="str">
        <f aca="false">IF(J793="","",IF(MIN(F793,G793)&lt;=설정!$B$5,"예",""))</f>
        <v/>
      </c>
      <c r="P793" s="19" t="str">
        <f aca="false">IF(J793="","",IF(M793&lt;설정!$B$3,"baseline 수집 중",IF(N793="","정상",IF(N793&lt;=설정!$B$4,"낮음","정상"))))</f>
        <v/>
      </c>
      <c r="Q793" s="20"/>
      <c r="R793" s="18" t="str">
        <f aca="false">IF(J793="","",J793^2)</f>
        <v/>
      </c>
    </row>
    <row r="794" customFormat="false" ht="15" hidden="false" customHeight="false" outlineLevel="0" collapsed="false">
      <c r="A794" s="16"/>
      <c r="B794" s="17"/>
      <c r="C794" s="17"/>
      <c r="D794" s="17"/>
      <c r="E794" s="17"/>
      <c r="F794" s="17"/>
      <c r="G794" s="17"/>
      <c r="H794" s="17"/>
      <c r="I794" s="17"/>
      <c r="J794" s="18" t="str">
        <f aca="false">IF(COUNT(E794:I794)&lt;5,"",SUM(E794:I794))</f>
        <v/>
      </c>
      <c r="K794" s="18" t="str">
        <f aca="false">IF(J794="","",IF(M794&lt;설정!$B$3,"",ROUND(AVERAGEIFS($J$2:$J$1001,$B$2:$B$1001,B794,$A$2:$A$1001,"&lt;"&amp;A794,$A$2:$A$1001,"&gt;="&amp;(A794-설정!$B$2)),2)))</f>
        <v/>
      </c>
      <c r="L794" s="18" t="str">
        <f aca="false">IF(K794="","",ROUND(SQRT(MAX(0,(SUMIFS($R$2:$R$1001,$B$2:$B$1001,B794,$A$2:$A$1001,"&lt;"&amp;A794,$A$2:$A$1001,"&gt;="&amp;(A794-설정!$B$2))-M794*AVERAGEIFS($J$2:$J$1001,$B$2:$B$1001,B794,$A$2:$A$1001,"&lt;"&amp;A794,$A$2:$A$1001,"&gt;="&amp;(A794-설정!$B$2))^2)/(M794-1))),2))</f>
        <v/>
      </c>
      <c r="M794" s="18" t="str">
        <f aca="false">IF(J794="","",COUNTIFS($B$2:$B$1001,B794,$A$2:$A$1001,"&lt;"&amp;A794,$A$2:$A$1001,"&gt;="&amp;(A794-설정!$B$2),$J$2:$J$1001,"&gt;=0"))</f>
        <v/>
      </c>
      <c r="N794" s="18" t="str">
        <f aca="false">IF(K794="","",IF(L794=0,"",ROUND((J794-K794)/L794,2)))</f>
        <v/>
      </c>
      <c r="O794" s="19" t="str">
        <f aca="false">IF(J794="","",IF(MIN(F794,G794)&lt;=설정!$B$5,"예",""))</f>
        <v/>
      </c>
      <c r="P794" s="19" t="str">
        <f aca="false">IF(J794="","",IF(M794&lt;설정!$B$3,"baseline 수집 중",IF(N794="","정상",IF(N794&lt;=설정!$B$4,"낮음","정상"))))</f>
        <v/>
      </c>
      <c r="Q794" s="20"/>
      <c r="R794" s="18" t="str">
        <f aca="false">IF(J794="","",J794^2)</f>
        <v/>
      </c>
    </row>
    <row r="795" customFormat="false" ht="15" hidden="false" customHeight="false" outlineLevel="0" collapsed="false">
      <c r="A795" s="16"/>
      <c r="B795" s="17"/>
      <c r="C795" s="17"/>
      <c r="D795" s="17"/>
      <c r="E795" s="17"/>
      <c r="F795" s="17"/>
      <c r="G795" s="17"/>
      <c r="H795" s="17"/>
      <c r="I795" s="17"/>
      <c r="J795" s="18" t="str">
        <f aca="false">IF(COUNT(E795:I795)&lt;5,"",SUM(E795:I795))</f>
        <v/>
      </c>
      <c r="K795" s="18" t="str">
        <f aca="false">IF(J795="","",IF(M795&lt;설정!$B$3,"",ROUND(AVERAGEIFS($J$2:$J$1001,$B$2:$B$1001,B795,$A$2:$A$1001,"&lt;"&amp;A795,$A$2:$A$1001,"&gt;="&amp;(A795-설정!$B$2)),2)))</f>
        <v/>
      </c>
      <c r="L795" s="18" t="str">
        <f aca="false">IF(K795="","",ROUND(SQRT(MAX(0,(SUMIFS($R$2:$R$1001,$B$2:$B$1001,B795,$A$2:$A$1001,"&lt;"&amp;A795,$A$2:$A$1001,"&gt;="&amp;(A795-설정!$B$2))-M795*AVERAGEIFS($J$2:$J$1001,$B$2:$B$1001,B795,$A$2:$A$1001,"&lt;"&amp;A795,$A$2:$A$1001,"&gt;="&amp;(A795-설정!$B$2))^2)/(M795-1))),2))</f>
        <v/>
      </c>
      <c r="M795" s="18" t="str">
        <f aca="false">IF(J795="","",COUNTIFS($B$2:$B$1001,B795,$A$2:$A$1001,"&lt;"&amp;A795,$A$2:$A$1001,"&gt;="&amp;(A795-설정!$B$2),$J$2:$J$1001,"&gt;=0"))</f>
        <v/>
      </c>
      <c r="N795" s="18" t="str">
        <f aca="false">IF(K795="","",IF(L795=0,"",ROUND((J795-K795)/L795,2)))</f>
        <v/>
      </c>
      <c r="O795" s="19" t="str">
        <f aca="false">IF(J795="","",IF(MIN(F795,G795)&lt;=설정!$B$5,"예",""))</f>
        <v/>
      </c>
      <c r="P795" s="19" t="str">
        <f aca="false">IF(J795="","",IF(M795&lt;설정!$B$3,"baseline 수집 중",IF(N795="","정상",IF(N795&lt;=설정!$B$4,"낮음","정상"))))</f>
        <v/>
      </c>
      <c r="Q795" s="20"/>
      <c r="R795" s="18" t="str">
        <f aca="false">IF(J795="","",J795^2)</f>
        <v/>
      </c>
    </row>
    <row r="796" customFormat="false" ht="15" hidden="false" customHeight="false" outlineLevel="0" collapsed="false">
      <c r="A796" s="16"/>
      <c r="B796" s="17"/>
      <c r="C796" s="17"/>
      <c r="D796" s="17"/>
      <c r="E796" s="17"/>
      <c r="F796" s="17"/>
      <c r="G796" s="17"/>
      <c r="H796" s="17"/>
      <c r="I796" s="17"/>
      <c r="J796" s="18" t="str">
        <f aca="false">IF(COUNT(E796:I796)&lt;5,"",SUM(E796:I796))</f>
        <v/>
      </c>
      <c r="K796" s="18" t="str">
        <f aca="false">IF(J796="","",IF(M796&lt;설정!$B$3,"",ROUND(AVERAGEIFS($J$2:$J$1001,$B$2:$B$1001,B796,$A$2:$A$1001,"&lt;"&amp;A796,$A$2:$A$1001,"&gt;="&amp;(A796-설정!$B$2)),2)))</f>
        <v/>
      </c>
      <c r="L796" s="18" t="str">
        <f aca="false">IF(K796="","",ROUND(SQRT(MAX(0,(SUMIFS($R$2:$R$1001,$B$2:$B$1001,B796,$A$2:$A$1001,"&lt;"&amp;A796,$A$2:$A$1001,"&gt;="&amp;(A796-설정!$B$2))-M796*AVERAGEIFS($J$2:$J$1001,$B$2:$B$1001,B796,$A$2:$A$1001,"&lt;"&amp;A796,$A$2:$A$1001,"&gt;="&amp;(A796-설정!$B$2))^2)/(M796-1))),2))</f>
        <v/>
      </c>
      <c r="M796" s="18" t="str">
        <f aca="false">IF(J796="","",COUNTIFS($B$2:$B$1001,B796,$A$2:$A$1001,"&lt;"&amp;A796,$A$2:$A$1001,"&gt;="&amp;(A796-설정!$B$2),$J$2:$J$1001,"&gt;=0"))</f>
        <v/>
      </c>
      <c r="N796" s="18" t="str">
        <f aca="false">IF(K796="","",IF(L796=0,"",ROUND((J796-K796)/L796,2)))</f>
        <v/>
      </c>
      <c r="O796" s="19" t="str">
        <f aca="false">IF(J796="","",IF(MIN(F796,G796)&lt;=설정!$B$5,"예",""))</f>
        <v/>
      </c>
      <c r="P796" s="19" t="str">
        <f aca="false">IF(J796="","",IF(M796&lt;설정!$B$3,"baseline 수집 중",IF(N796="","정상",IF(N796&lt;=설정!$B$4,"낮음","정상"))))</f>
        <v/>
      </c>
      <c r="Q796" s="20"/>
      <c r="R796" s="18" t="str">
        <f aca="false">IF(J796="","",J796^2)</f>
        <v/>
      </c>
    </row>
    <row r="797" customFormat="false" ht="15" hidden="false" customHeight="false" outlineLevel="0" collapsed="false">
      <c r="A797" s="16"/>
      <c r="B797" s="17"/>
      <c r="C797" s="17"/>
      <c r="D797" s="17"/>
      <c r="E797" s="17"/>
      <c r="F797" s="17"/>
      <c r="G797" s="17"/>
      <c r="H797" s="17"/>
      <c r="I797" s="17"/>
      <c r="J797" s="18" t="str">
        <f aca="false">IF(COUNT(E797:I797)&lt;5,"",SUM(E797:I797))</f>
        <v/>
      </c>
      <c r="K797" s="18" t="str">
        <f aca="false">IF(J797="","",IF(M797&lt;설정!$B$3,"",ROUND(AVERAGEIFS($J$2:$J$1001,$B$2:$B$1001,B797,$A$2:$A$1001,"&lt;"&amp;A797,$A$2:$A$1001,"&gt;="&amp;(A797-설정!$B$2)),2)))</f>
        <v/>
      </c>
      <c r="L797" s="18" t="str">
        <f aca="false">IF(K797="","",ROUND(SQRT(MAX(0,(SUMIFS($R$2:$R$1001,$B$2:$B$1001,B797,$A$2:$A$1001,"&lt;"&amp;A797,$A$2:$A$1001,"&gt;="&amp;(A797-설정!$B$2))-M797*AVERAGEIFS($J$2:$J$1001,$B$2:$B$1001,B797,$A$2:$A$1001,"&lt;"&amp;A797,$A$2:$A$1001,"&gt;="&amp;(A797-설정!$B$2))^2)/(M797-1))),2))</f>
        <v/>
      </c>
      <c r="M797" s="18" t="str">
        <f aca="false">IF(J797="","",COUNTIFS($B$2:$B$1001,B797,$A$2:$A$1001,"&lt;"&amp;A797,$A$2:$A$1001,"&gt;="&amp;(A797-설정!$B$2),$J$2:$J$1001,"&gt;=0"))</f>
        <v/>
      </c>
      <c r="N797" s="18" t="str">
        <f aca="false">IF(K797="","",IF(L797=0,"",ROUND((J797-K797)/L797,2)))</f>
        <v/>
      </c>
      <c r="O797" s="19" t="str">
        <f aca="false">IF(J797="","",IF(MIN(F797,G797)&lt;=설정!$B$5,"예",""))</f>
        <v/>
      </c>
      <c r="P797" s="19" t="str">
        <f aca="false">IF(J797="","",IF(M797&lt;설정!$B$3,"baseline 수집 중",IF(N797="","정상",IF(N797&lt;=설정!$B$4,"낮음","정상"))))</f>
        <v/>
      </c>
      <c r="Q797" s="20"/>
      <c r="R797" s="18" t="str">
        <f aca="false">IF(J797="","",J797^2)</f>
        <v/>
      </c>
    </row>
    <row r="798" customFormat="false" ht="15" hidden="false" customHeight="false" outlineLevel="0" collapsed="false">
      <c r="A798" s="16"/>
      <c r="B798" s="17"/>
      <c r="C798" s="17"/>
      <c r="D798" s="17"/>
      <c r="E798" s="17"/>
      <c r="F798" s="17"/>
      <c r="G798" s="17"/>
      <c r="H798" s="17"/>
      <c r="I798" s="17"/>
      <c r="J798" s="18" t="str">
        <f aca="false">IF(COUNT(E798:I798)&lt;5,"",SUM(E798:I798))</f>
        <v/>
      </c>
      <c r="K798" s="18" t="str">
        <f aca="false">IF(J798="","",IF(M798&lt;설정!$B$3,"",ROUND(AVERAGEIFS($J$2:$J$1001,$B$2:$B$1001,B798,$A$2:$A$1001,"&lt;"&amp;A798,$A$2:$A$1001,"&gt;="&amp;(A798-설정!$B$2)),2)))</f>
        <v/>
      </c>
      <c r="L798" s="18" t="str">
        <f aca="false">IF(K798="","",ROUND(SQRT(MAX(0,(SUMIFS($R$2:$R$1001,$B$2:$B$1001,B798,$A$2:$A$1001,"&lt;"&amp;A798,$A$2:$A$1001,"&gt;="&amp;(A798-설정!$B$2))-M798*AVERAGEIFS($J$2:$J$1001,$B$2:$B$1001,B798,$A$2:$A$1001,"&lt;"&amp;A798,$A$2:$A$1001,"&gt;="&amp;(A798-설정!$B$2))^2)/(M798-1))),2))</f>
        <v/>
      </c>
      <c r="M798" s="18" t="str">
        <f aca="false">IF(J798="","",COUNTIFS($B$2:$B$1001,B798,$A$2:$A$1001,"&lt;"&amp;A798,$A$2:$A$1001,"&gt;="&amp;(A798-설정!$B$2),$J$2:$J$1001,"&gt;=0"))</f>
        <v/>
      </c>
      <c r="N798" s="18" t="str">
        <f aca="false">IF(K798="","",IF(L798=0,"",ROUND((J798-K798)/L798,2)))</f>
        <v/>
      </c>
      <c r="O798" s="19" t="str">
        <f aca="false">IF(J798="","",IF(MIN(F798,G798)&lt;=설정!$B$5,"예",""))</f>
        <v/>
      </c>
      <c r="P798" s="19" t="str">
        <f aca="false">IF(J798="","",IF(M798&lt;설정!$B$3,"baseline 수집 중",IF(N798="","정상",IF(N798&lt;=설정!$B$4,"낮음","정상"))))</f>
        <v/>
      </c>
      <c r="Q798" s="20"/>
      <c r="R798" s="18" t="str">
        <f aca="false">IF(J798="","",J798^2)</f>
        <v/>
      </c>
    </row>
    <row r="799" customFormat="false" ht="15" hidden="false" customHeight="false" outlineLevel="0" collapsed="false">
      <c r="A799" s="16"/>
      <c r="B799" s="17"/>
      <c r="C799" s="17"/>
      <c r="D799" s="17"/>
      <c r="E799" s="17"/>
      <c r="F799" s="17"/>
      <c r="G799" s="17"/>
      <c r="H799" s="17"/>
      <c r="I799" s="17"/>
      <c r="J799" s="18" t="str">
        <f aca="false">IF(COUNT(E799:I799)&lt;5,"",SUM(E799:I799))</f>
        <v/>
      </c>
      <c r="K799" s="18" t="str">
        <f aca="false">IF(J799="","",IF(M799&lt;설정!$B$3,"",ROUND(AVERAGEIFS($J$2:$J$1001,$B$2:$B$1001,B799,$A$2:$A$1001,"&lt;"&amp;A799,$A$2:$A$1001,"&gt;="&amp;(A799-설정!$B$2)),2)))</f>
        <v/>
      </c>
      <c r="L799" s="18" t="str">
        <f aca="false">IF(K799="","",ROUND(SQRT(MAX(0,(SUMIFS($R$2:$R$1001,$B$2:$B$1001,B799,$A$2:$A$1001,"&lt;"&amp;A799,$A$2:$A$1001,"&gt;="&amp;(A799-설정!$B$2))-M799*AVERAGEIFS($J$2:$J$1001,$B$2:$B$1001,B799,$A$2:$A$1001,"&lt;"&amp;A799,$A$2:$A$1001,"&gt;="&amp;(A799-설정!$B$2))^2)/(M799-1))),2))</f>
        <v/>
      </c>
      <c r="M799" s="18" t="str">
        <f aca="false">IF(J799="","",COUNTIFS($B$2:$B$1001,B799,$A$2:$A$1001,"&lt;"&amp;A799,$A$2:$A$1001,"&gt;="&amp;(A799-설정!$B$2),$J$2:$J$1001,"&gt;=0"))</f>
        <v/>
      </c>
      <c r="N799" s="18" t="str">
        <f aca="false">IF(K799="","",IF(L799=0,"",ROUND((J799-K799)/L799,2)))</f>
        <v/>
      </c>
      <c r="O799" s="19" t="str">
        <f aca="false">IF(J799="","",IF(MIN(F799,G799)&lt;=설정!$B$5,"예",""))</f>
        <v/>
      </c>
      <c r="P799" s="19" t="str">
        <f aca="false">IF(J799="","",IF(M799&lt;설정!$B$3,"baseline 수집 중",IF(N799="","정상",IF(N799&lt;=설정!$B$4,"낮음","정상"))))</f>
        <v/>
      </c>
      <c r="Q799" s="20"/>
      <c r="R799" s="18" t="str">
        <f aca="false">IF(J799="","",J799^2)</f>
        <v/>
      </c>
    </row>
    <row r="800" customFormat="false" ht="15" hidden="false" customHeight="false" outlineLevel="0" collapsed="false">
      <c r="A800" s="16"/>
      <c r="B800" s="17"/>
      <c r="C800" s="17"/>
      <c r="D800" s="17"/>
      <c r="E800" s="17"/>
      <c r="F800" s="17"/>
      <c r="G800" s="17"/>
      <c r="H800" s="17"/>
      <c r="I800" s="17"/>
      <c r="J800" s="18" t="str">
        <f aca="false">IF(COUNT(E800:I800)&lt;5,"",SUM(E800:I800))</f>
        <v/>
      </c>
      <c r="K800" s="18" t="str">
        <f aca="false">IF(J800="","",IF(M800&lt;설정!$B$3,"",ROUND(AVERAGEIFS($J$2:$J$1001,$B$2:$B$1001,B800,$A$2:$A$1001,"&lt;"&amp;A800,$A$2:$A$1001,"&gt;="&amp;(A800-설정!$B$2)),2)))</f>
        <v/>
      </c>
      <c r="L800" s="18" t="str">
        <f aca="false">IF(K800="","",ROUND(SQRT(MAX(0,(SUMIFS($R$2:$R$1001,$B$2:$B$1001,B800,$A$2:$A$1001,"&lt;"&amp;A800,$A$2:$A$1001,"&gt;="&amp;(A800-설정!$B$2))-M800*AVERAGEIFS($J$2:$J$1001,$B$2:$B$1001,B800,$A$2:$A$1001,"&lt;"&amp;A800,$A$2:$A$1001,"&gt;="&amp;(A800-설정!$B$2))^2)/(M800-1))),2))</f>
        <v/>
      </c>
      <c r="M800" s="18" t="str">
        <f aca="false">IF(J800="","",COUNTIFS($B$2:$B$1001,B800,$A$2:$A$1001,"&lt;"&amp;A800,$A$2:$A$1001,"&gt;="&amp;(A800-설정!$B$2),$J$2:$J$1001,"&gt;=0"))</f>
        <v/>
      </c>
      <c r="N800" s="18" t="str">
        <f aca="false">IF(K800="","",IF(L800=0,"",ROUND((J800-K800)/L800,2)))</f>
        <v/>
      </c>
      <c r="O800" s="19" t="str">
        <f aca="false">IF(J800="","",IF(MIN(F800,G800)&lt;=설정!$B$5,"예",""))</f>
        <v/>
      </c>
      <c r="P800" s="19" t="str">
        <f aca="false">IF(J800="","",IF(M800&lt;설정!$B$3,"baseline 수집 중",IF(N800="","정상",IF(N800&lt;=설정!$B$4,"낮음","정상"))))</f>
        <v/>
      </c>
      <c r="Q800" s="20"/>
      <c r="R800" s="18" t="str">
        <f aca="false">IF(J800="","",J800^2)</f>
        <v/>
      </c>
    </row>
    <row r="801" customFormat="false" ht="15" hidden="false" customHeight="false" outlineLevel="0" collapsed="false">
      <c r="A801" s="16"/>
      <c r="B801" s="17"/>
      <c r="C801" s="17"/>
      <c r="D801" s="17"/>
      <c r="E801" s="17"/>
      <c r="F801" s="17"/>
      <c r="G801" s="17"/>
      <c r="H801" s="17"/>
      <c r="I801" s="17"/>
      <c r="J801" s="18" t="str">
        <f aca="false">IF(COUNT(E801:I801)&lt;5,"",SUM(E801:I801))</f>
        <v/>
      </c>
      <c r="K801" s="18" t="str">
        <f aca="false">IF(J801="","",IF(M801&lt;설정!$B$3,"",ROUND(AVERAGEIFS($J$2:$J$1001,$B$2:$B$1001,B801,$A$2:$A$1001,"&lt;"&amp;A801,$A$2:$A$1001,"&gt;="&amp;(A801-설정!$B$2)),2)))</f>
        <v/>
      </c>
      <c r="L801" s="18" t="str">
        <f aca="false">IF(K801="","",ROUND(SQRT(MAX(0,(SUMIFS($R$2:$R$1001,$B$2:$B$1001,B801,$A$2:$A$1001,"&lt;"&amp;A801,$A$2:$A$1001,"&gt;="&amp;(A801-설정!$B$2))-M801*AVERAGEIFS($J$2:$J$1001,$B$2:$B$1001,B801,$A$2:$A$1001,"&lt;"&amp;A801,$A$2:$A$1001,"&gt;="&amp;(A801-설정!$B$2))^2)/(M801-1))),2))</f>
        <v/>
      </c>
      <c r="M801" s="18" t="str">
        <f aca="false">IF(J801="","",COUNTIFS($B$2:$B$1001,B801,$A$2:$A$1001,"&lt;"&amp;A801,$A$2:$A$1001,"&gt;="&amp;(A801-설정!$B$2),$J$2:$J$1001,"&gt;=0"))</f>
        <v/>
      </c>
      <c r="N801" s="18" t="str">
        <f aca="false">IF(K801="","",IF(L801=0,"",ROUND((J801-K801)/L801,2)))</f>
        <v/>
      </c>
      <c r="O801" s="19" t="str">
        <f aca="false">IF(J801="","",IF(MIN(F801,G801)&lt;=설정!$B$5,"예",""))</f>
        <v/>
      </c>
      <c r="P801" s="19" t="str">
        <f aca="false">IF(J801="","",IF(M801&lt;설정!$B$3,"baseline 수집 중",IF(N801="","정상",IF(N801&lt;=설정!$B$4,"낮음","정상"))))</f>
        <v/>
      </c>
      <c r="Q801" s="20"/>
      <c r="R801" s="18" t="str">
        <f aca="false">IF(J801="","",J801^2)</f>
        <v/>
      </c>
    </row>
    <row r="802" customFormat="false" ht="15" hidden="false" customHeight="false" outlineLevel="0" collapsed="false">
      <c r="A802" s="16"/>
      <c r="B802" s="17"/>
      <c r="C802" s="17"/>
      <c r="D802" s="17"/>
      <c r="E802" s="17"/>
      <c r="F802" s="17"/>
      <c r="G802" s="17"/>
      <c r="H802" s="17"/>
      <c r="I802" s="17"/>
      <c r="J802" s="18" t="str">
        <f aca="false">IF(COUNT(E802:I802)&lt;5,"",SUM(E802:I802))</f>
        <v/>
      </c>
      <c r="K802" s="18" t="str">
        <f aca="false">IF(J802="","",IF(M802&lt;설정!$B$3,"",ROUND(AVERAGEIFS($J$2:$J$1001,$B$2:$B$1001,B802,$A$2:$A$1001,"&lt;"&amp;A802,$A$2:$A$1001,"&gt;="&amp;(A802-설정!$B$2)),2)))</f>
        <v/>
      </c>
      <c r="L802" s="18" t="str">
        <f aca="false">IF(K802="","",ROUND(SQRT(MAX(0,(SUMIFS($R$2:$R$1001,$B$2:$B$1001,B802,$A$2:$A$1001,"&lt;"&amp;A802,$A$2:$A$1001,"&gt;="&amp;(A802-설정!$B$2))-M802*AVERAGEIFS($J$2:$J$1001,$B$2:$B$1001,B802,$A$2:$A$1001,"&lt;"&amp;A802,$A$2:$A$1001,"&gt;="&amp;(A802-설정!$B$2))^2)/(M802-1))),2))</f>
        <v/>
      </c>
      <c r="M802" s="18" t="str">
        <f aca="false">IF(J802="","",COUNTIFS($B$2:$B$1001,B802,$A$2:$A$1001,"&lt;"&amp;A802,$A$2:$A$1001,"&gt;="&amp;(A802-설정!$B$2),$J$2:$J$1001,"&gt;=0"))</f>
        <v/>
      </c>
      <c r="N802" s="18" t="str">
        <f aca="false">IF(K802="","",IF(L802=0,"",ROUND((J802-K802)/L802,2)))</f>
        <v/>
      </c>
      <c r="O802" s="19" t="str">
        <f aca="false">IF(J802="","",IF(MIN(F802,G802)&lt;=설정!$B$5,"예",""))</f>
        <v/>
      </c>
      <c r="P802" s="19" t="str">
        <f aca="false">IF(J802="","",IF(M802&lt;설정!$B$3,"baseline 수집 중",IF(N802="","정상",IF(N802&lt;=설정!$B$4,"낮음","정상"))))</f>
        <v/>
      </c>
      <c r="Q802" s="20"/>
      <c r="R802" s="18" t="str">
        <f aca="false">IF(J802="","",J802^2)</f>
        <v/>
      </c>
    </row>
    <row r="803" customFormat="false" ht="15" hidden="false" customHeight="false" outlineLevel="0" collapsed="false">
      <c r="A803" s="16"/>
      <c r="B803" s="17"/>
      <c r="C803" s="17"/>
      <c r="D803" s="17"/>
      <c r="E803" s="17"/>
      <c r="F803" s="17"/>
      <c r="G803" s="17"/>
      <c r="H803" s="17"/>
      <c r="I803" s="17"/>
      <c r="J803" s="18" t="str">
        <f aca="false">IF(COUNT(E803:I803)&lt;5,"",SUM(E803:I803))</f>
        <v/>
      </c>
      <c r="K803" s="18" t="str">
        <f aca="false">IF(J803="","",IF(M803&lt;설정!$B$3,"",ROUND(AVERAGEIFS($J$2:$J$1001,$B$2:$B$1001,B803,$A$2:$A$1001,"&lt;"&amp;A803,$A$2:$A$1001,"&gt;="&amp;(A803-설정!$B$2)),2)))</f>
        <v/>
      </c>
      <c r="L803" s="18" t="str">
        <f aca="false">IF(K803="","",ROUND(SQRT(MAX(0,(SUMIFS($R$2:$R$1001,$B$2:$B$1001,B803,$A$2:$A$1001,"&lt;"&amp;A803,$A$2:$A$1001,"&gt;="&amp;(A803-설정!$B$2))-M803*AVERAGEIFS($J$2:$J$1001,$B$2:$B$1001,B803,$A$2:$A$1001,"&lt;"&amp;A803,$A$2:$A$1001,"&gt;="&amp;(A803-설정!$B$2))^2)/(M803-1))),2))</f>
        <v/>
      </c>
      <c r="M803" s="18" t="str">
        <f aca="false">IF(J803="","",COUNTIFS($B$2:$B$1001,B803,$A$2:$A$1001,"&lt;"&amp;A803,$A$2:$A$1001,"&gt;="&amp;(A803-설정!$B$2),$J$2:$J$1001,"&gt;=0"))</f>
        <v/>
      </c>
      <c r="N803" s="18" t="str">
        <f aca="false">IF(K803="","",IF(L803=0,"",ROUND((J803-K803)/L803,2)))</f>
        <v/>
      </c>
      <c r="O803" s="19" t="str">
        <f aca="false">IF(J803="","",IF(MIN(F803,G803)&lt;=설정!$B$5,"예",""))</f>
        <v/>
      </c>
      <c r="P803" s="19" t="str">
        <f aca="false">IF(J803="","",IF(M803&lt;설정!$B$3,"baseline 수집 중",IF(N803="","정상",IF(N803&lt;=설정!$B$4,"낮음","정상"))))</f>
        <v/>
      </c>
      <c r="Q803" s="20"/>
      <c r="R803" s="18" t="str">
        <f aca="false">IF(J803="","",J803^2)</f>
        <v/>
      </c>
    </row>
    <row r="804" customFormat="false" ht="15" hidden="false" customHeight="false" outlineLevel="0" collapsed="false">
      <c r="A804" s="16"/>
      <c r="B804" s="17"/>
      <c r="C804" s="17"/>
      <c r="D804" s="17"/>
      <c r="E804" s="17"/>
      <c r="F804" s="17"/>
      <c r="G804" s="17"/>
      <c r="H804" s="17"/>
      <c r="I804" s="17"/>
      <c r="J804" s="18" t="str">
        <f aca="false">IF(COUNT(E804:I804)&lt;5,"",SUM(E804:I804))</f>
        <v/>
      </c>
      <c r="K804" s="18" t="str">
        <f aca="false">IF(J804="","",IF(M804&lt;설정!$B$3,"",ROUND(AVERAGEIFS($J$2:$J$1001,$B$2:$B$1001,B804,$A$2:$A$1001,"&lt;"&amp;A804,$A$2:$A$1001,"&gt;="&amp;(A804-설정!$B$2)),2)))</f>
        <v/>
      </c>
      <c r="L804" s="18" t="str">
        <f aca="false">IF(K804="","",ROUND(SQRT(MAX(0,(SUMIFS($R$2:$R$1001,$B$2:$B$1001,B804,$A$2:$A$1001,"&lt;"&amp;A804,$A$2:$A$1001,"&gt;="&amp;(A804-설정!$B$2))-M804*AVERAGEIFS($J$2:$J$1001,$B$2:$B$1001,B804,$A$2:$A$1001,"&lt;"&amp;A804,$A$2:$A$1001,"&gt;="&amp;(A804-설정!$B$2))^2)/(M804-1))),2))</f>
        <v/>
      </c>
      <c r="M804" s="18" t="str">
        <f aca="false">IF(J804="","",COUNTIFS($B$2:$B$1001,B804,$A$2:$A$1001,"&lt;"&amp;A804,$A$2:$A$1001,"&gt;="&amp;(A804-설정!$B$2),$J$2:$J$1001,"&gt;=0"))</f>
        <v/>
      </c>
      <c r="N804" s="18" t="str">
        <f aca="false">IF(K804="","",IF(L804=0,"",ROUND((J804-K804)/L804,2)))</f>
        <v/>
      </c>
      <c r="O804" s="19" t="str">
        <f aca="false">IF(J804="","",IF(MIN(F804,G804)&lt;=설정!$B$5,"예",""))</f>
        <v/>
      </c>
      <c r="P804" s="19" t="str">
        <f aca="false">IF(J804="","",IF(M804&lt;설정!$B$3,"baseline 수집 중",IF(N804="","정상",IF(N804&lt;=설정!$B$4,"낮음","정상"))))</f>
        <v/>
      </c>
      <c r="Q804" s="20"/>
      <c r="R804" s="18" t="str">
        <f aca="false">IF(J804="","",J804^2)</f>
        <v/>
      </c>
    </row>
    <row r="805" customFormat="false" ht="15" hidden="false" customHeight="false" outlineLevel="0" collapsed="false">
      <c r="A805" s="16"/>
      <c r="B805" s="17"/>
      <c r="C805" s="17"/>
      <c r="D805" s="17"/>
      <c r="E805" s="17"/>
      <c r="F805" s="17"/>
      <c r="G805" s="17"/>
      <c r="H805" s="17"/>
      <c r="I805" s="17"/>
      <c r="J805" s="18" t="str">
        <f aca="false">IF(COUNT(E805:I805)&lt;5,"",SUM(E805:I805))</f>
        <v/>
      </c>
      <c r="K805" s="18" t="str">
        <f aca="false">IF(J805="","",IF(M805&lt;설정!$B$3,"",ROUND(AVERAGEIFS($J$2:$J$1001,$B$2:$B$1001,B805,$A$2:$A$1001,"&lt;"&amp;A805,$A$2:$A$1001,"&gt;="&amp;(A805-설정!$B$2)),2)))</f>
        <v/>
      </c>
      <c r="L805" s="18" t="str">
        <f aca="false">IF(K805="","",ROUND(SQRT(MAX(0,(SUMIFS($R$2:$R$1001,$B$2:$B$1001,B805,$A$2:$A$1001,"&lt;"&amp;A805,$A$2:$A$1001,"&gt;="&amp;(A805-설정!$B$2))-M805*AVERAGEIFS($J$2:$J$1001,$B$2:$B$1001,B805,$A$2:$A$1001,"&lt;"&amp;A805,$A$2:$A$1001,"&gt;="&amp;(A805-설정!$B$2))^2)/(M805-1))),2))</f>
        <v/>
      </c>
      <c r="M805" s="18" t="str">
        <f aca="false">IF(J805="","",COUNTIFS($B$2:$B$1001,B805,$A$2:$A$1001,"&lt;"&amp;A805,$A$2:$A$1001,"&gt;="&amp;(A805-설정!$B$2),$J$2:$J$1001,"&gt;=0"))</f>
        <v/>
      </c>
      <c r="N805" s="18" t="str">
        <f aca="false">IF(K805="","",IF(L805=0,"",ROUND((J805-K805)/L805,2)))</f>
        <v/>
      </c>
      <c r="O805" s="19" t="str">
        <f aca="false">IF(J805="","",IF(MIN(F805,G805)&lt;=설정!$B$5,"예",""))</f>
        <v/>
      </c>
      <c r="P805" s="19" t="str">
        <f aca="false">IF(J805="","",IF(M805&lt;설정!$B$3,"baseline 수집 중",IF(N805="","정상",IF(N805&lt;=설정!$B$4,"낮음","정상"))))</f>
        <v/>
      </c>
      <c r="Q805" s="20"/>
      <c r="R805" s="18" t="str">
        <f aca="false">IF(J805="","",J805^2)</f>
        <v/>
      </c>
    </row>
    <row r="806" customFormat="false" ht="15" hidden="false" customHeight="false" outlineLevel="0" collapsed="false">
      <c r="A806" s="16"/>
      <c r="B806" s="17"/>
      <c r="C806" s="17"/>
      <c r="D806" s="17"/>
      <c r="E806" s="17"/>
      <c r="F806" s="17"/>
      <c r="G806" s="17"/>
      <c r="H806" s="17"/>
      <c r="I806" s="17"/>
      <c r="J806" s="18" t="str">
        <f aca="false">IF(COUNT(E806:I806)&lt;5,"",SUM(E806:I806))</f>
        <v/>
      </c>
      <c r="K806" s="18" t="str">
        <f aca="false">IF(J806="","",IF(M806&lt;설정!$B$3,"",ROUND(AVERAGEIFS($J$2:$J$1001,$B$2:$B$1001,B806,$A$2:$A$1001,"&lt;"&amp;A806,$A$2:$A$1001,"&gt;="&amp;(A806-설정!$B$2)),2)))</f>
        <v/>
      </c>
      <c r="L806" s="18" t="str">
        <f aca="false">IF(K806="","",ROUND(SQRT(MAX(0,(SUMIFS($R$2:$R$1001,$B$2:$B$1001,B806,$A$2:$A$1001,"&lt;"&amp;A806,$A$2:$A$1001,"&gt;="&amp;(A806-설정!$B$2))-M806*AVERAGEIFS($J$2:$J$1001,$B$2:$B$1001,B806,$A$2:$A$1001,"&lt;"&amp;A806,$A$2:$A$1001,"&gt;="&amp;(A806-설정!$B$2))^2)/(M806-1))),2))</f>
        <v/>
      </c>
      <c r="M806" s="18" t="str">
        <f aca="false">IF(J806="","",COUNTIFS($B$2:$B$1001,B806,$A$2:$A$1001,"&lt;"&amp;A806,$A$2:$A$1001,"&gt;="&amp;(A806-설정!$B$2),$J$2:$J$1001,"&gt;=0"))</f>
        <v/>
      </c>
      <c r="N806" s="18" t="str">
        <f aca="false">IF(K806="","",IF(L806=0,"",ROUND((J806-K806)/L806,2)))</f>
        <v/>
      </c>
      <c r="O806" s="19" t="str">
        <f aca="false">IF(J806="","",IF(MIN(F806,G806)&lt;=설정!$B$5,"예",""))</f>
        <v/>
      </c>
      <c r="P806" s="19" t="str">
        <f aca="false">IF(J806="","",IF(M806&lt;설정!$B$3,"baseline 수집 중",IF(N806="","정상",IF(N806&lt;=설정!$B$4,"낮음","정상"))))</f>
        <v/>
      </c>
      <c r="Q806" s="20"/>
      <c r="R806" s="18" t="str">
        <f aca="false">IF(J806="","",J806^2)</f>
        <v/>
      </c>
    </row>
    <row r="807" customFormat="false" ht="15" hidden="false" customHeight="false" outlineLevel="0" collapsed="false">
      <c r="A807" s="16"/>
      <c r="B807" s="17"/>
      <c r="C807" s="17"/>
      <c r="D807" s="17"/>
      <c r="E807" s="17"/>
      <c r="F807" s="17"/>
      <c r="G807" s="17"/>
      <c r="H807" s="17"/>
      <c r="I807" s="17"/>
      <c r="J807" s="18" t="str">
        <f aca="false">IF(COUNT(E807:I807)&lt;5,"",SUM(E807:I807))</f>
        <v/>
      </c>
      <c r="K807" s="18" t="str">
        <f aca="false">IF(J807="","",IF(M807&lt;설정!$B$3,"",ROUND(AVERAGEIFS($J$2:$J$1001,$B$2:$B$1001,B807,$A$2:$A$1001,"&lt;"&amp;A807,$A$2:$A$1001,"&gt;="&amp;(A807-설정!$B$2)),2)))</f>
        <v/>
      </c>
      <c r="L807" s="18" t="str">
        <f aca="false">IF(K807="","",ROUND(SQRT(MAX(0,(SUMIFS($R$2:$R$1001,$B$2:$B$1001,B807,$A$2:$A$1001,"&lt;"&amp;A807,$A$2:$A$1001,"&gt;="&amp;(A807-설정!$B$2))-M807*AVERAGEIFS($J$2:$J$1001,$B$2:$B$1001,B807,$A$2:$A$1001,"&lt;"&amp;A807,$A$2:$A$1001,"&gt;="&amp;(A807-설정!$B$2))^2)/(M807-1))),2))</f>
        <v/>
      </c>
      <c r="M807" s="18" t="str">
        <f aca="false">IF(J807="","",COUNTIFS($B$2:$B$1001,B807,$A$2:$A$1001,"&lt;"&amp;A807,$A$2:$A$1001,"&gt;="&amp;(A807-설정!$B$2),$J$2:$J$1001,"&gt;=0"))</f>
        <v/>
      </c>
      <c r="N807" s="18" t="str">
        <f aca="false">IF(K807="","",IF(L807=0,"",ROUND((J807-K807)/L807,2)))</f>
        <v/>
      </c>
      <c r="O807" s="19" t="str">
        <f aca="false">IF(J807="","",IF(MIN(F807,G807)&lt;=설정!$B$5,"예",""))</f>
        <v/>
      </c>
      <c r="P807" s="19" t="str">
        <f aca="false">IF(J807="","",IF(M807&lt;설정!$B$3,"baseline 수집 중",IF(N807="","정상",IF(N807&lt;=설정!$B$4,"낮음","정상"))))</f>
        <v/>
      </c>
      <c r="Q807" s="20"/>
      <c r="R807" s="18" t="str">
        <f aca="false">IF(J807="","",J807^2)</f>
        <v/>
      </c>
    </row>
    <row r="808" customFormat="false" ht="15" hidden="false" customHeight="false" outlineLevel="0" collapsed="false">
      <c r="A808" s="16"/>
      <c r="B808" s="17"/>
      <c r="C808" s="17"/>
      <c r="D808" s="17"/>
      <c r="E808" s="17"/>
      <c r="F808" s="17"/>
      <c r="G808" s="17"/>
      <c r="H808" s="17"/>
      <c r="I808" s="17"/>
      <c r="J808" s="18" t="str">
        <f aca="false">IF(COUNT(E808:I808)&lt;5,"",SUM(E808:I808))</f>
        <v/>
      </c>
      <c r="K808" s="18" t="str">
        <f aca="false">IF(J808="","",IF(M808&lt;설정!$B$3,"",ROUND(AVERAGEIFS($J$2:$J$1001,$B$2:$B$1001,B808,$A$2:$A$1001,"&lt;"&amp;A808,$A$2:$A$1001,"&gt;="&amp;(A808-설정!$B$2)),2)))</f>
        <v/>
      </c>
      <c r="L808" s="18" t="str">
        <f aca="false">IF(K808="","",ROUND(SQRT(MAX(0,(SUMIFS($R$2:$R$1001,$B$2:$B$1001,B808,$A$2:$A$1001,"&lt;"&amp;A808,$A$2:$A$1001,"&gt;="&amp;(A808-설정!$B$2))-M808*AVERAGEIFS($J$2:$J$1001,$B$2:$B$1001,B808,$A$2:$A$1001,"&lt;"&amp;A808,$A$2:$A$1001,"&gt;="&amp;(A808-설정!$B$2))^2)/(M808-1))),2))</f>
        <v/>
      </c>
      <c r="M808" s="18" t="str">
        <f aca="false">IF(J808="","",COUNTIFS($B$2:$B$1001,B808,$A$2:$A$1001,"&lt;"&amp;A808,$A$2:$A$1001,"&gt;="&amp;(A808-설정!$B$2),$J$2:$J$1001,"&gt;=0"))</f>
        <v/>
      </c>
      <c r="N808" s="18" t="str">
        <f aca="false">IF(K808="","",IF(L808=0,"",ROUND((J808-K808)/L808,2)))</f>
        <v/>
      </c>
      <c r="O808" s="19" t="str">
        <f aca="false">IF(J808="","",IF(MIN(F808,G808)&lt;=설정!$B$5,"예",""))</f>
        <v/>
      </c>
      <c r="P808" s="19" t="str">
        <f aca="false">IF(J808="","",IF(M808&lt;설정!$B$3,"baseline 수집 중",IF(N808="","정상",IF(N808&lt;=설정!$B$4,"낮음","정상"))))</f>
        <v/>
      </c>
      <c r="Q808" s="20"/>
      <c r="R808" s="18" t="str">
        <f aca="false">IF(J808="","",J808^2)</f>
        <v/>
      </c>
    </row>
    <row r="809" customFormat="false" ht="15" hidden="false" customHeight="false" outlineLevel="0" collapsed="false">
      <c r="A809" s="16"/>
      <c r="B809" s="17"/>
      <c r="C809" s="17"/>
      <c r="D809" s="17"/>
      <c r="E809" s="17"/>
      <c r="F809" s="17"/>
      <c r="G809" s="17"/>
      <c r="H809" s="17"/>
      <c r="I809" s="17"/>
      <c r="J809" s="18" t="str">
        <f aca="false">IF(COUNT(E809:I809)&lt;5,"",SUM(E809:I809))</f>
        <v/>
      </c>
      <c r="K809" s="18" t="str">
        <f aca="false">IF(J809="","",IF(M809&lt;설정!$B$3,"",ROUND(AVERAGEIFS($J$2:$J$1001,$B$2:$B$1001,B809,$A$2:$A$1001,"&lt;"&amp;A809,$A$2:$A$1001,"&gt;="&amp;(A809-설정!$B$2)),2)))</f>
        <v/>
      </c>
      <c r="L809" s="18" t="str">
        <f aca="false">IF(K809="","",ROUND(SQRT(MAX(0,(SUMIFS($R$2:$R$1001,$B$2:$B$1001,B809,$A$2:$A$1001,"&lt;"&amp;A809,$A$2:$A$1001,"&gt;="&amp;(A809-설정!$B$2))-M809*AVERAGEIFS($J$2:$J$1001,$B$2:$B$1001,B809,$A$2:$A$1001,"&lt;"&amp;A809,$A$2:$A$1001,"&gt;="&amp;(A809-설정!$B$2))^2)/(M809-1))),2))</f>
        <v/>
      </c>
      <c r="M809" s="18" t="str">
        <f aca="false">IF(J809="","",COUNTIFS($B$2:$B$1001,B809,$A$2:$A$1001,"&lt;"&amp;A809,$A$2:$A$1001,"&gt;="&amp;(A809-설정!$B$2),$J$2:$J$1001,"&gt;=0"))</f>
        <v/>
      </c>
      <c r="N809" s="18" t="str">
        <f aca="false">IF(K809="","",IF(L809=0,"",ROUND((J809-K809)/L809,2)))</f>
        <v/>
      </c>
      <c r="O809" s="19" t="str">
        <f aca="false">IF(J809="","",IF(MIN(F809,G809)&lt;=설정!$B$5,"예",""))</f>
        <v/>
      </c>
      <c r="P809" s="19" t="str">
        <f aca="false">IF(J809="","",IF(M809&lt;설정!$B$3,"baseline 수집 중",IF(N809="","정상",IF(N809&lt;=설정!$B$4,"낮음","정상"))))</f>
        <v/>
      </c>
      <c r="Q809" s="20"/>
      <c r="R809" s="18" t="str">
        <f aca="false">IF(J809="","",J809^2)</f>
        <v/>
      </c>
    </row>
    <row r="810" customFormat="false" ht="15" hidden="false" customHeight="false" outlineLevel="0" collapsed="false">
      <c r="A810" s="16"/>
      <c r="B810" s="17"/>
      <c r="C810" s="17"/>
      <c r="D810" s="17"/>
      <c r="E810" s="17"/>
      <c r="F810" s="17"/>
      <c r="G810" s="17"/>
      <c r="H810" s="17"/>
      <c r="I810" s="17"/>
      <c r="J810" s="18" t="str">
        <f aca="false">IF(COUNT(E810:I810)&lt;5,"",SUM(E810:I810))</f>
        <v/>
      </c>
      <c r="K810" s="18" t="str">
        <f aca="false">IF(J810="","",IF(M810&lt;설정!$B$3,"",ROUND(AVERAGEIFS($J$2:$J$1001,$B$2:$B$1001,B810,$A$2:$A$1001,"&lt;"&amp;A810,$A$2:$A$1001,"&gt;="&amp;(A810-설정!$B$2)),2)))</f>
        <v/>
      </c>
      <c r="L810" s="18" t="str">
        <f aca="false">IF(K810="","",ROUND(SQRT(MAX(0,(SUMIFS($R$2:$R$1001,$B$2:$B$1001,B810,$A$2:$A$1001,"&lt;"&amp;A810,$A$2:$A$1001,"&gt;="&amp;(A810-설정!$B$2))-M810*AVERAGEIFS($J$2:$J$1001,$B$2:$B$1001,B810,$A$2:$A$1001,"&lt;"&amp;A810,$A$2:$A$1001,"&gt;="&amp;(A810-설정!$B$2))^2)/(M810-1))),2))</f>
        <v/>
      </c>
      <c r="M810" s="18" t="str">
        <f aca="false">IF(J810="","",COUNTIFS($B$2:$B$1001,B810,$A$2:$A$1001,"&lt;"&amp;A810,$A$2:$A$1001,"&gt;="&amp;(A810-설정!$B$2),$J$2:$J$1001,"&gt;=0"))</f>
        <v/>
      </c>
      <c r="N810" s="18" t="str">
        <f aca="false">IF(K810="","",IF(L810=0,"",ROUND((J810-K810)/L810,2)))</f>
        <v/>
      </c>
      <c r="O810" s="19" t="str">
        <f aca="false">IF(J810="","",IF(MIN(F810,G810)&lt;=설정!$B$5,"예",""))</f>
        <v/>
      </c>
      <c r="P810" s="19" t="str">
        <f aca="false">IF(J810="","",IF(M810&lt;설정!$B$3,"baseline 수집 중",IF(N810="","정상",IF(N810&lt;=설정!$B$4,"낮음","정상"))))</f>
        <v/>
      </c>
      <c r="Q810" s="20"/>
      <c r="R810" s="18" t="str">
        <f aca="false">IF(J810="","",J810^2)</f>
        <v/>
      </c>
    </row>
    <row r="811" customFormat="false" ht="15" hidden="false" customHeight="false" outlineLevel="0" collapsed="false">
      <c r="A811" s="16"/>
      <c r="B811" s="17"/>
      <c r="C811" s="17"/>
      <c r="D811" s="17"/>
      <c r="E811" s="17"/>
      <c r="F811" s="17"/>
      <c r="G811" s="17"/>
      <c r="H811" s="17"/>
      <c r="I811" s="17"/>
      <c r="J811" s="18" t="str">
        <f aca="false">IF(COUNT(E811:I811)&lt;5,"",SUM(E811:I811))</f>
        <v/>
      </c>
      <c r="K811" s="18" t="str">
        <f aca="false">IF(J811="","",IF(M811&lt;설정!$B$3,"",ROUND(AVERAGEIFS($J$2:$J$1001,$B$2:$B$1001,B811,$A$2:$A$1001,"&lt;"&amp;A811,$A$2:$A$1001,"&gt;="&amp;(A811-설정!$B$2)),2)))</f>
        <v/>
      </c>
      <c r="L811" s="18" t="str">
        <f aca="false">IF(K811="","",ROUND(SQRT(MAX(0,(SUMIFS($R$2:$R$1001,$B$2:$B$1001,B811,$A$2:$A$1001,"&lt;"&amp;A811,$A$2:$A$1001,"&gt;="&amp;(A811-설정!$B$2))-M811*AVERAGEIFS($J$2:$J$1001,$B$2:$B$1001,B811,$A$2:$A$1001,"&lt;"&amp;A811,$A$2:$A$1001,"&gt;="&amp;(A811-설정!$B$2))^2)/(M811-1))),2))</f>
        <v/>
      </c>
      <c r="M811" s="18" t="str">
        <f aca="false">IF(J811="","",COUNTIFS($B$2:$B$1001,B811,$A$2:$A$1001,"&lt;"&amp;A811,$A$2:$A$1001,"&gt;="&amp;(A811-설정!$B$2),$J$2:$J$1001,"&gt;=0"))</f>
        <v/>
      </c>
      <c r="N811" s="18" t="str">
        <f aca="false">IF(K811="","",IF(L811=0,"",ROUND((J811-K811)/L811,2)))</f>
        <v/>
      </c>
      <c r="O811" s="19" t="str">
        <f aca="false">IF(J811="","",IF(MIN(F811,G811)&lt;=설정!$B$5,"예",""))</f>
        <v/>
      </c>
      <c r="P811" s="19" t="str">
        <f aca="false">IF(J811="","",IF(M811&lt;설정!$B$3,"baseline 수집 중",IF(N811="","정상",IF(N811&lt;=설정!$B$4,"낮음","정상"))))</f>
        <v/>
      </c>
      <c r="Q811" s="20"/>
      <c r="R811" s="18" t="str">
        <f aca="false">IF(J811="","",J811^2)</f>
        <v/>
      </c>
    </row>
    <row r="812" customFormat="false" ht="15" hidden="false" customHeight="false" outlineLevel="0" collapsed="false">
      <c r="A812" s="16"/>
      <c r="B812" s="17"/>
      <c r="C812" s="17"/>
      <c r="D812" s="17"/>
      <c r="E812" s="17"/>
      <c r="F812" s="17"/>
      <c r="G812" s="17"/>
      <c r="H812" s="17"/>
      <c r="I812" s="17"/>
      <c r="J812" s="18" t="str">
        <f aca="false">IF(COUNT(E812:I812)&lt;5,"",SUM(E812:I812))</f>
        <v/>
      </c>
      <c r="K812" s="18" t="str">
        <f aca="false">IF(J812="","",IF(M812&lt;설정!$B$3,"",ROUND(AVERAGEIFS($J$2:$J$1001,$B$2:$B$1001,B812,$A$2:$A$1001,"&lt;"&amp;A812,$A$2:$A$1001,"&gt;="&amp;(A812-설정!$B$2)),2)))</f>
        <v/>
      </c>
      <c r="L812" s="18" t="str">
        <f aca="false">IF(K812="","",ROUND(SQRT(MAX(0,(SUMIFS($R$2:$R$1001,$B$2:$B$1001,B812,$A$2:$A$1001,"&lt;"&amp;A812,$A$2:$A$1001,"&gt;="&amp;(A812-설정!$B$2))-M812*AVERAGEIFS($J$2:$J$1001,$B$2:$B$1001,B812,$A$2:$A$1001,"&lt;"&amp;A812,$A$2:$A$1001,"&gt;="&amp;(A812-설정!$B$2))^2)/(M812-1))),2))</f>
        <v/>
      </c>
      <c r="M812" s="18" t="str">
        <f aca="false">IF(J812="","",COUNTIFS($B$2:$B$1001,B812,$A$2:$A$1001,"&lt;"&amp;A812,$A$2:$A$1001,"&gt;="&amp;(A812-설정!$B$2),$J$2:$J$1001,"&gt;=0"))</f>
        <v/>
      </c>
      <c r="N812" s="18" t="str">
        <f aca="false">IF(K812="","",IF(L812=0,"",ROUND((J812-K812)/L812,2)))</f>
        <v/>
      </c>
      <c r="O812" s="19" t="str">
        <f aca="false">IF(J812="","",IF(MIN(F812,G812)&lt;=설정!$B$5,"예",""))</f>
        <v/>
      </c>
      <c r="P812" s="19" t="str">
        <f aca="false">IF(J812="","",IF(M812&lt;설정!$B$3,"baseline 수집 중",IF(N812="","정상",IF(N812&lt;=설정!$B$4,"낮음","정상"))))</f>
        <v/>
      </c>
      <c r="Q812" s="20"/>
      <c r="R812" s="18" t="str">
        <f aca="false">IF(J812="","",J812^2)</f>
        <v/>
      </c>
    </row>
    <row r="813" customFormat="false" ht="15" hidden="false" customHeight="false" outlineLevel="0" collapsed="false">
      <c r="A813" s="16"/>
      <c r="B813" s="17"/>
      <c r="C813" s="17"/>
      <c r="D813" s="17"/>
      <c r="E813" s="17"/>
      <c r="F813" s="17"/>
      <c r="G813" s="17"/>
      <c r="H813" s="17"/>
      <c r="I813" s="17"/>
      <c r="J813" s="18" t="str">
        <f aca="false">IF(COUNT(E813:I813)&lt;5,"",SUM(E813:I813))</f>
        <v/>
      </c>
      <c r="K813" s="18" t="str">
        <f aca="false">IF(J813="","",IF(M813&lt;설정!$B$3,"",ROUND(AVERAGEIFS($J$2:$J$1001,$B$2:$B$1001,B813,$A$2:$A$1001,"&lt;"&amp;A813,$A$2:$A$1001,"&gt;="&amp;(A813-설정!$B$2)),2)))</f>
        <v/>
      </c>
      <c r="L813" s="18" t="str">
        <f aca="false">IF(K813="","",ROUND(SQRT(MAX(0,(SUMIFS($R$2:$R$1001,$B$2:$B$1001,B813,$A$2:$A$1001,"&lt;"&amp;A813,$A$2:$A$1001,"&gt;="&amp;(A813-설정!$B$2))-M813*AVERAGEIFS($J$2:$J$1001,$B$2:$B$1001,B813,$A$2:$A$1001,"&lt;"&amp;A813,$A$2:$A$1001,"&gt;="&amp;(A813-설정!$B$2))^2)/(M813-1))),2))</f>
        <v/>
      </c>
      <c r="M813" s="18" t="str">
        <f aca="false">IF(J813="","",COUNTIFS($B$2:$B$1001,B813,$A$2:$A$1001,"&lt;"&amp;A813,$A$2:$A$1001,"&gt;="&amp;(A813-설정!$B$2),$J$2:$J$1001,"&gt;=0"))</f>
        <v/>
      </c>
      <c r="N813" s="18" t="str">
        <f aca="false">IF(K813="","",IF(L813=0,"",ROUND((J813-K813)/L813,2)))</f>
        <v/>
      </c>
      <c r="O813" s="19" t="str">
        <f aca="false">IF(J813="","",IF(MIN(F813,G813)&lt;=설정!$B$5,"예",""))</f>
        <v/>
      </c>
      <c r="P813" s="19" t="str">
        <f aca="false">IF(J813="","",IF(M813&lt;설정!$B$3,"baseline 수집 중",IF(N813="","정상",IF(N813&lt;=설정!$B$4,"낮음","정상"))))</f>
        <v/>
      </c>
      <c r="Q813" s="20"/>
      <c r="R813" s="18" t="str">
        <f aca="false">IF(J813="","",J813^2)</f>
        <v/>
      </c>
    </row>
    <row r="814" customFormat="false" ht="15" hidden="false" customHeight="false" outlineLevel="0" collapsed="false">
      <c r="A814" s="16"/>
      <c r="B814" s="17"/>
      <c r="C814" s="17"/>
      <c r="D814" s="17"/>
      <c r="E814" s="17"/>
      <c r="F814" s="17"/>
      <c r="G814" s="17"/>
      <c r="H814" s="17"/>
      <c r="I814" s="17"/>
      <c r="J814" s="18" t="str">
        <f aca="false">IF(COUNT(E814:I814)&lt;5,"",SUM(E814:I814))</f>
        <v/>
      </c>
      <c r="K814" s="18" t="str">
        <f aca="false">IF(J814="","",IF(M814&lt;설정!$B$3,"",ROUND(AVERAGEIFS($J$2:$J$1001,$B$2:$B$1001,B814,$A$2:$A$1001,"&lt;"&amp;A814,$A$2:$A$1001,"&gt;="&amp;(A814-설정!$B$2)),2)))</f>
        <v/>
      </c>
      <c r="L814" s="18" t="str">
        <f aca="false">IF(K814="","",ROUND(SQRT(MAX(0,(SUMIFS($R$2:$R$1001,$B$2:$B$1001,B814,$A$2:$A$1001,"&lt;"&amp;A814,$A$2:$A$1001,"&gt;="&amp;(A814-설정!$B$2))-M814*AVERAGEIFS($J$2:$J$1001,$B$2:$B$1001,B814,$A$2:$A$1001,"&lt;"&amp;A814,$A$2:$A$1001,"&gt;="&amp;(A814-설정!$B$2))^2)/(M814-1))),2))</f>
        <v/>
      </c>
      <c r="M814" s="18" t="str">
        <f aca="false">IF(J814="","",COUNTIFS($B$2:$B$1001,B814,$A$2:$A$1001,"&lt;"&amp;A814,$A$2:$A$1001,"&gt;="&amp;(A814-설정!$B$2),$J$2:$J$1001,"&gt;=0"))</f>
        <v/>
      </c>
      <c r="N814" s="18" t="str">
        <f aca="false">IF(K814="","",IF(L814=0,"",ROUND((J814-K814)/L814,2)))</f>
        <v/>
      </c>
      <c r="O814" s="19" t="str">
        <f aca="false">IF(J814="","",IF(MIN(F814,G814)&lt;=설정!$B$5,"예",""))</f>
        <v/>
      </c>
      <c r="P814" s="19" t="str">
        <f aca="false">IF(J814="","",IF(M814&lt;설정!$B$3,"baseline 수집 중",IF(N814="","정상",IF(N814&lt;=설정!$B$4,"낮음","정상"))))</f>
        <v/>
      </c>
      <c r="Q814" s="20"/>
      <c r="R814" s="18" t="str">
        <f aca="false">IF(J814="","",J814^2)</f>
        <v/>
      </c>
    </row>
    <row r="815" customFormat="false" ht="15" hidden="false" customHeight="false" outlineLevel="0" collapsed="false">
      <c r="A815" s="16"/>
      <c r="B815" s="17"/>
      <c r="C815" s="17"/>
      <c r="D815" s="17"/>
      <c r="E815" s="17"/>
      <c r="F815" s="17"/>
      <c r="G815" s="17"/>
      <c r="H815" s="17"/>
      <c r="I815" s="17"/>
      <c r="J815" s="18" t="str">
        <f aca="false">IF(COUNT(E815:I815)&lt;5,"",SUM(E815:I815))</f>
        <v/>
      </c>
      <c r="K815" s="18" t="str">
        <f aca="false">IF(J815="","",IF(M815&lt;설정!$B$3,"",ROUND(AVERAGEIFS($J$2:$J$1001,$B$2:$B$1001,B815,$A$2:$A$1001,"&lt;"&amp;A815,$A$2:$A$1001,"&gt;="&amp;(A815-설정!$B$2)),2)))</f>
        <v/>
      </c>
      <c r="L815" s="18" t="str">
        <f aca="false">IF(K815="","",ROUND(SQRT(MAX(0,(SUMIFS($R$2:$R$1001,$B$2:$B$1001,B815,$A$2:$A$1001,"&lt;"&amp;A815,$A$2:$A$1001,"&gt;="&amp;(A815-설정!$B$2))-M815*AVERAGEIFS($J$2:$J$1001,$B$2:$B$1001,B815,$A$2:$A$1001,"&lt;"&amp;A815,$A$2:$A$1001,"&gt;="&amp;(A815-설정!$B$2))^2)/(M815-1))),2))</f>
        <v/>
      </c>
      <c r="M815" s="18" t="str">
        <f aca="false">IF(J815="","",COUNTIFS($B$2:$B$1001,B815,$A$2:$A$1001,"&lt;"&amp;A815,$A$2:$A$1001,"&gt;="&amp;(A815-설정!$B$2),$J$2:$J$1001,"&gt;=0"))</f>
        <v/>
      </c>
      <c r="N815" s="18" t="str">
        <f aca="false">IF(K815="","",IF(L815=0,"",ROUND((J815-K815)/L815,2)))</f>
        <v/>
      </c>
      <c r="O815" s="19" t="str">
        <f aca="false">IF(J815="","",IF(MIN(F815,G815)&lt;=설정!$B$5,"예",""))</f>
        <v/>
      </c>
      <c r="P815" s="19" t="str">
        <f aca="false">IF(J815="","",IF(M815&lt;설정!$B$3,"baseline 수집 중",IF(N815="","정상",IF(N815&lt;=설정!$B$4,"낮음","정상"))))</f>
        <v/>
      </c>
      <c r="Q815" s="20"/>
      <c r="R815" s="18" t="str">
        <f aca="false">IF(J815="","",J815^2)</f>
        <v/>
      </c>
    </row>
    <row r="816" customFormat="false" ht="15" hidden="false" customHeight="false" outlineLevel="0" collapsed="false">
      <c r="A816" s="16"/>
      <c r="B816" s="17"/>
      <c r="C816" s="17"/>
      <c r="D816" s="17"/>
      <c r="E816" s="17"/>
      <c r="F816" s="17"/>
      <c r="G816" s="17"/>
      <c r="H816" s="17"/>
      <c r="I816" s="17"/>
      <c r="J816" s="18" t="str">
        <f aca="false">IF(COUNT(E816:I816)&lt;5,"",SUM(E816:I816))</f>
        <v/>
      </c>
      <c r="K816" s="18" t="str">
        <f aca="false">IF(J816="","",IF(M816&lt;설정!$B$3,"",ROUND(AVERAGEIFS($J$2:$J$1001,$B$2:$B$1001,B816,$A$2:$A$1001,"&lt;"&amp;A816,$A$2:$A$1001,"&gt;="&amp;(A816-설정!$B$2)),2)))</f>
        <v/>
      </c>
      <c r="L816" s="18" t="str">
        <f aca="false">IF(K816="","",ROUND(SQRT(MAX(0,(SUMIFS($R$2:$R$1001,$B$2:$B$1001,B816,$A$2:$A$1001,"&lt;"&amp;A816,$A$2:$A$1001,"&gt;="&amp;(A816-설정!$B$2))-M816*AVERAGEIFS($J$2:$J$1001,$B$2:$B$1001,B816,$A$2:$A$1001,"&lt;"&amp;A816,$A$2:$A$1001,"&gt;="&amp;(A816-설정!$B$2))^2)/(M816-1))),2))</f>
        <v/>
      </c>
      <c r="M816" s="18" t="str">
        <f aca="false">IF(J816="","",COUNTIFS($B$2:$B$1001,B816,$A$2:$A$1001,"&lt;"&amp;A816,$A$2:$A$1001,"&gt;="&amp;(A816-설정!$B$2),$J$2:$J$1001,"&gt;=0"))</f>
        <v/>
      </c>
      <c r="N816" s="18" t="str">
        <f aca="false">IF(K816="","",IF(L816=0,"",ROUND((J816-K816)/L816,2)))</f>
        <v/>
      </c>
      <c r="O816" s="19" t="str">
        <f aca="false">IF(J816="","",IF(MIN(F816,G816)&lt;=설정!$B$5,"예",""))</f>
        <v/>
      </c>
      <c r="P816" s="19" t="str">
        <f aca="false">IF(J816="","",IF(M816&lt;설정!$B$3,"baseline 수집 중",IF(N816="","정상",IF(N816&lt;=설정!$B$4,"낮음","정상"))))</f>
        <v/>
      </c>
      <c r="Q816" s="20"/>
      <c r="R816" s="18" t="str">
        <f aca="false">IF(J816="","",J816^2)</f>
        <v/>
      </c>
    </row>
    <row r="817" customFormat="false" ht="15" hidden="false" customHeight="false" outlineLevel="0" collapsed="false">
      <c r="A817" s="16"/>
      <c r="B817" s="17"/>
      <c r="C817" s="17"/>
      <c r="D817" s="17"/>
      <c r="E817" s="17"/>
      <c r="F817" s="17"/>
      <c r="G817" s="17"/>
      <c r="H817" s="17"/>
      <c r="I817" s="17"/>
      <c r="J817" s="18" t="str">
        <f aca="false">IF(COUNT(E817:I817)&lt;5,"",SUM(E817:I817))</f>
        <v/>
      </c>
      <c r="K817" s="18" t="str">
        <f aca="false">IF(J817="","",IF(M817&lt;설정!$B$3,"",ROUND(AVERAGEIFS($J$2:$J$1001,$B$2:$B$1001,B817,$A$2:$A$1001,"&lt;"&amp;A817,$A$2:$A$1001,"&gt;="&amp;(A817-설정!$B$2)),2)))</f>
        <v/>
      </c>
      <c r="L817" s="18" t="str">
        <f aca="false">IF(K817="","",ROUND(SQRT(MAX(0,(SUMIFS($R$2:$R$1001,$B$2:$B$1001,B817,$A$2:$A$1001,"&lt;"&amp;A817,$A$2:$A$1001,"&gt;="&amp;(A817-설정!$B$2))-M817*AVERAGEIFS($J$2:$J$1001,$B$2:$B$1001,B817,$A$2:$A$1001,"&lt;"&amp;A817,$A$2:$A$1001,"&gt;="&amp;(A817-설정!$B$2))^2)/(M817-1))),2))</f>
        <v/>
      </c>
      <c r="M817" s="18" t="str">
        <f aca="false">IF(J817="","",COUNTIFS($B$2:$B$1001,B817,$A$2:$A$1001,"&lt;"&amp;A817,$A$2:$A$1001,"&gt;="&amp;(A817-설정!$B$2),$J$2:$J$1001,"&gt;=0"))</f>
        <v/>
      </c>
      <c r="N817" s="18" t="str">
        <f aca="false">IF(K817="","",IF(L817=0,"",ROUND((J817-K817)/L817,2)))</f>
        <v/>
      </c>
      <c r="O817" s="19" t="str">
        <f aca="false">IF(J817="","",IF(MIN(F817,G817)&lt;=설정!$B$5,"예",""))</f>
        <v/>
      </c>
      <c r="P817" s="19" t="str">
        <f aca="false">IF(J817="","",IF(M817&lt;설정!$B$3,"baseline 수집 중",IF(N817="","정상",IF(N817&lt;=설정!$B$4,"낮음","정상"))))</f>
        <v/>
      </c>
      <c r="Q817" s="20"/>
      <c r="R817" s="18" t="str">
        <f aca="false">IF(J817="","",J817^2)</f>
        <v/>
      </c>
    </row>
    <row r="818" customFormat="false" ht="15" hidden="false" customHeight="false" outlineLevel="0" collapsed="false">
      <c r="A818" s="16"/>
      <c r="B818" s="17"/>
      <c r="C818" s="17"/>
      <c r="D818" s="17"/>
      <c r="E818" s="17"/>
      <c r="F818" s="17"/>
      <c r="G818" s="17"/>
      <c r="H818" s="17"/>
      <c r="I818" s="17"/>
      <c r="J818" s="18" t="str">
        <f aca="false">IF(COUNT(E818:I818)&lt;5,"",SUM(E818:I818))</f>
        <v/>
      </c>
      <c r="K818" s="18" t="str">
        <f aca="false">IF(J818="","",IF(M818&lt;설정!$B$3,"",ROUND(AVERAGEIFS($J$2:$J$1001,$B$2:$B$1001,B818,$A$2:$A$1001,"&lt;"&amp;A818,$A$2:$A$1001,"&gt;="&amp;(A818-설정!$B$2)),2)))</f>
        <v/>
      </c>
      <c r="L818" s="18" t="str">
        <f aca="false">IF(K818="","",ROUND(SQRT(MAX(0,(SUMIFS($R$2:$R$1001,$B$2:$B$1001,B818,$A$2:$A$1001,"&lt;"&amp;A818,$A$2:$A$1001,"&gt;="&amp;(A818-설정!$B$2))-M818*AVERAGEIFS($J$2:$J$1001,$B$2:$B$1001,B818,$A$2:$A$1001,"&lt;"&amp;A818,$A$2:$A$1001,"&gt;="&amp;(A818-설정!$B$2))^2)/(M818-1))),2))</f>
        <v/>
      </c>
      <c r="M818" s="18" t="str">
        <f aca="false">IF(J818="","",COUNTIFS($B$2:$B$1001,B818,$A$2:$A$1001,"&lt;"&amp;A818,$A$2:$A$1001,"&gt;="&amp;(A818-설정!$B$2),$J$2:$J$1001,"&gt;=0"))</f>
        <v/>
      </c>
      <c r="N818" s="18" t="str">
        <f aca="false">IF(K818="","",IF(L818=0,"",ROUND((J818-K818)/L818,2)))</f>
        <v/>
      </c>
      <c r="O818" s="19" t="str">
        <f aca="false">IF(J818="","",IF(MIN(F818,G818)&lt;=설정!$B$5,"예",""))</f>
        <v/>
      </c>
      <c r="P818" s="19" t="str">
        <f aca="false">IF(J818="","",IF(M818&lt;설정!$B$3,"baseline 수집 중",IF(N818="","정상",IF(N818&lt;=설정!$B$4,"낮음","정상"))))</f>
        <v/>
      </c>
      <c r="Q818" s="20"/>
      <c r="R818" s="18" t="str">
        <f aca="false">IF(J818="","",J818^2)</f>
        <v/>
      </c>
    </row>
    <row r="819" customFormat="false" ht="15" hidden="false" customHeight="false" outlineLevel="0" collapsed="false">
      <c r="A819" s="16"/>
      <c r="B819" s="17"/>
      <c r="C819" s="17"/>
      <c r="D819" s="17"/>
      <c r="E819" s="17"/>
      <c r="F819" s="17"/>
      <c r="G819" s="17"/>
      <c r="H819" s="17"/>
      <c r="I819" s="17"/>
      <c r="J819" s="18" t="str">
        <f aca="false">IF(COUNT(E819:I819)&lt;5,"",SUM(E819:I819))</f>
        <v/>
      </c>
      <c r="K819" s="18" t="str">
        <f aca="false">IF(J819="","",IF(M819&lt;설정!$B$3,"",ROUND(AVERAGEIFS($J$2:$J$1001,$B$2:$B$1001,B819,$A$2:$A$1001,"&lt;"&amp;A819,$A$2:$A$1001,"&gt;="&amp;(A819-설정!$B$2)),2)))</f>
        <v/>
      </c>
      <c r="L819" s="18" t="str">
        <f aca="false">IF(K819="","",ROUND(SQRT(MAX(0,(SUMIFS($R$2:$R$1001,$B$2:$B$1001,B819,$A$2:$A$1001,"&lt;"&amp;A819,$A$2:$A$1001,"&gt;="&amp;(A819-설정!$B$2))-M819*AVERAGEIFS($J$2:$J$1001,$B$2:$B$1001,B819,$A$2:$A$1001,"&lt;"&amp;A819,$A$2:$A$1001,"&gt;="&amp;(A819-설정!$B$2))^2)/(M819-1))),2))</f>
        <v/>
      </c>
      <c r="M819" s="18" t="str">
        <f aca="false">IF(J819="","",COUNTIFS($B$2:$B$1001,B819,$A$2:$A$1001,"&lt;"&amp;A819,$A$2:$A$1001,"&gt;="&amp;(A819-설정!$B$2),$J$2:$J$1001,"&gt;=0"))</f>
        <v/>
      </c>
      <c r="N819" s="18" t="str">
        <f aca="false">IF(K819="","",IF(L819=0,"",ROUND((J819-K819)/L819,2)))</f>
        <v/>
      </c>
      <c r="O819" s="19" t="str">
        <f aca="false">IF(J819="","",IF(MIN(F819,G819)&lt;=설정!$B$5,"예",""))</f>
        <v/>
      </c>
      <c r="P819" s="19" t="str">
        <f aca="false">IF(J819="","",IF(M819&lt;설정!$B$3,"baseline 수집 중",IF(N819="","정상",IF(N819&lt;=설정!$B$4,"낮음","정상"))))</f>
        <v/>
      </c>
      <c r="Q819" s="20"/>
      <c r="R819" s="18" t="str">
        <f aca="false">IF(J819="","",J819^2)</f>
        <v/>
      </c>
    </row>
    <row r="820" customFormat="false" ht="15" hidden="false" customHeight="false" outlineLevel="0" collapsed="false">
      <c r="A820" s="16"/>
      <c r="B820" s="17"/>
      <c r="C820" s="17"/>
      <c r="D820" s="17"/>
      <c r="E820" s="17"/>
      <c r="F820" s="17"/>
      <c r="G820" s="17"/>
      <c r="H820" s="17"/>
      <c r="I820" s="17"/>
      <c r="J820" s="18" t="str">
        <f aca="false">IF(COUNT(E820:I820)&lt;5,"",SUM(E820:I820))</f>
        <v/>
      </c>
      <c r="K820" s="18" t="str">
        <f aca="false">IF(J820="","",IF(M820&lt;설정!$B$3,"",ROUND(AVERAGEIFS($J$2:$J$1001,$B$2:$B$1001,B820,$A$2:$A$1001,"&lt;"&amp;A820,$A$2:$A$1001,"&gt;="&amp;(A820-설정!$B$2)),2)))</f>
        <v/>
      </c>
      <c r="L820" s="18" t="str">
        <f aca="false">IF(K820="","",ROUND(SQRT(MAX(0,(SUMIFS($R$2:$R$1001,$B$2:$B$1001,B820,$A$2:$A$1001,"&lt;"&amp;A820,$A$2:$A$1001,"&gt;="&amp;(A820-설정!$B$2))-M820*AVERAGEIFS($J$2:$J$1001,$B$2:$B$1001,B820,$A$2:$A$1001,"&lt;"&amp;A820,$A$2:$A$1001,"&gt;="&amp;(A820-설정!$B$2))^2)/(M820-1))),2))</f>
        <v/>
      </c>
      <c r="M820" s="18" t="str">
        <f aca="false">IF(J820="","",COUNTIFS($B$2:$B$1001,B820,$A$2:$A$1001,"&lt;"&amp;A820,$A$2:$A$1001,"&gt;="&amp;(A820-설정!$B$2),$J$2:$J$1001,"&gt;=0"))</f>
        <v/>
      </c>
      <c r="N820" s="18" t="str">
        <f aca="false">IF(K820="","",IF(L820=0,"",ROUND((J820-K820)/L820,2)))</f>
        <v/>
      </c>
      <c r="O820" s="19" t="str">
        <f aca="false">IF(J820="","",IF(MIN(F820,G820)&lt;=설정!$B$5,"예",""))</f>
        <v/>
      </c>
      <c r="P820" s="19" t="str">
        <f aca="false">IF(J820="","",IF(M820&lt;설정!$B$3,"baseline 수집 중",IF(N820="","정상",IF(N820&lt;=설정!$B$4,"낮음","정상"))))</f>
        <v/>
      </c>
      <c r="Q820" s="20"/>
      <c r="R820" s="18" t="str">
        <f aca="false">IF(J820="","",J820^2)</f>
        <v/>
      </c>
    </row>
    <row r="821" customFormat="false" ht="15" hidden="false" customHeight="false" outlineLevel="0" collapsed="false">
      <c r="A821" s="16"/>
      <c r="B821" s="17"/>
      <c r="C821" s="17"/>
      <c r="D821" s="17"/>
      <c r="E821" s="17"/>
      <c r="F821" s="17"/>
      <c r="G821" s="17"/>
      <c r="H821" s="17"/>
      <c r="I821" s="17"/>
      <c r="J821" s="18" t="str">
        <f aca="false">IF(COUNT(E821:I821)&lt;5,"",SUM(E821:I821))</f>
        <v/>
      </c>
      <c r="K821" s="18" t="str">
        <f aca="false">IF(J821="","",IF(M821&lt;설정!$B$3,"",ROUND(AVERAGEIFS($J$2:$J$1001,$B$2:$B$1001,B821,$A$2:$A$1001,"&lt;"&amp;A821,$A$2:$A$1001,"&gt;="&amp;(A821-설정!$B$2)),2)))</f>
        <v/>
      </c>
      <c r="L821" s="18" t="str">
        <f aca="false">IF(K821="","",ROUND(SQRT(MAX(0,(SUMIFS($R$2:$R$1001,$B$2:$B$1001,B821,$A$2:$A$1001,"&lt;"&amp;A821,$A$2:$A$1001,"&gt;="&amp;(A821-설정!$B$2))-M821*AVERAGEIFS($J$2:$J$1001,$B$2:$B$1001,B821,$A$2:$A$1001,"&lt;"&amp;A821,$A$2:$A$1001,"&gt;="&amp;(A821-설정!$B$2))^2)/(M821-1))),2))</f>
        <v/>
      </c>
      <c r="M821" s="18" t="str">
        <f aca="false">IF(J821="","",COUNTIFS($B$2:$B$1001,B821,$A$2:$A$1001,"&lt;"&amp;A821,$A$2:$A$1001,"&gt;="&amp;(A821-설정!$B$2),$J$2:$J$1001,"&gt;=0"))</f>
        <v/>
      </c>
      <c r="N821" s="18" t="str">
        <f aca="false">IF(K821="","",IF(L821=0,"",ROUND((J821-K821)/L821,2)))</f>
        <v/>
      </c>
      <c r="O821" s="19" t="str">
        <f aca="false">IF(J821="","",IF(MIN(F821,G821)&lt;=설정!$B$5,"예",""))</f>
        <v/>
      </c>
      <c r="P821" s="19" t="str">
        <f aca="false">IF(J821="","",IF(M821&lt;설정!$B$3,"baseline 수집 중",IF(N821="","정상",IF(N821&lt;=설정!$B$4,"낮음","정상"))))</f>
        <v/>
      </c>
      <c r="Q821" s="20"/>
      <c r="R821" s="18" t="str">
        <f aca="false">IF(J821="","",J821^2)</f>
        <v/>
      </c>
    </row>
    <row r="822" customFormat="false" ht="15" hidden="false" customHeight="false" outlineLevel="0" collapsed="false">
      <c r="A822" s="16"/>
      <c r="B822" s="17"/>
      <c r="C822" s="17"/>
      <c r="D822" s="17"/>
      <c r="E822" s="17"/>
      <c r="F822" s="17"/>
      <c r="G822" s="17"/>
      <c r="H822" s="17"/>
      <c r="I822" s="17"/>
      <c r="J822" s="18" t="str">
        <f aca="false">IF(COUNT(E822:I822)&lt;5,"",SUM(E822:I822))</f>
        <v/>
      </c>
      <c r="K822" s="18" t="str">
        <f aca="false">IF(J822="","",IF(M822&lt;설정!$B$3,"",ROUND(AVERAGEIFS($J$2:$J$1001,$B$2:$B$1001,B822,$A$2:$A$1001,"&lt;"&amp;A822,$A$2:$A$1001,"&gt;="&amp;(A822-설정!$B$2)),2)))</f>
        <v/>
      </c>
      <c r="L822" s="18" t="str">
        <f aca="false">IF(K822="","",ROUND(SQRT(MAX(0,(SUMIFS($R$2:$R$1001,$B$2:$B$1001,B822,$A$2:$A$1001,"&lt;"&amp;A822,$A$2:$A$1001,"&gt;="&amp;(A822-설정!$B$2))-M822*AVERAGEIFS($J$2:$J$1001,$B$2:$B$1001,B822,$A$2:$A$1001,"&lt;"&amp;A822,$A$2:$A$1001,"&gt;="&amp;(A822-설정!$B$2))^2)/(M822-1))),2))</f>
        <v/>
      </c>
      <c r="M822" s="18" t="str">
        <f aca="false">IF(J822="","",COUNTIFS($B$2:$B$1001,B822,$A$2:$A$1001,"&lt;"&amp;A822,$A$2:$A$1001,"&gt;="&amp;(A822-설정!$B$2),$J$2:$J$1001,"&gt;=0"))</f>
        <v/>
      </c>
      <c r="N822" s="18" t="str">
        <f aca="false">IF(K822="","",IF(L822=0,"",ROUND((J822-K822)/L822,2)))</f>
        <v/>
      </c>
      <c r="O822" s="19" t="str">
        <f aca="false">IF(J822="","",IF(MIN(F822,G822)&lt;=설정!$B$5,"예",""))</f>
        <v/>
      </c>
      <c r="P822" s="19" t="str">
        <f aca="false">IF(J822="","",IF(M822&lt;설정!$B$3,"baseline 수집 중",IF(N822="","정상",IF(N822&lt;=설정!$B$4,"낮음","정상"))))</f>
        <v/>
      </c>
      <c r="Q822" s="20"/>
      <c r="R822" s="18" t="str">
        <f aca="false">IF(J822="","",J822^2)</f>
        <v/>
      </c>
    </row>
    <row r="823" customFormat="false" ht="15" hidden="false" customHeight="false" outlineLevel="0" collapsed="false">
      <c r="A823" s="16"/>
      <c r="B823" s="17"/>
      <c r="C823" s="17"/>
      <c r="D823" s="17"/>
      <c r="E823" s="17"/>
      <c r="F823" s="17"/>
      <c r="G823" s="17"/>
      <c r="H823" s="17"/>
      <c r="I823" s="17"/>
      <c r="J823" s="18" t="str">
        <f aca="false">IF(COUNT(E823:I823)&lt;5,"",SUM(E823:I823))</f>
        <v/>
      </c>
      <c r="K823" s="18" t="str">
        <f aca="false">IF(J823="","",IF(M823&lt;설정!$B$3,"",ROUND(AVERAGEIFS($J$2:$J$1001,$B$2:$B$1001,B823,$A$2:$A$1001,"&lt;"&amp;A823,$A$2:$A$1001,"&gt;="&amp;(A823-설정!$B$2)),2)))</f>
        <v/>
      </c>
      <c r="L823" s="18" t="str">
        <f aca="false">IF(K823="","",ROUND(SQRT(MAX(0,(SUMIFS($R$2:$R$1001,$B$2:$B$1001,B823,$A$2:$A$1001,"&lt;"&amp;A823,$A$2:$A$1001,"&gt;="&amp;(A823-설정!$B$2))-M823*AVERAGEIFS($J$2:$J$1001,$B$2:$B$1001,B823,$A$2:$A$1001,"&lt;"&amp;A823,$A$2:$A$1001,"&gt;="&amp;(A823-설정!$B$2))^2)/(M823-1))),2))</f>
        <v/>
      </c>
      <c r="M823" s="18" t="str">
        <f aca="false">IF(J823="","",COUNTIFS($B$2:$B$1001,B823,$A$2:$A$1001,"&lt;"&amp;A823,$A$2:$A$1001,"&gt;="&amp;(A823-설정!$B$2),$J$2:$J$1001,"&gt;=0"))</f>
        <v/>
      </c>
      <c r="N823" s="18" t="str">
        <f aca="false">IF(K823="","",IF(L823=0,"",ROUND((J823-K823)/L823,2)))</f>
        <v/>
      </c>
      <c r="O823" s="19" t="str">
        <f aca="false">IF(J823="","",IF(MIN(F823,G823)&lt;=설정!$B$5,"예",""))</f>
        <v/>
      </c>
      <c r="P823" s="19" t="str">
        <f aca="false">IF(J823="","",IF(M823&lt;설정!$B$3,"baseline 수집 중",IF(N823="","정상",IF(N823&lt;=설정!$B$4,"낮음","정상"))))</f>
        <v/>
      </c>
      <c r="Q823" s="20"/>
      <c r="R823" s="18" t="str">
        <f aca="false">IF(J823="","",J823^2)</f>
        <v/>
      </c>
    </row>
    <row r="824" customFormat="false" ht="15" hidden="false" customHeight="false" outlineLevel="0" collapsed="false">
      <c r="A824" s="16"/>
      <c r="B824" s="17"/>
      <c r="C824" s="17"/>
      <c r="D824" s="17"/>
      <c r="E824" s="17"/>
      <c r="F824" s="17"/>
      <c r="G824" s="17"/>
      <c r="H824" s="17"/>
      <c r="I824" s="17"/>
      <c r="J824" s="18" t="str">
        <f aca="false">IF(COUNT(E824:I824)&lt;5,"",SUM(E824:I824))</f>
        <v/>
      </c>
      <c r="K824" s="18" t="str">
        <f aca="false">IF(J824="","",IF(M824&lt;설정!$B$3,"",ROUND(AVERAGEIFS($J$2:$J$1001,$B$2:$B$1001,B824,$A$2:$A$1001,"&lt;"&amp;A824,$A$2:$A$1001,"&gt;="&amp;(A824-설정!$B$2)),2)))</f>
        <v/>
      </c>
      <c r="L824" s="18" t="str">
        <f aca="false">IF(K824="","",ROUND(SQRT(MAX(0,(SUMIFS($R$2:$R$1001,$B$2:$B$1001,B824,$A$2:$A$1001,"&lt;"&amp;A824,$A$2:$A$1001,"&gt;="&amp;(A824-설정!$B$2))-M824*AVERAGEIFS($J$2:$J$1001,$B$2:$B$1001,B824,$A$2:$A$1001,"&lt;"&amp;A824,$A$2:$A$1001,"&gt;="&amp;(A824-설정!$B$2))^2)/(M824-1))),2))</f>
        <v/>
      </c>
      <c r="M824" s="18" t="str">
        <f aca="false">IF(J824="","",COUNTIFS($B$2:$B$1001,B824,$A$2:$A$1001,"&lt;"&amp;A824,$A$2:$A$1001,"&gt;="&amp;(A824-설정!$B$2),$J$2:$J$1001,"&gt;=0"))</f>
        <v/>
      </c>
      <c r="N824" s="18" t="str">
        <f aca="false">IF(K824="","",IF(L824=0,"",ROUND((J824-K824)/L824,2)))</f>
        <v/>
      </c>
      <c r="O824" s="19" t="str">
        <f aca="false">IF(J824="","",IF(MIN(F824,G824)&lt;=설정!$B$5,"예",""))</f>
        <v/>
      </c>
      <c r="P824" s="19" t="str">
        <f aca="false">IF(J824="","",IF(M824&lt;설정!$B$3,"baseline 수집 중",IF(N824="","정상",IF(N824&lt;=설정!$B$4,"낮음","정상"))))</f>
        <v/>
      </c>
      <c r="Q824" s="20"/>
      <c r="R824" s="18" t="str">
        <f aca="false">IF(J824="","",J824^2)</f>
        <v/>
      </c>
    </row>
    <row r="825" customFormat="false" ht="15" hidden="false" customHeight="false" outlineLevel="0" collapsed="false">
      <c r="A825" s="16"/>
      <c r="B825" s="17"/>
      <c r="C825" s="17"/>
      <c r="D825" s="17"/>
      <c r="E825" s="17"/>
      <c r="F825" s="17"/>
      <c r="G825" s="17"/>
      <c r="H825" s="17"/>
      <c r="I825" s="17"/>
      <c r="J825" s="18" t="str">
        <f aca="false">IF(COUNT(E825:I825)&lt;5,"",SUM(E825:I825))</f>
        <v/>
      </c>
      <c r="K825" s="18" t="str">
        <f aca="false">IF(J825="","",IF(M825&lt;설정!$B$3,"",ROUND(AVERAGEIFS($J$2:$J$1001,$B$2:$B$1001,B825,$A$2:$A$1001,"&lt;"&amp;A825,$A$2:$A$1001,"&gt;="&amp;(A825-설정!$B$2)),2)))</f>
        <v/>
      </c>
      <c r="L825" s="18" t="str">
        <f aca="false">IF(K825="","",ROUND(SQRT(MAX(0,(SUMIFS($R$2:$R$1001,$B$2:$B$1001,B825,$A$2:$A$1001,"&lt;"&amp;A825,$A$2:$A$1001,"&gt;="&amp;(A825-설정!$B$2))-M825*AVERAGEIFS($J$2:$J$1001,$B$2:$B$1001,B825,$A$2:$A$1001,"&lt;"&amp;A825,$A$2:$A$1001,"&gt;="&amp;(A825-설정!$B$2))^2)/(M825-1))),2))</f>
        <v/>
      </c>
      <c r="M825" s="18" t="str">
        <f aca="false">IF(J825="","",COUNTIFS($B$2:$B$1001,B825,$A$2:$A$1001,"&lt;"&amp;A825,$A$2:$A$1001,"&gt;="&amp;(A825-설정!$B$2),$J$2:$J$1001,"&gt;=0"))</f>
        <v/>
      </c>
      <c r="N825" s="18" t="str">
        <f aca="false">IF(K825="","",IF(L825=0,"",ROUND((J825-K825)/L825,2)))</f>
        <v/>
      </c>
      <c r="O825" s="19" t="str">
        <f aca="false">IF(J825="","",IF(MIN(F825,G825)&lt;=설정!$B$5,"예",""))</f>
        <v/>
      </c>
      <c r="P825" s="19" t="str">
        <f aca="false">IF(J825="","",IF(M825&lt;설정!$B$3,"baseline 수집 중",IF(N825="","정상",IF(N825&lt;=설정!$B$4,"낮음","정상"))))</f>
        <v/>
      </c>
      <c r="Q825" s="20"/>
      <c r="R825" s="18" t="str">
        <f aca="false">IF(J825="","",J825^2)</f>
        <v/>
      </c>
    </row>
    <row r="826" customFormat="false" ht="15" hidden="false" customHeight="false" outlineLevel="0" collapsed="false">
      <c r="A826" s="16"/>
      <c r="B826" s="17"/>
      <c r="C826" s="17"/>
      <c r="D826" s="17"/>
      <c r="E826" s="17"/>
      <c r="F826" s="17"/>
      <c r="G826" s="17"/>
      <c r="H826" s="17"/>
      <c r="I826" s="17"/>
      <c r="J826" s="18" t="str">
        <f aca="false">IF(COUNT(E826:I826)&lt;5,"",SUM(E826:I826))</f>
        <v/>
      </c>
      <c r="K826" s="18" t="str">
        <f aca="false">IF(J826="","",IF(M826&lt;설정!$B$3,"",ROUND(AVERAGEIFS($J$2:$J$1001,$B$2:$B$1001,B826,$A$2:$A$1001,"&lt;"&amp;A826,$A$2:$A$1001,"&gt;="&amp;(A826-설정!$B$2)),2)))</f>
        <v/>
      </c>
      <c r="L826" s="18" t="str">
        <f aca="false">IF(K826="","",ROUND(SQRT(MAX(0,(SUMIFS($R$2:$R$1001,$B$2:$B$1001,B826,$A$2:$A$1001,"&lt;"&amp;A826,$A$2:$A$1001,"&gt;="&amp;(A826-설정!$B$2))-M826*AVERAGEIFS($J$2:$J$1001,$B$2:$B$1001,B826,$A$2:$A$1001,"&lt;"&amp;A826,$A$2:$A$1001,"&gt;="&amp;(A826-설정!$B$2))^2)/(M826-1))),2))</f>
        <v/>
      </c>
      <c r="M826" s="18" t="str">
        <f aca="false">IF(J826="","",COUNTIFS($B$2:$B$1001,B826,$A$2:$A$1001,"&lt;"&amp;A826,$A$2:$A$1001,"&gt;="&amp;(A826-설정!$B$2),$J$2:$J$1001,"&gt;=0"))</f>
        <v/>
      </c>
      <c r="N826" s="18" t="str">
        <f aca="false">IF(K826="","",IF(L826=0,"",ROUND((J826-K826)/L826,2)))</f>
        <v/>
      </c>
      <c r="O826" s="19" t="str">
        <f aca="false">IF(J826="","",IF(MIN(F826,G826)&lt;=설정!$B$5,"예",""))</f>
        <v/>
      </c>
      <c r="P826" s="19" t="str">
        <f aca="false">IF(J826="","",IF(M826&lt;설정!$B$3,"baseline 수집 중",IF(N826="","정상",IF(N826&lt;=설정!$B$4,"낮음","정상"))))</f>
        <v/>
      </c>
      <c r="Q826" s="20"/>
      <c r="R826" s="18" t="str">
        <f aca="false">IF(J826="","",J826^2)</f>
        <v/>
      </c>
    </row>
    <row r="827" customFormat="false" ht="15" hidden="false" customHeight="false" outlineLevel="0" collapsed="false">
      <c r="A827" s="16"/>
      <c r="B827" s="17"/>
      <c r="C827" s="17"/>
      <c r="D827" s="17"/>
      <c r="E827" s="17"/>
      <c r="F827" s="17"/>
      <c r="G827" s="17"/>
      <c r="H827" s="17"/>
      <c r="I827" s="17"/>
      <c r="J827" s="18" t="str">
        <f aca="false">IF(COUNT(E827:I827)&lt;5,"",SUM(E827:I827))</f>
        <v/>
      </c>
      <c r="K827" s="18" t="str">
        <f aca="false">IF(J827="","",IF(M827&lt;설정!$B$3,"",ROUND(AVERAGEIFS($J$2:$J$1001,$B$2:$B$1001,B827,$A$2:$A$1001,"&lt;"&amp;A827,$A$2:$A$1001,"&gt;="&amp;(A827-설정!$B$2)),2)))</f>
        <v/>
      </c>
      <c r="L827" s="18" t="str">
        <f aca="false">IF(K827="","",ROUND(SQRT(MAX(0,(SUMIFS($R$2:$R$1001,$B$2:$B$1001,B827,$A$2:$A$1001,"&lt;"&amp;A827,$A$2:$A$1001,"&gt;="&amp;(A827-설정!$B$2))-M827*AVERAGEIFS($J$2:$J$1001,$B$2:$B$1001,B827,$A$2:$A$1001,"&lt;"&amp;A827,$A$2:$A$1001,"&gt;="&amp;(A827-설정!$B$2))^2)/(M827-1))),2))</f>
        <v/>
      </c>
      <c r="M827" s="18" t="str">
        <f aca="false">IF(J827="","",COUNTIFS($B$2:$B$1001,B827,$A$2:$A$1001,"&lt;"&amp;A827,$A$2:$A$1001,"&gt;="&amp;(A827-설정!$B$2),$J$2:$J$1001,"&gt;=0"))</f>
        <v/>
      </c>
      <c r="N827" s="18" t="str">
        <f aca="false">IF(K827="","",IF(L827=0,"",ROUND((J827-K827)/L827,2)))</f>
        <v/>
      </c>
      <c r="O827" s="19" t="str">
        <f aca="false">IF(J827="","",IF(MIN(F827,G827)&lt;=설정!$B$5,"예",""))</f>
        <v/>
      </c>
      <c r="P827" s="19" t="str">
        <f aca="false">IF(J827="","",IF(M827&lt;설정!$B$3,"baseline 수집 중",IF(N827="","정상",IF(N827&lt;=설정!$B$4,"낮음","정상"))))</f>
        <v/>
      </c>
      <c r="Q827" s="20"/>
      <c r="R827" s="18" t="str">
        <f aca="false">IF(J827="","",J827^2)</f>
        <v/>
      </c>
    </row>
    <row r="828" customFormat="false" ht="15" hidden="false" customHeight="false" outlineLevel="0" collapsed="false">
      <c r="A828" s="16"/>
      <c r="B828" s="17"/>
      <c r="C828" s="17"/>
      <c r="D828" s="17"/>
      <c r="E828" s="17"/>
      <c r="F828" s="17"/>
      <c r="G828" s="17"/>
      <c r="H828" s="17"/>
      <c r="I828" s="17"/>
      <c r="J828" s="18" t="str">
        <f aca="false">IF(COUNT(E828:I828)&lt;5,"",SUM(E828:I828))</f>
        <v/>
      </c>
      <c r="K828" s="18" t="str">
        <f aca="false">IF(J828="","",IF(M828&lt;설정!$B$3,"",ROUND(AVERAGEIFS($J$2:$J$1001,$B$2:$B$1001,B828,$A$2:$A$1001,"&lt;"&amp;A828,$A$2:$A$1001,"&gt;="&amp;(A828-설정!$B$2)),2)))</f>
        <v/>
      </c>
      <c r="L828" s="18" t="str">
        <f aca="false">IF(K828="","",ROUND(SQRT(MAX(0,(SUMIFS($R$2:$R$1001,$B$2:$B$1001,B828,$A$2:$A$1001,"&lt;"&amp;A828,$A$2:$A$1001,"&gt;="&amp;(A828-설정!$B$2))-M828*AVERAGEIFS($J$2:$J$1001,$B$2:$B$1001,B828,$A$2:$A$1001,"&lt;"&amp;A828,$A$2:$A$1001,"&gt;="&amp;(A828-설정!$B$2))^2)/(M828-1))),2))</f>
        <v/>
      </c>
      <c r="M828" s="18" t="str">
        <f aca="false">IF(J828="","",COUNTIFS($B$2:$B$1001,B828,$A$2:$A$1001,"&lt;"&amp;A828,$A$2:$A$1001,"&gt;="&amp;(A828-설정!$B$2),$J$2:$J$1001,"&gt;=0"))</f>
        <v/>
      </c>
      <c r="N828" s="18" t="str">
        <f aca="false">IF(K828="","",IF(L828=0,"",ROUND((J828-K828)/L828,2)))</f>
        <v/>
      </c>
      <c r="O828" s="19" t="str">
        <f aca="false">IF(J828="","",IF(MIN(F828,G828)&lt;=설정!$B$5,"예",""))</f>
        <v/>
      </c>
      <c r="P828" s="19" t="str">
        <f aca="false">IF(J828="","",IF(M828&lt;설정!$B$3,"baseline 수집 중",IF(N828="","정상",IF(N828&lt;=설정!$B$4,"낮음","정상"))))</f>
        <v/>
      </c>
      <c r="Q828" s="20"/>
      <c r="R828" s="18" t="str">
        <f aca="false">IF(J828="","",J828^2)</f>
        <v/>
      </c>
    </row>
    <row r="829" customFormat="false" ht="15" hidden="false" customHeight="false" outlineLevel="0" collapsed="false">
      <c r="A829" s="16"/>
      <c r="B829" s="17"/>
      <c r="C829" s="17"/>
      <c r="D829" s="17"/>
      <c r="E829" s="17"/>
      <c r="F829" s="17"/>
      <c r="G829" s="17"/>
      <c r="H829" s="17"/>
      <c r="I829" s="17"/>
      <c r="J829" s="18" t="str">
        <f aca="false">IF(COUNT(E829:I829)&lt;5,"",SUM(E829:I829))</f>
        <v/>
      </c>
      <c r="K829" s="18" t="str">
        <f aca="false">IF(J829="","",IF(M829&lt;설정!$B$3,"",ROUND(AVERAGEIFS($J$2:$J$1001,$B$2:$B$1001,B829,$A$2:$A$1001,"&lt;"&amp;A829,$A$2:$A$1001,"&gt;="&amp;(A829-설정!$B$2)),2)))</f>
        <v/>
      </c>
      <c r="L829" s="18" t="str">
        <f aca="false">IF(K829="","",ROUND(SQRT(MAX(0,(SUMIFS($R$2:$R$1001,$B$2:$B$1001,B829,$A$2:$A$1001,"&lt;"&amp;A829,$A$2:$A$1001,"&gt;="&amp;(A829-설정!$B$2))-M829*AVERAGEIFS($J$2:$J$1001,$B$2:$B$1001,B829,$A$2:$A$1001,"&lt;"&amp;A829,$A$2:$A$1001,"&gt;="&amp;(A829-설정!$B$2))^2)/(M829-1))),2))</f>
        <v/>
      </c>
      <c r="M829" s="18" t="str">
        <f aca="false">IF(J829="","",COUNTIFS($B$2:$B$1001,B829,$A$2:$A$1001,"&lt;"&amp;A829,$A$2:$A$1001,"&gt;="&amp;(A829-설정!$B$2),$J$2:$J$1001,"&gt;=0"))</f>
        <v/>
      </c>
      <c r="N829" s="18" t="str">
        <f aca="false">IF(K829="","",IF(L829=0,"",ROUND((J829-K829)/L829,2)))</f>
        <v/>
      </c>
      <c r="O829" s="19" t="str">
        <f aca="false">IF(J829="","",IF(MIN(F829,G829)&lt;=설정!$B$5,"예",""))</f>
        <v/>
      </c>
      <c r="P829" s="19" t="str">
        <f aca="false">IF(J829="","",IF(M829&lt;설정!$B$3,"baseline 수집 중",IF(N829="","정상",IF(N829&lt;=설정!$B$4,"낮음","정상"))))</f>
        <v/>
      </c>
      <c r="Q829" s="20"/>
      <c r="R829" s="18" t="str">
        <f aca="false">IF(J829="","",J829^2)</f>
        <v/>
      </c>
    </row>
    <row r="830" customFormat="false" ht="15" hidden="false" customHeight="false" outlineLevel="0" collapsed="false">
      <c r="A830" s="16"/>
      <c r="B830" s="17"/>
      <c r="C830" s="17"/>
      <c r="D830" s="17"/>
      <c r="E830" s="17"/>
      <c r="F830" s="17"/>
      <c r="G830" s="17"/>
      <c r="H830" s="17"/>
      <c r="I830" s="17"/>
      <c r="J830" s="18" t="str">
        <f aca="false">IF(COUNT(E830:I830)&lt;5,"",SUM(E830:I830))</f>
        <v/>
      </c>
      <c r="K830" s="18" t="str">
        <f aca="false">IF(J830="","",IF(M830&lt;설정!$B$3,"",ROUND(AVERAGEIFS($J$2:$J$1001,$B$2:$B$1001,B830,$A$2:$A$1001,"&lt;"&amp;A830,$A$2:$A$1001,"&gt;="&amp;(A830-설정!$B$2)),2)))</f>
        <v/>
      </c>
      <c r="L830" s="18" t="str">
        <f aca="false">IF(K830="","",ROUND(SQRT(MAX(0,(SUMIFS($R$2:$R$1001,$B$2:$B$1001,B830,$A$2:$A$1001,"&lt;"&amp;A830,$A$2:$A$1001,"&gt;="&amp;(A830-설정!$B$2))-M830*AVERAGEIFS($J$2:$J$1001,$B$2:$B$1001,B830,$A$2:$A$1001,"&lt;"&amp;A830,$A$2:$A$1001,"&gt;="&amp;(A830-설정!$B$2))^2)/(M830-1))),2))</f>
        <v/>
      </c>
      <c r="M830" s="18" t="str">
        <f aca="false">IF(J830="","",COUNTIFS($B$2:$B$1001,B830,$A$2:$A$1001,"&lt;"&amp;A830,$A$2:$A$1001,"&gt;="&amp;(A830-설정!$B$2),$J$2:$J$1001,"&gt;=0"))</f>
        <v/>
      </c>
      <c r="N830" s="18" t="str">
        <f aca="false">IF(K830="","",IF(L830=0,"",ROUND((J830-K830)/L830,2)))</f>
        <v/>
      </c>
      <c r="O830" s="19" t="str">
        <f aca="false">IF(J830="","",IF(MIN(F830,G830)&lt;=설정!$B$5,"예",""))</f>
        <v/>
      </c>
      <c r="P830" s="19" t="str">
        <f aca="false">IF(J830="","",IF(M830&lt;설정!$B$3,"baseline 수집 중",IF(N830="","정상",IF(N830&lt;=설정!$B$4,"낮음","정상"))))</f>
        <v/>
      </c>
      <c r="Q830" s="20"/>
      <c r="R830" s="18" t="str">
        <f aca="false">IF(J830="","",J830^2)</f>
        <v/>
      </c>
    </row>
    <row r="831" customFormat="false" ht="15" hidden="false" customHeight="false" outlineLevel="0" collapsed="false">
      <c r="A831" s="16"/>
      <c r="B831" s="17"/>
      <c r="C831" s="17"/>
      <c r="D831" s="17"/>
      <c r="E831" s="17"/>
      <c r="F831" s="17"/>
      <c r="G831" s="17"/>
      <c r="H831" s="17"/>
      <c r="I831" s="17"/>
      <c r="J831" s="18" t="str">
        <f aca="false">IF(COUNT(E831:I831)&lt;5,"",SUM(E831:I831))</f>
        <v/>
      </c>
      <c r="K831" s="18" t="str">
        <f aca="false">IF(J831="","",IF(M831&lt;설정!$B$3,"",ROUND(AVERAGEIFS($J$2:$J$1001,$B$2:$B$1001,B831,$A$2:$A$1001,"&lt;"&amp;A831,$A$2:$A$1001,"&gt;="&amp;(A831-설정!$B$2)),2)))</f>
        <v/>
      </c>
      <c r="L831" s="18" t="str">
        <f aca="false">IF(K831="","",ROUND(SQRT(MAX(0,(SUMIFS($R$2:$R$1001,$B$2:$B$1001,B831,$A$2:$A$1001,"&lt;"&amp;A831,$A$2:$A$1001,"&gt;="&amp;(A831-설정!$B$2))-M831*AVERAGEIFS($J$2:$J$1001,$B$2:$B$1001,B831,$A$2:$A$1001,"&lt;"&amp;A831,$A$2:$A$1001,"&gt;="&amp;(A831-설정!$B$2))^2)/(M831-1))),2))</f>
        <v/>
      </c>
      <c r="M831" s="18" t="str">
        <f aca="false">IF(J831="","",COUNTIFS($B$2:$B$1001,B831,$A$2:$A$1001,"&lt;"&amp;A831,$A$2:$A$1001,"&gt;="&amp;(A831-설정!$B$2),$J$2:$J$1001,"&gt;=0"))</f>
        <v/>
      </c>
      <c r="N831" s="18" t="str">
        <f aca="false">IF(K831="","",IF(L831=0,"",ROUND((J831-K831)/L831,2)))</f>
        <v/>
      </c>
      <c r="O831" s="19" t="str">
        <f aca="false">IF(J831="","",IF(MIN(F831,G831)&lt;=설정!$B$5,"예",""))</f>
        <v/>
      </c>
      <c r="P831" s="19" t="str">
        <f aca="false">IF(J831="","",IF(M831&lt;설정!$B$3,"baseline 수집 중",IF(N831="","정상",IF(N831&lt;=설정!$B$4,"낮음","정상"))))</f>
        <v/>
      </c>
      <c r="Q831" s="20"/>
      <c r="R831" s="18" t="str">
        <f aca="false">IF(J831="","",J831^2)</f>
        <v/>
      </c>
    </row>
    <row r="832" customFormat="false" ht="15" hidden="false" customHeight="false" outlineLevel="0" collapsed="false">
      <c r="A832" s="16"/>
      <c r="B832" s="17"/>
      <c r="C832" s="17"/>
      <c r="D832" s="17"/>
      <c r="E832" s="17"/>
      <c r="F832" s="17"/>
      <c r="G832" s="17"/>
      <c r="H832" s="17"/>
      <c r="I832" s="17"/>
      <c r="J832" s="18" t="str">
        <f aca="false">IF(COUNT(E832:I832)&lt;5,"",SUM(E832:I832))</f>
        <v/>
      </c>
      <c r="K832" s="18" t="str">
        <f aca="false">IF(J832="","",IF(M832&lt;설정!$B$3,"",ROUND(AVERAGEIFS($J$2:$J$1001,$B$2:$B$1001,B832,$A$2:$A$1001,"&lt;"&amp;A832,$A$2:$A$1001,"&gt;="&amp;(A832-설정!$B$2)),2)))</f>
        <v/>
      </c>
      <c r="L832" s="18" t="str">
        <f aca="false">IF(K832="","",ROUND(SQRT(MAX(0,(SUMIFS($R$2:$R$1001,$B$2:$B$1001,B832,$A$2:$A$1001,"&lt;"&amp;A832,$A$2:$A$1001,"&gt;="&amp;(A832-설정!$B$2))-M832*AVERAGEIFS($J$2:$J$1001,$B$2:$B$1001,B832,$A$2:$A$1001,"&lt;"&amp;A832,$A$2:$A$1001,"&gt;="&amp;(A832-설정!$B$2))^2)/(M832-1))),2))</f>
        <v/>
      </c>
      <c r="M832" s="18" t="str">
        <f aca="false">IF(J832="","",COUNTIFS($B$2:$B$1001,B832,$A$2:$A$1001,"&lt;"&amp;A832,$A$2:$A$1001,"&gt;="&amp;(A832-설정!$B$2),$J$2:$J$1001,"&gt;=0"))</f>
        <v/>
      </c>
      <c r="N832" s="18" t="str">
        <f aca="false">IF(K832="","",IF(L832=0,"",ROUND((J832-K832)/L832,2)))</f>
        <v/>
      </c>
      <c r="O832" s="19" t="str">
        <f aca="false">IF(J832="","",IF(MIN(F832,G832)&lt;=설정!$B$5,"예",""))</f>
        <v/>
      </c>
      <c r="P832" s="19" t="str">
        <f aca="false">IF(J832="","",IF(M832&lt;설정!$B$3,"baseline 수집 중",IF(N832="","정상",IF(N832&lt;=설정!$B$4,"낮음","정상"))))</f>
        <v/>
      </c>
      <c r="Q832" s="20"/>
      <c r="R832" s="18" t="str">
        <f aca="false">IF(J832="","",J832^2)</f>
        <v/>
      </c>
    </row>
    <row r="833" customFormat="false" ht="15" hidden="false" customHeight="false" outlineLevel="0" collapsed="false">
      <c r="A833" s="16"/>
      <c r="B833" s="17"/>
      <c r="C833" s="17"/>
      <c r="D833" s="17"/>
      <c r="E833" s="17"/>
      <c r="F833" s="17"/>
      <c r="G833" s="17"/>
      <c r="H833" s="17"/>
      <c r="I833" s="17"/>
      <c r="J833" s="18" t="str">
        <f aca="false">IF(COUNT(E833:I833)&lt;5,"",SUM(E833:I833))</f>
        <v/>
      </c>
      <c r="K833" s="18" t="str">
        <f aca="false">IF(J833="","",IF(M833&lt;설정!$B$3,"",ROUND(AVERAGEIFS($J$2:$J$1001,$B$2:$B$1001,B833,$A$2:$A$1001,"&lt;"&amp;A833,$A$2:$A$1001,"&gt;="&amp;(A833-설정!$B$2)),2)))</f>
        <v/>
      </c>
      <c r="L833" s="18" t="str">
        <f aca="false">IF(K833="","",ROUND(SQRT(MAX(0,(SUMIFS($R$2:$R$1001,$B$2:$B$1001,B833,$A$2:$A$1001,"&lt;"&amp;A833,$A$2:$A$1001,"&gt;="&amp;(A833-설정!$B$2))-M833*AVERAGEIFS($J$2:$J$1001,$B$2:$B$1001,B833,$A$2:$A$1001,"&lt;"&amp;A833,$A$2:$A$1001,"&gt;="&amp;(A833-설정!$B$2))^2)/(M833-1))),2))</f>
        <v/>
      </c>
      <c r="M833" s="18" t="str">
        <f aca="false">IF(J833="","",COUNTIFS($B$2:$B$1001,B833,$A$2:$A$1001,"&lt;"&amp;A833,$A$2:$A$1001,"&gt;="&amp;(A833-설정!$B$2),$J$2:$J$1001,"&gt;=0"))</f>
        <v/>
      </c>
      <c r="N833" s="18" t="str">
        <f aca="false">IF(K833="","",IF(L833=0,"",ROUND((J833-K833)/L833,2)))</f>
        <v/>
      </c>
      <c r="O833" s="19" t="str">
        <f aca="false">IF(J833="","",IF(MIN(F833,G833)&lt;=설정!$B$5,"예",""))</f>
        <v/>
      </c>
      <c r="P833" s="19" t="str">
        <f aca="false">IF(J833="","",IF(M833&lt;설정!$B$3,"baseline 수집 중",IF(N833="","정상",IF(N833&lt;=설정!$B$4,"낮음","정상"))))</f>
        <v/>
      </c>
      <c r="Q833" s="20"/>
      <c r="R833" s="18" t="str">
        <f aca="false">IF(J833="","",J833^2)</f>
        <v/>
      </c>
    </row>
    <row r="834" customFormat="false" ht="15" hidden="false" customHeight="false" outlineLevel="0" collapsed="false">
      <c r="A834" s="16"/>
      <c r="B834" s="17"/>
      <c r="C834" s="17"/>
      <c r="D834" s="17"/>
      <c r="E834" s="17"/>
      <c r="F834" s="17"/>
      <c r="G834" s="17"/>
      <c r="H834" s="17"/>
      <c r="I834" s="17"/>
      <c r="J834" s="18" t="str">
        <f aca="false">IF(COUNT(E834:I834)&lt;5,"",SUM(E834:I834))</f>
        <v/>
      </c>
      <c r="K834" s="18" t="str">
        <f aca="false">IF(J834="","",IF(M834&lt;설정!$B$3,"",ROUND(AVERAGEIFS($J$2:$J$1001,$B$2:$B$1001,B834,$A$2:$A$1001,"&lt;"&amp;A834,$A$2:$A$1001,"&gt;="&amp;(A834-설정!$B$2)),2)))</f>
        <v/>
      </c>
      <c r="L834" s="18" t="str">
        <f aca="false">IF(K834="","",ROUND(SQRT(MAX(0,(SUMIFS($R$2:$R$1001,$B$2:$B$1001,B834,$A$2:$A$1001,"&lt;"&amp;A834,$A$2:$A$1001,"&gt;="&amp;(A834-설정!$B$2))-M834*AVERAGEIFS($J$2:$J$1001,$B$2:$B$1001,B834,$A$2:$A$1001,"&lt;"&amp;A834,$A$2:$A$1001,"&gt;="&amp;(A834-설정!$B$2))^2)/(M834-1))),2))</f>
        <v/>
      </c>
      <c r="M834" s="18" t="str">
        <f aca="false">IF(J834="","",COUNTIFS($B$2:$B$1001,B834,$A$2:$A$1001,"&lt;"&amp;A834,$A$2:$A$1001,"&gt;="&amp;(A834-설정!$B$2),$J$2:$J$1001,"&gt;=0"))</f>
        <v/>
      </c>
      <c r="N834" s="18" t="str">
        <f aca="false">IF(K834="","",IF(L834=0,"",ROUND((J834-K834)/L834,2)))</f>
        <v/>
      </c>
      <c r="O834" s="19" t="str">
        <f aca="false">IF(J834="","",IF(MIN(F834,G834)&lt;=설정!$B$5,"예",""))</f>
        <v/>
      </c>
      <c r="P834" s="19" t="str">
        <f aca="false">IF(J834="","",IF(M834&lt;설정!$B$3,"baseline 수집 중",IF(N834="","정상",IF(N834&lt;=설정!$B$4,"낮음","정상"))))</f>
        <v/>
      </c>
      <c r="Q834" s="20"/>
      <c r="R834" s="18" t="str">
        <f aca="false">IF(J834="","",J834^2)</f>
        <v/>
      </c>
    </row>
    <row r="835" customFormat="false" ht="15" hidden="false" customHeight="false" outlineLevel="0" collapsed="false">
      <c r="A835" s="16"/>
      <c r="B835" s="17"/>
      <c r="C835" s="17"/>
      <c r="D835" s="17"/>
      <c r="E835" s="17"/>
      <c r="F835" s="17"/>
      <c r="G835" s="17"/>
      <c r="H835" s="17"/>
      <c r="I835" s="17"/>
      <c r="J835" s="18" t="str">
        <f aca="false">IF(COUNT(E835:I835)&lt;5,"",SUM(E835:I835))</f>
        <v/>
      </c>
      <c r="K835" s="18" t="str">
        <f aca="false">IF(J835="","",IF(M835&lt;설정!$B$3,"",ROUND(AVERAGEIFS($J$2:$J$1001,$B$2:$B$1001,B835,$A$2:$A$1001,"&lt;"&amp;A835,$A$2:$A$1001,"&gt;="&amp;(A835-설정!$B$2)),2)))</f>
        <v/>
      </c>
      <c r="L835" s="18" t="str">
        <f aca="false">IF(K835="","",ROUND(SQRT(MAX(0,(SUMIFS($R$2:$R$1001,$B$2:$B$1001,B835,$A$2:$A$1001,"&lt;"&amp;A835,$A$2:$A$1001,"&gt;="&amp;(A835-설정!$B$2))-M835*AVERAGEIFS($J$2:$J$1001,$B$2:$B$1001,B835,$A$2:$A$1001,"&lt;"&amp;A835,$A$2:$A$1001,"&gt;="&amp;(A835-설정!$B$2))^2)/(M835-1))),2))</f>
        <v/>
      </c>
      <c r="M835" s="18" t="str">
        <f aca="false">IF(J835="","",COUNTIFS($B$2:$B$1001,B835,$A$2:$A$1001,"&lt;"&amp;A835,$A$2:$A$1001,"&gt;="&amp;(A835-설정!$B$2),$J$2:$J$1001,"&gt;=0"))</f>
        <v/>
      </c>
      <c r="N835" s="18" t="str">
        <f aca="false">IF(K835="","",IF(L835=0,"",ROUND((J835-K835)/L835,2)))</f>
        <v/>
      </c>
      <c r="O835" s="19" t="str">
        <f aca="false">IF(J835="","",IF(MIN(F835,G835)&lt;=설정!$B$5,"예",""))</f>
        <v/>
      </c>
      <c r="P835" s="19" t="str">
        <f aca="false">IF(J835="","",IF(M835&lt;설정!$B$3,"baseline 수집 중",IF(N835="","정상",IF(N835&lt;=설정!$B$4,"낮음","정상"))))</f>
        <v/>
      </c>
      <c r="Q835" s="20"/>
      <c r="R835" s="18" t="str">
        <f aca="false">IF(J835="","",J835^2)</f>
        <v/>
      </c>
    </row>
    <row r="836" customFormat="false" ht="15" hidden="false" customHeight="false" outlineLevel="0" collapsed="false">
      <c r="A836" s="16"/>
      <c r="B836" s="17"/>
      <c r="C836" s="17"/>
      <c r="D836" s="17"/>
      <c r="E836" s="17"/>
      <c r="F836" s="17"/>
      <c r="G836" s="17"/>
      <c r="H836" s="17"/>
      <c r="I836" s="17"/>
      <c r="J836" s="18" t="str">
        <f aca="false">IF(COUNT(E836:I836)&lt;5,"",SUM(E836:I836))</f>
        <v/>
      </c>
      <c r="K836" s="18" t="str">
        <f aca="false">IF(J836="","",IF(M836&lt;설정!$B$3,"",ROUND(AVERAGEIFS($J$2:$J$1001,$B$2:$B$1001,B836,$A$2:$A$1001,"&lt;"&amp;A836,$A$2:$A$1001,"&gt;="&amp;(A836-설정!$B$2)),2)))</f>
        <v/>
      </c>
      <c r="L836" s="18" t="str">
        <f aca="false">IF(K836="","",ROUND(SQRT(MAX(0,(SUMIFS($R$2:$R$1001,$B$2:$B$1001,B836,$A$2:$A$1001,"&lt;"&amp;A836,$A$2:$A$1001,"&gt;="&amp;(A836-설정!$B$2))-M836*AVERAGEIFS($J$2:$J$1001,$B$2:$B$1001,B836,$A$2:$A$1001,"&lt;"&amp;A836,$A$2:$A$1001,"&gt;="&amp;(A836-설정!$B$2))^2)/(M836-1))),2))</f>
        <v/>
      </c>
      <c r="M836" s="18" t="str">
        <f aca="false">IF(J836="","",COUNTIFS($B$2:$B$1001,B836,$A$2:$A$1001,"&lt;"&amp;A836,$A$2:$A$1001,"&gt;="&amp;(A836-설정!$B$2),$J$2:$J$1001,"&gt;=0"))</f>
        <v/>
      </c>
      <c r="N836" s="18" t="str">
        <f aca="false">IF(K836="","",IF(L836=0,"",ROUND((J836-K836)/L836,2)))</f>
        <v/>
      </c>
      <c r="O836" s="19" t="str">
        <f aca="false">IF(J836="","",IF(MIN(F836,G836)&lt;=설정!$B$5,"예",""))</f>
        <v/>
      </c>
      <c r="P836" s="19" t="str">
        <f aca="false">IF(J836="","",IF(M836&lt;설정!$B$3,"baseline 수집 중",IF(N836="","정상",IF(N836&lt;=설정!$B$4,"낮음","정상"))))</f>
        <v/>
      </c>
      <c r="Q836" s="20"/>
      <c r="R836" s="18" t="str">
        <f aca="false">IF(J836="","",J836^2)</f>
        <v/>
      </c>
    </row>
    <row r="837" customFormat="false" ht="15" hidden="false" customHeight="false" outlineLevel="0" collapsed="false">
      <c r="A837" s="16"/>
      <c r="B837" s="17"/>
      <c r="C837" s="17"/>
      <c r="D837" s="17"/>
      <c r="E837" s="17"/>
      <c r="F837" s="17"/>
      <c r="G837" s="17"/>
      <c r="H837" s="17"/>
      <c r="I837" s="17"/>
      <c r="J837" s="18" t="str">
        <f aca="false">IF(COUNT(E837:I837)&lt;5,"",SUM(E837:I837))</f>
        <v/>
      </c>
      <c r="K837" s="18" t="str">
        <f aca="false">IF(J837="","",IF(M837&lt;설정!$B$3,"",ROUND(AVERAGEIFS($J$2:$J$1001,$B$2:$B$1001,B837,$A$2:$A$1001,"&lt;"&amp;A837,$A$2:$A$1001,"&gt;="&amp;(A837-설정!$B$2)),2)))</f>
        <v/>
      </c>
      <c r="L837" s="18" t="str">
        <f aca="false">IF(K837="","",ROUND(SQRT(MAX(0,(SUMIFS($R$2:$R$1001,$B$2:$B$1001,B837,$A$2:$A$1001,"&lt;"&amp;A837,$A$2:$A$1001,"&gt;="&amp;(A837-설정!$B$2))-M837*AVERAGEIFS($J$2:$J$1001,$B$2:$B$1001,B837,$A$2:$A$1001,"&lt;"&amp;A837,$A$2:$A$1001,"&gt;="&amp;(A837-설정!$B$2))^2)/(M837-1))),2))</f>
        <v/>
      </c>
      <c r="M837" s="18" t="str">
        <f aca="false">IF(J837="","",COUNTIFS($B$2:$B$1001,B837,$A$2:$A$1001,"&lt;"&amp;A837,$A$2:$A$1001,"&gt;="&amp;(A837-설정!$B$2),$J$2:$J$1001,"&gt;=0"))</f>
        <v/>
      </c>
      <c r="N837" s="18" t="str">
        <f aca="false">IF(K837="","",IF(L837=0,"",ROUND((J837-K837)/L837,2)))</f>
        <v/>
      </c>
      <c r="O837" s="19" t="str">
        <f aca="false">IF(J837="","",IF(MIN(F837,G837)&lt;=설정!$B$5,"예",""))</f>
        <v/>
      </c>
      <c r="P837" s="19" t="str">
        <f aca="false">IF(J837="","",IF(M837&lt;설정!$B$3,"baseline 수집 중",IF(N837="","정상",IF(N837&lt;=설정!$B$4,"낮음","정상"))))</f>
        <v/>
      </c>
      <c r="Q837" s="20"/>
      <c r="R837" s="18" t="str">
        <f aca="false">IF(J837="","",J837^2)</f>
        <v/>
      </c>
    </row>
    <row r="838" customFormat="false" ht="15" hidden="false" customHeight="false" outlineLevel="0" collapsed="false">
      <c r="A838" s="16"/>
      <c r="B838" s="17"/>
      <c r="C838" s="17"/>
      <c r="D838" s="17"/>
      <c r="E838" s="17"/>
      <c r="F838" s="17"/>
      <c r="G838" s="17"/>
      <c r="H838" s="17"/>
      <c r="I838" s="17"/>
      <c r="J838" s="18" t="str">
        <f aca="false">IF(COUNT(E838:I838)&lt;5,"",SUM(E838:I838))</f>
        <v/>
      </c>
      <c r="K838" s="18" t="str">
        <f aca="false">IF(J838="","",IF(M838&lt;설정!$B$3,"",ROUND(AVERAGEIFS($J$2:$J$1001,$B$2:$B$1001,B838,$A$2:$A$1001,"&lt;"&amp;A838,$A$2:$A$1001,"&gt;="&amp;(A838-설정!$B$2)),2)))</f>
        <v/>
      </c>
      <c r="L838" s="18" t="str">
        <f aca="false">IF(K838="","",ROUND(SQRT(MAX(0,(SUMIFS($R$2:$R$1001,$B$2:$B$1001,B838,$A$2:$A$1001,"&lt;"&amp;A838,$A$2:$A$1001,"&gt;="&amp;(A838-설정!$B$2))-M838*AVERAGEIFS($J$2:$J$1001,$B$2:$B$1001,B838,$A$2:$A$1001,"&lt;"&amp;A838,$A$2:$A$1001,"&gt;="&amp;(A838-설정!$B$2))^2)/(M838-1))),2))</f>
        <v/>
      </c>
      <c r="M838" s="18" t="str">
        <f aca="false">IF(J838="","",COUNTIFS($B$2:$B$1001,B838,$A$2:$A$1001,"&lt;"&amp;A838,$A$2:$A$1001,"&gt;="&amp;(A838-설정!$B$2),$J$2:$J$1001,"&gt;=0"))</f>
        <v/>
      </c>
      <c r="N838" s="18" t="str">
        <f aca="false">IF(K838="","",IF(L838=0,"",ROUND((J838-K838)/L838,2)))</f>
        <v/>
      </c>
      <c r="O838" s="19" t="str">
        <f aca="false">IF(J838="","",IF(MIN(F838,G838)&lt;=설정!$B$5,"예",""))</f>
        <v/>
      </c>
      <c r="P838" s="19" t="str">
        <f aca="false">IF(J838="","",IF(M838&lt;설정!$B$3,"baseline 수집 중",IF(N838="","정상",IF(N838&lt;=설정!$B$4,"낮음","정상"))))</f>
        <v/>
      </c>
      <c r="Q838" s="20"/>
      <c r="R838" s="18" t="str">
        <f aca="false">IF(J838="","",J838^2)</f>
        <v/>
      </c>
    </row>
    <row r="839" customFormat="false" ht="15" hidden="false" customHeight="false" outlineLevel="0" collapsed="false">
      <c r="A839" s="16"/>
      <c r="B839" s="17"/>
      <c r="C839" s="17"/>
      <c r="D839" s="17"/>
      <c r="E839" s="17"/>
      <c r="F839" s="17"/>
      <c r="G839" s="17"/>
      <c r="H839" s="17"/>
      <c r="I839" s="17"/>
      <c r="J839" s="18" t="str">
        <f aca="false">IF(COUNT(E839:I839)&lt;5,"",SUM(E839:I839))</f>
        <v/>
      </c>
      <c r="K839" s="18" t="str">
        <f aca="false">IF(J839="","",IF(M839&lt;설정!$B$3,"",ROUND(AVERAGEIFS($J$2:$J$1001,$B$2:$B$1001,B839,$A$2:$A$1001,"&lt;"&amp;A839,$A$2:$A$1001,"&gt;="&amp;(A839-설정!$B$2)),2)))</f>
        <v/>
      </c>
      <c r="L839" s="18" t="str">
        <f aca="false">IF(K839="","",ROUND(SQRT(MAX(0,(SUMIFS($R$2:$R$1001,$B$2:$B$1001,B839,$A$2:$A$1001,"&lt;"&amp;A839,$A$2:$A$1001,"&gt;="&amp;(A839-설정!$B$2))-M839*AVERAGEIFS($J$2:$J$1001,$B$2:$B$1001,B839,$A$2:$A$1001,"&lt;"&amp;A839,$A$2:$A$1001,"&gt;="&amp;(A839-설정!$B$2))^2)/(M839-1))),2))</f>
        <v/>
      </c>
      <c r="M839" s="18" t="str">
        <f aca="false">IF(J839="","",COUNTIFS($B$2:$B$1001,B839,$A$2:$A$1001,"&lt;"&amp;A839,$A$2:$A$1001,"&gt;="&amp;(A839-설정!$B$2),$J$2:$J$1001,"&gt;=0"))</f>
        <v/>
      </c>
      <c r="N839" s="18" t="str">
        <f aca="false">IF(K839="","",IF(L839=0,"",ROUND((J839-K839)/L839,2)))</f>
        <v/>
      </c>
      <c r="O839" s="19" t="str">
        <f aca="false">IF(J839="","",IF(MIN(F839,G839)&lt;=설정!$B$5,"예",""))</f>
        <v/>
      </c>
      <c r="P839" s="19" t="str">
        <f aca="false">IF(J839="","",IF(M839&lt;설정!$B$3,"baseline 수집 중",IF(N839="","정상",IF(N839&lt;=설정!$B$4,"낮음","정상"))))</f>
        <v/>
      </c>
      <c r="Q839" s="20"/>
      <c r="R839" s="18" t="str">
        <f aca="false">IF(J839="","",J839^2)</f>
        <v/>
      </c>
    </row>
    <row r="840" customFormat="false" ht="15" hidden="false" customHeight="false" outlineLevel="0" collapsed="false">
      <c r="A840" s="16"/>
      <c r="B840" s="17"/>
      <c r="C840" s="17"/>
      <c r="D840" s="17"/>
      <c r="E840" s="17"/>
      <c r="F840" s="17"/>
      <c r="G840" s="17"/>
      <c r="H840" s="17"/>
      <c r="I840" s="17"/>
      <c r="J840" s="18" t="str">
        <f aca="false">IF(COUNT(E840:I840)&lt;5,"",SUM(E840:I840))</f>
        <v/>
      </c>
      <c r="K840" s="18" t="str">
        <f aca="false">IF(J840="","",IF(M840&lt;설정!$B$3,"",ROUND(AVERAGEIFS($J$2:$J$1001,$B$2:$B$1001,B840,$A$2:$A$1001,"&lt;"&amp;A840,$A$2:$A$1001,"&gt;="&amp;(A840-설정!$B$2)),2)))</f>
        <v/>
      </c>
      <c r="L840" s="18" t="str">
        <f aca="false">IF(K840="","",ROUND(SQRT(MAX(0,(SUMIFS($R$2:$R$1001,$B$2:$B$1001,B840,$A$2:$A$1001,"&lt;"&amp;A840,$A$2:$A$1001,"&gt;="&amp;(A840-설정!$B$2))-M840*AVERAGEIFS($J$2:$J$1001,$B$2:$B$1001,B840,$A$2:$A$1001,"&lt;"&amp;A840,$A$2:$A$1001,"&gt;="&amp;(A840-설정!$B$2))^2)/(M840-1))),2))</f>
        <v/>
      </c>
      <c r="M840" s="18" t="str">
        <f aca="false">IF(J840="","",COUNTIFS($B$2:$B$1001,B840,$A$2:$A$1001,"&lt;"&amp;A840,$A$2:$A$1001,"&gt;="&amp;(A840-설정!$B$2),$J$2:$J$1001,"&gt;=0"))</f>
        <v/>
      </c>
      <c r="N840" s="18" t="str">
        <f aca="false">IF(K840="","",IF(L840=0,"",ROUND((J840-K840)/L840,2)))</f>
        <v/>
      </c>
      <c r="O840" s="19" t="str">
        <f aca="false">IF(J840="","",IF(MIN(F840,G840)&lt;=설정!$B$5,"예",""))</f>
        <v/>
      </c>
      <c r="P840" s="19" t="str">
        <f aca="false">IF(J840="","",IF(M840&lt;설정!$B$3,"baseline 수집 중",IF(N840="","정상",IF(N840&lt;=설정!$B$4,"낮음","정상"))))</f>
        <v/>
      </c>
      <c r="Q840" s="20"/>
      <c r="R840" s="18" t="str">
        <f aca="false">IF(J840="","",J840^2)</f>
        <v/>
      </c>
    </row>
    <row r="841" customFormat="false" ht="15" hidden="false" customHeight="false" outlineLevel="0" collapsed="false">
      <c r="A841" s="16"/>
      <c r="B841" s="17"/>
      <c r="C841" s="17"/>
      <c r="D841" s="17"/>
      <c r="E841" s="17"/>
      <c r="F841" s="17"/>
      <c r="G841" s="17"/>
      <c r="H841" s="17"/>
      <c r="I841" s="17"/>
      <c r="J841" s="18" t="str">
        <f aca="false">IF(COUNT(E841:I841)&lt;5,"",SUM(E841:I841))</f>
        <v/>
      </c>
      <c r="K841" s="18" t="str">
        <f aca="false">IF(J841="","",IF(M841&lt;설정!$B$3,"",ROUND(AVERAGEIFS($J$2:$J$1001,$B$2:$B$1001,B841,$A$2:$A$1001,"&lt;"&amp;A841,$A$2:$A$1001,"&gt;="&amp;(A841-설정!$B$2)),2)))</f>
        <v/>
      </c>
      <c r="L841" s="18" t="str">
        <f aca="false">IF(K841="","",ROUND(SQRT(MAX(0,(SUMIFS($R$2:$R$1001,$B$2:$B$1001,B841,$A$2:$A$1001,"&lt;"&amp;A841,$A$2:$A$1001,"&gt;="&amp;(A841-설정!$B$2))-M841*AVERAGEIFS($J$2:$J$1001,$B$2:$B$1001,B841,$A$2:$A$1001,"&lt;"&amp;A841,$A$2:$A$1001,"&gt;="&amp;(A841-설정!$B$2))^2)/(M841-1))),2))</f>
        <v/>
      </c>
      <c r="M841" s="18" t="str">
        <f aca="false">IF(J841="","",COUNTIFS($B$2:$B$1001,B841,$A$2:$A$1001,"&lt;"&amp;A841,$A$2:$A$1001,"&gt;="&amp;(A841-설정!$B$2),$J$2:$J$1001,"&gt;=0"))</f>
        <v/>
      </c>
      <c r="N841" s="18" t="str">
        <f aca="false">IF(K841="","",IF(L841=0,"",ROUND((J841-K841)/L841,2)))</f>
        <v/>
      </c>
      <c r="O841" s="19" t="str">
        <f aca="false">IF(J841="","",IF(MIN(F841,G841)&lt;=설정!$B$5,"예",""))</f>
        <v/>
      </c>
      <c r="P841" s="19" t="str">
        <f aca="false">IF(J841="","",IF(M841&lt;설정!$B$3,"baseline 수집 중",IF(N841="","정상",IF(N841&lt;=설정!$B$4,"낮음","정상"))))</f>
        <v/>
      </c>
      <c r="Q841" s="20"/>
      <c r="R841" s="18" t="str">
        <f aca="false">IF(J841="","",J841^2)</f>
        <v/>
      </c>
    </row>
    <row r="842" customFormat="false" ht="15" hidden="false" customHeight="false" outlineLevel="0" collapsed="false">
      <c r="A842" s="16"/>
      <c r="B842" s="17"/>
      <c r="C842" s="17"/>
      <c r="D842" s="17"/>
      <c r="E842" s="17"/>
      <c r="F842" s="17"/>
      <c r="G842" s="17"/>
      <c r="H842" s="17"/>
      <c r="I842" s="17"/>
      <c r="J842" s="18" t="str">
        <f aca="false">IF(COUNT(E842:I842)&lt;5,"",SUM(E842:I842))</f>
        <v/>
      </c>
      <c r="K842" s="18" t="str">
        <f aca="false">IF(J842="","",IF(M842&lt;설정!$B$3,"",ROUND(AVERAGEIFS($J$2:$J$1001,$B$2:$B$1001,B842,$A$2:$A$1001,"&lt;"&amp;A842,$A$2:$A$1001,"&gt;="&amp;(A842-설정!$B$2)),2)))</f>
        <v/>
      </c>
      <c r="L842" s="18" t="str">
        <f aca="false">IF(K842="","",ROUND(SQRT(MAX(0,(SUMIFS($R$2:$R$1001,$B$2:$B$1001,B842,$A$2:$A$1001,"&lt;"&amp;A842,$A$2:$A$1001,"&gt;="&amp;(A842-설정!$B$2))-M842*AVERAGEIFS($J$2:$J$1001,$B$2:$B$1001,B842,$A$2:$A$1001,"&lt;"&amp;A842,$A$2:$A$1001,"&gt;="&amp;(A842-설정!$B$2))^2)/(M842-1))),2))</f>
        <v/>
      </c>
      <c r="M842" s="18" t="str">
        <f aca="false">IF(J842="","",COUNTIFS($B$2:$B$1001,B842,$A$2:$A$1001,"&lt;"&amp;A842,$A$2:$A$1001,"&gt;="&amp;(A842-설정!$B$2),$J$2:$J$1001,"&gt;=0"))</f>
        <v/>
      </c>
      <c r="N842" s="18" t="str">
        <f aca="false">IF(K842="","",IF(L842=0,"",ROUND((J842-K842)/L842,2)))</f>
        <v/>
      </c>
      <c r="O842" s="19" t="str">
        <f aca="false">IF(J842="","",IF(MIN(F842,G842)&lt;=설정!$B$5,"예",""))</f>
        <v/>
      </c>
      <c r="P842" s="19" t="str">
        <f aca="false">IF(J842="","",IF(M842&lt;설정!$B$3,"baseline 수집 중",IF(N842="","정상",IF(N842&lt;=설정!$B$4,"낮음","정상"))))</f>
        <v/>
      </c>
      <c r="Q842" s="20"/>
      <c r="R842" s="18" t="str">
        <f aca="false">IF(J842="","",J842^2)</f>
        <v/>
      </c>
    </row>
    <row r="843" customFormat="false" ht="15" hidden="false" customHeight="false" outlineLevel="0" collapsed="false">
      <c r="A843" s="16"/>
      <c r="B843" s="17"/>
      <c r="C843" s="17"/>
      <c r="D843" s="17"/>
      <c r="E843" s="17"/>
      <c r="F843" s="17"/>
      <c r="G843" s="17"/>
      <c r="H843" s="17"/>
      <c r="I843" s="17"/>
      <c r="J843" s="18" t="str">
        <f aca="false">IF(COUNT(E843:I843)&lt;5,"",SUM(E843:I843))</f>
        <v/>
      </c>
      <c r="K843" s="18" t="str">
        <f aca="false">IF(J843="","",IF(M843&lt;설정!$B$3,"",ROUND(AVERAGEIFS($J$2:$J$1001,$B$2:$B$1001,B843,$A$2:$A$1001,"&lt;"&amp;A843,$A$2:$A$1001,"&gt;="&amp;(A843-설정!$B$2)),2)))</f>
        <v/>
      </c>
      <c r="L843" s="18" t="str">
        <f aca="false">IF(K843="","",ROUND(SQRT(MAX(0,(SUMIFS($R$2:$R$1001,$B$2:$B$1001,B843,$A$2:$A$1001,"&lt;"&amp;A843,$A$2:$A$1001,"&gt;="&amp;(A843-설정!$B$2))-M843*AVERAGEIFS($J$2:$J$1001,$B$2:$B$1001,B843,$A$2:$A$1001,"&lt;"&amp;A843,$A$2:$A$1001,"&gt;="&amp;(A843-설정!$B$2))^2)/(M843-1))),2))</f>
        <v/>
      </c>
      <c r="M843" s="18" t="str">
        <f aca="false">IF(J843="","",COUNTIFS($B$2:$B$1001,B843,$A$2:$A$1001,"&lt;"&amp;A843,$A$2:$A$1001,"&gt;="&amp;(A843-설정!$B$2),$J$2:$J$1001,"&gt;=0"))</f>
        <v/>
      </c>
      <c r="N843" s="18" t="str">
        <f aca="false">IF(K843="","",IF(L843=0,"",ROUND((J843-K843)/L843,2)))</f>
        <v/>
      </c>
      <c r="O843" s="19" t="str">
        <f aca="false">IF(J843="","",IF(MIN(F843,G843)&lt;=설정!$B$5,"예",""))</f>
        <v/>
      </c>
      <c r="P843" s="19" t="str">
        <f aca="false">IF(J843="","",IF(M843&lt;설정!$B$3,"baseline 수집 중",IF(N843="","정상",IF(N843&lt;=설정!$B$4,"낮음","정상"))))</f>
        <v/>
      </c>
      <c r="Q843" s="20"/>
      <c r="R843" s="18" t="str">
        <f aca="false">IF(J843="","",J843^2)</f>
        <v/>
      </c>
    </row>
    <row r="844" customFormat="false" ht="15" hidden="false" customHeight="false" outlineLevel="0" collapsed="false">
      <c r="A844" s="16"/>
      <c r="B844" s="17"/>
      <c r="C844" s="17"/>
      <c r="D844" s="17"/>
      <c r="E844" s="17"/>
      <c r="F844" s="17"/>
      <c r="G844" s="17"/>
      <c r="H844" s="17"/>
      <c r="I844" s="17"/>
      <c r="J844" s="18" t="str">
        <f aca="false">IF(COUNT(E844:I844)&lt;5,"",SUM(E844:I844))</f>
        <v/>
      </c>
      <c r="K844" s="18" t="str">
        <f aca="false">IF(J844="","",IF(M844&lt;설정!$B$3,"",ROUND(AVERAGEIFS($J$2:$J$1001,$B$2:$B$1001,B844,$A$2:$A$1001,"&lt;"&amp;A844,$A$2:$A$1001,"&gt;="&amp;(A844-설정!$B$2)),2)))</f>
        <v/>
      </c>
      <c r="L844" s="18" t="str">
        <f aca="false">IF(K844="","",ROUND(SQRT(MAX(0,(SUMIFS($R$2:$R$1001,$B$2:$B$1001,B844,$A$2:$A$1001,"&lt;"&amp;A844,$A$2:$A$1001,"&gt;="&amp;(A844-설정!$B$2))-M844*AVERAGEIFS($J$2:$J$1001,$B$2:$B$1001,B844,$A$2:$A$1001,"&lt;"&amp;A844,$A$2:$A$1001,"&gt;="&amp;(A844-설정!$B$2))^2)/(M844-1))),2))</f>
        <v/>
      </c>
      <c r="M844" s="18" t="str">
        <f aca="false">IF(J844="","",COUNTIFS($B$2:$B$1001,B844,$A$2:$A$1001,"&lt;"&amp;A844,$A$2:$A$1001,"&gt;="&amp;(A844-설정!$B$2),$J$2:$J$1001,"&gt;=0"))</f>
        <v/>
      </c>
      <c r="N844" s="18" t="str">
        <f aca="false">IF(K844="","",IF(L844=0,"",ROUND((J844-K844)/L844,2)))</f>
        <v/>
      </c>
      <c r="O844" s="19" t="str">
        <f aca="false">IF(J844="","",IF(MIN(F844,G844)&lt;=설정!$B$5,"예",""))</f>
        <v/>
      </c>
      <c r="P844" s="19" t="str">
        <f aca="false">IF(J844="","",IF(M844&lt;설정!$B$3,"baseline 수집 중",IF(N844="","정상",IF(N844&lt;=설정!$B$4,"낮음","정상"))))</f>
        <v/>
      </c>
      <c r="Q844" s="20"/>
      <c r="R844" s="18" t="str">
        <f aca="false">IF(J844="","",J844^2)</f>
        <v/>
      </c>
    </row>
    <row r="845" customFormat="false" ht="15" hidden="false" customHeight="false" outlineLevel="0" collapsed="false">
      <c r="A845" s="16"/>
      <c r="B845" s="17"/>
      <c r="C845" s="17"/>
      <c r="D845" s="17"/>
      <c r="E845" s="17"/>
      <c r="F845" s="17"/>
      <c r="G845" s="17"/>
      <c r="H845" s="17"/>
      <c r="I845" s="17"/>
      <c r="J845" s="18" t="str">
        <f aca="false">IF(COUNT(E845:I845)&lt;5,"",SUM(E845:I845))</f>
        <v/>
      </c>
      <c r="K845" s="18" t="str">
        <f aca="false">IF(J845="","",IF(M845&lt;설정!$B$3,"",ROUND(AVERAGEIFS($J$2:$J$1001,$B$2:$B$1001,B845,$A$2:$A$1001,"&lt;"&amp;A845,$A$2:$A$1001,"&gt;="&amp;(A845-설정!$B$2)),2)))</f>
        <v/>
      </c>
      <c r="L845" s="18" t="str">
        <f aca="false">IF(K845="","",ROUND(SQRT(MAX(0,(SUMIFS($R$2:$R$1001,$B$2:$B$1001,B845,$A$2:$A$1001,"&lt;"&amp;A845,$A$2:$A$1001,"&gt;="&amp;(A845-설정!$B$2))-M845*AVERAGEIFS($J$2:$J$1001,$B$2:$B$1001,B845,$A$2:$A$1001,"&lt;"&amp;A845,$A$2:$A$1001,"&gt;="&amp;(A845-설정!$B$2))^2)/(M845-1))),2))</f>
        <v/>
      </c>
      <c r="M845" s="18" t="str">
        <f aca="false">IF(J845="","",COUNTIFS($B$2:$B$1001,B845,$A$2:$A$1001,"&lt;"&amp;A845,$A$2:$A$1001,"&gt;="&amp;(A845-설정!$B$2),$J$2:$J$1001,"&gt;=0"))</f>
        <v/>
      </c>
      <c r="N845" s="18" t="str">
        <f aca="false">IF(K845="","",IF(L845=0,"",ROUND((J845-K845)/L845,2)))</f>
        <v/>
      </c>
      <c r="O845" s="19" t="str">
        <f aca="false">IF(J845="","",IF(MIN(F845,G845)&lt;=설정!$B$5,"예",""))</f>
        <v/>
      </c>
      <c r="P845" s="19" t="str">
        <f aca="false">IF(J845="","",IF(M845&lt;설정!$B$3,"baseline 수집 중",IF(N845="","정상",IF(N845&lt;=설정!$B$4,"낮음","정상"))))</f>
        <v/>
      </c>
      <c r="Q845" s="20"/>
      <c r="R845" s="18" t="str">
        <f aca="false">IF(J845="","",J845^2)</f>
        <v/>
      </c>
    </row>
    <row r="846" customFormat="false" ht="15" hidden="false" customHeight="false" outlineLevel="0" collapsed="false">
      <c r="A846" s="16"/>
      <c r="B846" s="17"/>
      <c r="C846" s="17"/>
      <c r="D846" s="17"/>
      <c r="E846" s="17"/>
      <c r="F846" s="17"/>
      <c r="G846" s="17"/>
      <c r="H846" s="17"/>
      <c r="I846" s="17"/>
      <c r="J846" s="18" t="str">
        <f aca="false">IF(COUNT(E846:I846)&lt;5,"",SUM(E846:I846))</f>
        <v/>
      </c>
      <c r="K846" s="18" t="str">
        <f aca="false">IF(J846="","",IF(M846&lt;설정!$B$3,"",ROUND(AVERAGEIFS($J$2:$J$1001,$B$2:$B$1001,B846,$A$2:$A$1001,"&lt;"&amp;A846,$A$2:$A$1001,"&gt;="&amp;(A846-설정!$B$2)),2)))</f>
        <v/>
      </c>
      <c r="L846" s="18" t="str">
        <f aca="false">IF(K846="","",ROUND(SQRT(MAX(0,(SUMIFS($R$2:$R$1001,$B$2:$B$1001,B846,$A$2:$A$1001,"&lt;"&amp;A846,$A$2:$A$1001,"&gt;="&amp;(A846-설정!$B$2))-M846*AVERAGEIFS($J$2:$J$1001,$B$2:$B$1001,B846,$A$2:$A$1001,"&lt;"&amp;A846,$A$2:$A$1001,"&gt;="&amp;(A846-설정!$B$2))^2)/(M846-1))),2))</f>
        <v/>
      </c>
      <c r="M846" s="18" t="str">
        <f aca="false">IF(J846="","",COUNTIFS($B$2:$B$1001,B846,$A$2:$A$1001,"&lt;"&amp;A846,$A$2:$A$1001,"&gt;="&amp;(A846-설정!$B$2),$J$2:$J$1001,"&gt;=0"))</f>
        <v/>
      </c>
      <c r="N846" s="18" t="str">
        <f aca="false">IF(K846="","",IF(L846=0,"",ROUND((J846-K846)/L846,2)))</f>
        <v/>
      </c>
      <c r="O846" s="19" t="str">
        <f aca="false">IF(J846="","",IF(MIN(F846,G846)&lt;=설정!$B$5,"예",""))</f>
        <v/>
      </c>
      <c r="P846" s="19" t="str">
        <f aca="false">IF(J846="","",IF(M846&lt;설정!$B$3,"baseline 수집 중",IF(N846="","정상",IF(N846&lt;=설정!$B$4,"낮음","정상"))))</f>
        <v/>
      </c>
      <c r="Q846" s="20"/>
      <c r="R846" s="18" t="str">
        <f aca="false">IF(J846="","",J846^2)</f>
        <v/>
      </c>
    </row>
    <row r="847" customFormat="false" ht="15" hidden="false" customHeight="false" outlineLevel="0" collapsed="false">
      <c r="A847" s="16"/>
      <c r="B847" s="17"/>
      <c r="C847" s="17"/>
      <c r="D847" s="17"/>
      <c r="E847" s="17"/>
      <c r="F847" s="17"/>
      <c r="G847" s="17"/>
      <c r="H847" s="17"/>
      <c r="I847" s="17"/>
      <c r="J847" s="18" t="str">
        <f aca="false">IF(COUNT(E847:I847)&lt;5,"",SUM(E847:I847))</f>
        <v/>
      </c>
      <c r="K847" s="18" t="str">
        <f aca="false">IF(J847="","",IF(M847&lt;설정!$B$3,"",ROUND(AVERAGEIFS($J$2:$J$1001,$B$2:$B$1001,B847,$A$2:$A$1001,"&lt;"&amp;A847,$A$2:$A$1001,"&gt;="&amp;(A847-설정!$B$2)),2)))</f>
        <v/>
      </c>
      <c r="L847" s="18" t="str">
        <f aca="false">IF(K847="","",ROUND(SQRT(MAX(0,(SUMIFS($R$2:$R$1001,$B$2:$B$1001,B847,$A$2:$A$1001,"&lt;"&amp;A847,$A$2:$A$1001,"&gt;="&amp;(A847-설정!$B$2))-M847*AVERAGEIFS($J$2:$J$1001,$B$2:$B$1001,B847,$A$2:$A$1001,"&lt;"&amp;A847,$A$2:$A$1001,"&gt;="&amp;(A847-설정!$B$2))^2)/(M847-1))),2))</f>
        <v/>
      </c>
      <c r="M847" s="18" t="str">
        <f aca="false">IF(J847="","",COUNTIFS($B$2:$B$1001,B847,$A$2:$A$1001,"&lt;"&amp;A847,$A$2:$A$1001,"&gt;="&amp;(A847-설정!$B$2),$J$2:$J$1001,"&gt;=0"))</f>
        <v/>
      </c>
      <c r="N847" s="18" t="str">
        <f aca="false">IF(K847="","",IF(L847=0,"",ROUND((J847-K847)/L847,2)))</f>
        <v/>
      </c>
      <c r="O847" s="19" t="str">
        <f aca="false">IF(J847="","",IF(MIN(F847,G847)&lt;=설정!$B$5,"예",""))</f>
        <v/>
      </c>
      <c r="P847" s="19" t="str">
        <f aca="false">IF(J847="","",IF(M847&lt;설정!$B$3,"baseline 수집 중",IF(N847="","정상",IF(N847&lt;=설정!$B$4,"낮음","정상"))))</f>
        <v/>
      </c>
      <c r="Q847" s="20"/>
      <c r="R847" s="18" t="str">
        <f aca="false">IF(J847="","",J847^2)</f>
        <v/>
      </c>
    </row>
    <row r="848" customFormat="false" ht="15" hidden="false" customHeight="false" outlineLevel="0" collapsed="false">
      <c r="A848" s="16"/>
      <c r="B848" s="17"/>
      <c r="C848" s="17"/>
      <c r="D848" s="17"/>
      <c r="E848" s="17"/>
      <c r="F848" s="17"/>
      <c r="G848" s="17"/>
      <c r="H848" s="17"/>
      <c r="I848" s="17"/>
      <c r="J848" s="18" t="str">
        <f aca="false">IF(COUNT(E848:I848)&lt;5,"",SUM(E848:I848))</f>
        <v/>
      </c>
      <c r="K848" s="18" t="str">
        <f aca="false">IF(J848="","",IF(M848&lt;설정!$B$3,"",ROUND(AVERAGEIFS($J$2:$J$1001,$B$2:$B$1001,B848,$A$2:$A$1001,"&lt;"&amp;A848,$A$2:$A$1001,"&gt;="&amp;(A848-설정!$B$2)),2)))</f>
        <v/>
      </c>
      <c r="L848" s="18" t="str">
        <f aca="false">IF(K848="","",ROUND(SQRT(MAX(0,(SUMIFS($R$2:$R$1001,$B$2:$B$1001,B848,$A$2:$A$1001,"&lt;"&amp;A848,$A$2:$A$1001,"&gt;="&amp;(A848-설정!$B$2))-M848*AVERAGEIFS($J$2:$J$1001,$B$2:$B$1001,B848,$A$2:$A$1001,"&lt;"&amp;A848,$A$2:$A$1001,"&gt;="&amp;(A848-설정!$B$2))^2)/(M848-1))),2))</f>
        <v/>
      </c>
      <c r="M848" s="18" t="str">
        <f aca="false">IF(J848="","",COUNTIFS($B$2:$B$1001,B848,$A$2:$A$1001,"&lt;"&amp;A848,$A$2:$A$1001,"&gt;="&amp;(A848-설정!$B$2),$J$2:$J$1001,"&gt;=0"))</f>
        <v/>
      </c>
      <c r="N848" s="18" t="str">
        <f aca="false">IF(K848="","",IF(L848=0,"",ROUND((J848-K848)/L848,2)))</f>
        <v/>
      </c>
      <c r="O848" s="19" t="str">
        <f aca="false">IF(J848="","",IF(MIN(F848,G848)&lt;=설정!$B$5,"예",""))</f>
        <v/>
      </c>
      <c r="P848" s="19" t="str">
        <f aca="false">IF(J848="","",IF(M848&lt;설정!$B$3,"baseline 수집 중",IF(N848="","정상",IF(N848&lt;=설정!$B$4,"낮음","정상"))))</f>
        <v/>
      </c>
      <c r="Q848" s="20"/>
      <c r="R848" s="18" t="str">
        <f aca="false">IF(J848="","",J848^2)</f>
        <v/>
      </c>
    </row>
    <row r="849" customFormat="false" ht="15" hidden="false" customHeight="false" outlineLevel="0" collapsed="false">
      <c r="A849" s="16"/>
      <c r="B849" s="17"/>
      <c r="C849" s="17"/>
      <c r="D849" s="17"/>
      <c r="E849" s="17"/>
      <c r="F849" s="17"/>
      <c r="G849" s="17"/>
      <c r="H849" s="17"/>
      <c r="I849" s="17"/>
      <c r="J849" s="18" t="str">
        <f aca="false">IF(COUNT(E849:I849)&lt;5,"",SUM(E849:I849))</f>
        <v/>
      </c>
      <c r="K849" s="18" t="str">
        <f aca="false">IF(J849="","",IF(M849&lt;설정!$B$3,"",ROUND(AVERAGEIFS($J$2:$J$1001,$B$2:$B$1001,B849,$A$2:$A$1001,"&lt;"&amp;A849,$A$2:$A$1001,"&gt;="&amp;(A849-설정!$B$2)),2)))</f>
        <v/>
      </c>
      <c r="L849" s="18" t="str">
        <f aca="false">IF(K849="","",ROUND(SQRT(MAX(0,(SUMIFS($R$2:$R$1001,$B$2:$B$1001,B849,$A$2:$A$1001,"&lt;"&amp;A849,$A$2:$A$1001,"&gt;="&amp;(A849-설정!$B$2))-M849*AVERAGEIFS($J$2:$J$1001,$B$2:$B$1001,B849,$A$2:$A$1001,"&lt;"&amp;A849,$A$2:$A$1001,"&gt;="&amp;(A849-설정!$B$2))^2)/(M849-1))),2))</f>
        <v/>
      </c>
      <c r="M849" s="18" t="str">
        <f aca="false">IF(J849="","",COUNTIFS($B$2:$B$1001,B849,$A$2:$A$1001,"&lt;"&amp;A849,$A$2:$A$1001,"&gt;="&amp;(A849-설정!$B$2),$J$2:$J$1001,"&gt;=0"))</f>
        <v/>
      </c>
      <c r="N849" s="18" t="str">
        <f aca="false">IF(K849="","",IF(L849=0,"",ROUND((J849-K849)/L849,2)))</f>
        <v/>
      </c>
      <c r="O849" s="19" t="str">
        <f aca="false">IF(J849="","",IF(MIN(F849,G849)&lt;=설정!$B$5,"예",""))</f>
        <v/>
      </c>
      <c r="P849" s="19" t="str">
        <f aca="false">IF(J849="","",IF(M849&lt;설정!$B$3,"baseline 수집 중",IF(N849="","정상",IF(N849&lt;=설정!$B$4,"낮음","정상"))))</f>
        <v/>
      </c>
      <c r="Q849" s="20"/>
      <c r="R849" s="18" t="str">
        <f aca="false">IF(J849="","",J849^2)</f>
        <v/>
      </c>
    </row>
    <row r="850" customFormat="false" ht="15" hidden="false" customHeight="false" outlineLevel="0" collapsed="false">
      <c r="A850" s="16"/>
      <c r="B850" s="17"/>
      <c r="C850" s="17"/>
      <c r="D850" s="17"/>
      <c r="E850" s="17"/>
      <c r="F850" s="17"/>
      <c r="G850" s="17"/>
      <c r="H850" s="17"/>
      <c r="I850" s="17"/>
      <c r="J850" s="18" t="str">
        <f aca="false">IF(COUNT(E850:I850)&lt;5,"",SUM(E850:I850))</f>
        <v/>
      </c>
      <c r="K850" s="18" t="str">
        <f aca="false">IF(J850="","",IF(M850&lt;설정!$B$3,"",ROUND(AVERAGEIFS($J$2:$J$1001,$B$2:$B$1001,B850,$A$2:$A$1001,"&lt;"&amp;A850,$A$2:$A$1001,"&gt;="&amp;(A850-설정!$B$2)),2)))</f>
        <v/>
      </c>
      <c r="L850" s="18" t="str">
        <f aca="false">IF(K850="","",ROUND(SQRT(MAX(0,(SUMIFS($R$2:$R$1001,$B$2:$B$1001,B850,$A$2:$A$1001,"&lt;"&amp;A850,$A$2:$A$1001,"&gt;="&amp;(A850-설정!$B$2))-M850*AVERAGEIFS($J$2:$J$1001,$B$2:$B$1001,B850,$A$2:$A$1001,"&lt;"&amp;A850,$A$2:$A$1001,"&gt;="&amp;(A850-설정!$B$2))^2)/(M850-1))),2))</f>
        <v/>
      </c>
      <c r="M850" s="18" t="str">
        <f aca="false">IF(J850="","",COUNTIFS($B$2:$B$1001,B850,$A$2:$A$1001,"&lt;"&amp;A850,$A$2:$A$1001,"&gt;="&amp;(A850-설정!$B$2),$J$2:$J$1001,"&gt;=0"))</f>
        <v/>
      </c>
      <c r="N850" s="18" t="str">
        <f aca="false">IF(K850="","",IF(L850=0,"",ROUND((J850-K850)/L850,2)))</f>
        <v/>
      </c>
      <c r="O850" s="19" t="str">
        <f aca="false">IF(J850="","",IF(MIN(F850,G850)&lt;=설정!$B$5,"예",""))</f>
        <v/>
      </c>
      <c r="P850" s="19" t="str">
        <f aca="false">IF(J850="","",IF(M850&lt;설정!$B$3,"baseline 수집 중",IF(N850="","정상",IF(N850&lt;=설정!$B$4,"낮음","정상"))))</f>
        <v/>
      </c>
      <c r="Q850" s="20"/>
      <c r="R850" s="18" t="str">
        <f aca="false">IF(J850="","",J850^2)</f>
        <v/>
      </c>
    </row>
    <row r="851" customFormat="false" ht="15" hidden="false" customHeight="false" outlineLevel="0" collapsed="false">
      <c r="A851" s="16"/>
      <c r="B851" s="17"/>
      <c r="C851" s="17"/>
      <c r="D851" s="17"/>
      <c r="E851" s="17"/>
      <c r="F851" s="17"/>
      <c r="G851" s="17"/>
      <c r="H851" s="17"/>
      <c r="I851" s="17"/>
      <c r="J851" s="18" t="str">
        <f aca="false">IF(COUNT(E851:I851)&lt;5,"",SUM(E851:I851))</f>
        <v/>
      </c>
      <c r="K851" s="18" t="str">
        <f aca="false">IF(J851="","",IF(M851&lt;설정!$B$3,"",ROUND(AVERAGEIFS($J$2:$J$1001,$B$2:$B$1001,B851,$A$2:$A$1001,"&lt;"&amp;A851,$A$2:$A$1001,"&gt;="&amp;(A851-설정!$B$2)),2)))</f>
        <v/>
      </c>
      <c r="L851" s="18" t="str">
        <f aca="false">IF(K851="","",ROUND(SQRT(MAX(0,(SUMIFS($R$2:$R$1001,$B$2:$B$1001,B851,$A$2:$A$1001,"&lt;"&amp;A851,$A$2:$A$1001,"&gt;="&amp;(A851-설정!$B$2))-M851*AVERAGEIFS($J$2:$J$1001,$B$2:$B$1001,B851,$A$2:$A$1001,"&lt;"&amp;A851,$A$2:$A$1001,"&gt;="&amp;(A851-설정!$B$2))^2)/(M851-1))),2))</f>
        <v/>
      </c>
      <c r="M851" s="18" t="str">
        <f aca="false">IF(J851="","",COUNTIFS($B$2:$B$1001,B851,$A$2:$A$1001,"&lt;"&amp;A851,$A$2:$A$1001,"&gt;="&amp;(A851-설정!$B$2),$J$2:$J$1001,"&gt;=0"))</f>
        <v/>
      </c>
      <c r="N851" s="18" t="str">
        <f aca="false">IF(K851="","",IF(L851=0,"",ROUND((J851-K851)/L851,2)))</f>
        <v/>
      </c>
      <c r="O851" s="19" t="str">
        <f aca="false">IF(J851="","",IF(MIN(F851,G851)&lt;=설정!$B$5,"예",""))</f>
        <v/>
      </c>
      <c r="P851" s="19" t="str">
        <f aca="false">IF(J851="","",IF(M851&lt;설정!$B$3,"baseline 수집 중",IF(N851="","정상",IF(N851&lt;=설정!$B$4,"낮음","정상"))))</f>
        <v/>
      </c>
      <c r="Q851" s="20"/>
      <c r="R851" s="18" t="str">
        <f aca="false">IF(J851="","",J851^2)</f>
        <v/>
      </c>
    </row>
    <row r="852" customFormat="false" ht="15" hidden="false" customHeight="false" outlineLevel="0" collapsed="false">
      <c r="A852" s="16"/>
      <c r="B852" s="17"/>
      <c r="C852" s="17"/>
      <c r="D852" s="17"/>
      <c r="E852" s="17"/>
      <c r="F852" s="17"/>
      <c r="G852" s="17"/>
      <c r="H852" s="17"/>
      <c r="I852" s="17"/>
      <c r="J852" s="18" t="str">
        <f aca="false">IF(COUNT(E852:I852)&lt;5,"",SUM(E852:I852))</f>
        <v/>
      </c>
      <c r="K852" s="18" t="str">
        <f aca="false">IF(J852="","",IF(M852&lt;설정!$B$3,"",ROUND(AVERAGEIFS($J$2:$J$1001,$B$2:$B$1001,B852,$A$2:$A$1001,"&lt;"&amp;A852,$A$2:$A$1001,"&gt;="&amp;(A852-설정!$B$2)),2)))</f>
        <v/>
      </c>
      <c r="L852" s="18" t="str">
        <f aca="false">IF(K852="","",ROUND(SQRT(MAX(0,(SUMIFS($R$2:$R$1001,$B$2:$B$1001,B852,$A$2:$A$1001,"&lt;"&amp;A852,$A$2:$A$1001,"&gt;="&amp;(A852-설정!$B$2))-M852*AVERAGEIFS($J$2:$J$1001,$B$2:$B$1001,B852,$A$2:$A$1001,"&lt;"&amp;A852,$A$2:$A$1001,"&gt;="&amp;(A852-설정!$B$2))^2)/(M852-1))),2))</f>
        <v/>
      </c>
      <c r="M852" s="18" t="str">
        <f aca="false">IF(J852="","",COUNTIFS($B$2:$B$1001,B852,$A$2:$A$1001,"&lt;"&amp;A852,$A$2:$A$1001,"&gt;="&amp;(A852-설정!$B$2),$J$2:$J$1001,"&gt;=0"))</f>
        <v/>
      </c>
      <c r="N852" s="18" t="str">
        <f aca="false">IF(K852="","",IF(L852=0,"",ROUND((J852-K852)/L852,2)))</f>
        <v/>
      </c>
      <c r="O852" s="19" t="str">
        <f aca="false">IF(J852="","",IF(MIN(F852,G852)&lt;=설정!$B$5,"예",""))</f>
        <v/>
      </c>
      <c r="P852" s="19" t="str">
        <f aca="false">IF(J852="","",IF(M852&lt;설정!$B$3,"baseline 수집 중",IF(N852="","정상",IF(N852&lt;=설정!$B$4,"낮음","정상"))))</f>
        <v/>
      </c>
      <c r="Q852" s="20"/>
      <c r="R852" s="18" t="str">
        <f aca="false">IF(J852="","",J852^2)</f>
        <v/>
      </c>
    </row>
    <row r="853" customFormat="false" ht="15" hidden="false" customHeight="false" outlineLevel="0" collapsed="false">
      <c r="A853" s="16"/>
      <c r="B853" s="17"/>
      <c r="C853" s="17"/>
      <c r="D853" s="17"/>
      <c r="E853" s="17"/>
      <c r="F853" s="17"/>
      <c r="G853" s="17"/>
      <c r="H853" s="17"/>
      <c r="I853" s="17"/>
      <c r="J853" s="18" t="str">
        <f aca="false">IF(COUNT(E853:I853)&lt;5,"",SUM(E853:I853))</f>
        <v/>
      </c>
      <c r="K853" s="18" t="str">
        <f aca="false">IF(J853="","",IF(M853&lt;설정!$B$3,"",ROUND(AVERAGEIFS($J$2:$J$1001,$B$2:$B$1001,B853,$A$2:$A$1001,"&lt;"&amp;A853,$A$2:$A$1001,"&gt;="&amp;(A853-설정!$B$2)),2)))</f>
        <v/>
      </c>
      <c r="L853" s="18" t="str">
        <f aca="false">IF(K853="","",ROUND(SQRT(MAX(0,(SUMIFS($R$2:$R$1001,$B$2:$B$1001,B853,$A$2:$A$1001,"&lt;"&amp;A853,$A$2:$A$1001,"&gt;="&amp;(A853-설정!$B$2))-M853*AVERAGEIFS($J$2:$J$1001,$B$2:$B$1001,B853,$A$2:$A$1001,"&lt;"&amp;A853,$A$2:$A$1001,"&gt;="&amp;(A853-설정!$B$2))^2)/(M853-1))),2))</f>
        <v/>
      </c>
      <c r="M853" s="18" t="str">
        <f aca="false">IF(J853="","",COUNTIFS($B$2:$B$1001,B853,$A$2:$A$1001,"&lt;"&amp;A853,$A$2:$A$1001,"&gt;="&amp;(A853-설정!$B$2),$J$2:$J$1001,"&gt;=0"))</f>
        <v/>
      </c>
      <c r="N853" s="18" t="str">
        <f aca="false">IF(K853="","",IF(L853=0,"",ROUND((J853-K853)/L853,2)))</f>
        <v/>
      </c>
      <c r="O853" s="19" t="str">
        <f aca="false">IF(J853="","",IF(MIN(F853,G853)&lt;=설정!$B$5,"예",""))</f>
        <v/>
      </c>
      <c r="P853" s="19" t="str">
        <f aca="false">IF(J853="","",IF(M853&lt;설정!$B$3,"baseline 수집 중",IF(N853="","정상",IF(N853&lt;=설정!$B$4,"낮음","정상"))))</f>
        <v/>
      </c>
      <c r="Q853" s="20"/>
      <c r="R853" s="18" t="str">
        <f aca="false">IF(J853="","",J853^2)</f>
        <v/>
      </c>
    </row>
    <row r="854" customFormat="false" ht="15" hidden="false" customHeight="false" outlineLevel="0" collapsed="false">
      <c r="A854" s="16"/>
      <c r="B854" s="17"/>
      <c r="C854" s="17"/>
      <c r="D854" s="17"/>
      <c r="E854" s="17"/>
      <c r="F854" s="17"/>
      <c r="G854" s="17"/>
      <c r="H854" s="17"/>
      <c r="I854" s="17"/>
      <c r="J854" s="18" t="str">
        <f aca="false">IF(COUNT(E854:I854)&lt;5,"",SUM(E854:I854))</f>
        <v/>
      </c>
      <c r="K854" s="18" t="str">
        <f aca="false">IF(J854="","",IF(M854&lt;설정!$B$3,"",ROUND(AVERAGEIFS($J$2:$J$1001,$B$2:$B$1001,B854,$A$2:$A$1001,"&lt;"&amp;A854,$A$2:$A$1001,"&gt;="&amp;(A854-설정!$B$2)),2)))</f>
        <v/>
      </c>
      <c r="L854" s="18" t="str">
        <f aca="false">IF(K854="","",ROUND(SQRT(MAX(0,(SUMIFS($R$2:$R$1001,$B$2:$B$1001,B854,$A$2:$A$1001,"&lt;"&amp;A854,$A$2:$A$1001,"&gt;="&amp;(A854-설정!$B$2))-M854*AVERAGEIFS($J$2:$J$1001,$B$2:$B$1001,B854,$A$2:$A$1001,"&lt;"&amp;A854,$A$2:$A$1001,"&gt;="&amp;(A854-설정!$B$2))^2)/(M854-1))),2))</f>
        <v/>
      </c>
      <c r="M854" s="18" t="str">
        <f aca="false">IF(J854="","",COUNTIFS($B$2:$B$1001,B854,$A$2:$A$1001,"&lt;"&amp;A854,$A$2:$A$1001,"&gt;="&amp;(A854-설정!$B$2),$J$2:$J$1001,"&gt;=0"))</f>
        <v/>
      </c>
      <c r="N854" s="18" t="str">
        <f aca="false">IF(K854="","",IF(L854=0,"",ROUND((J854-K854)/L854,2)))</f>
        <v/>
      </c>
      <c r="O854" s="19" t="str">
        <f aca="false">IF(J854="","",IF(MIN(F854,G854)&lt;=설정!$B$5,"예",""))</f>
        <v/>
      </c>
      <c r="P854" s="19" t="str">
        <f aca="false">IF(J854="","",IF(M854&lt;설정!$B$3,"baseline 수집 중",IF(N854="","정상",IF(N854&lt;=설정!$B$4,"낮음","정상"))))</f>
        <v/>
      </c>
      <c r="Q854" s="20"/>
      <c r="R854" s="18" t="str">
        <f aca="false">IF(J854="","",J854^2)</f>
        <v/>
      </c>
    </row>
    <row r="855" customFormat="false" ht="15" hidden="false" customHeight="false" outlineLevel="0" collapsed="false">
      <c r="A855" s="16"/>
      <c r="B855" s="17"/>
      <c r="C855" s="17"/>
      <c r="D855" s="17"/>
      <c r="E855" s="17"/>
      <c r="F855" s="17"/>
      <c r="G855" s="17"/>
      <c r="H855" s="17"/>
      <c r="I855" s="17"/>
      <c r="J855" s="18" t="str">
        <f aca="false">IF(COUNT(E855:I855)&lt;5,"",SUM(E855:I855))</f>
        <v/>
      </c>
      <c r="K855" s="18" t="str">
        <f aca="false">IF(J855="","",IF(M855&lt;설정!$B$3,"",ROUND(AVERAGEIFS($J$2:$J$1001,$B$2:$B$1001,B855,$A$2:$A$1001,"&lt;"&amp;A855,$A$2:$A$1001,"&gt;="&amp;(A855-설정!$B$2)),2)))</f>
        <v/>
      </c>
      <c r="L855" s="18" t="str">
        <f aca="false">IF(K855="","",ROUND(SQRT(MAX(0,(SUMIFS($R$2:$R$1001,$B$2:$B$1001,B855,$A$2:$A$1001,"&lt;"&amp;A855,$A$2:$A$1001,"&gt;="&amp;(A855-설정!$B$2))-M855*AVERAGEIFS($J$2:$J$1001,$B$2:$B$1001,B855,$A$2:$A$1001,"&lt;"&amp;A855,$A$2:$A$1001,"&gt;="&amp;(A855-설정!$B$2))^2)/(M855-1))),2))</f>
        <v/>
      </c>
      <c r="M855" s="18" t="str">
        <f aca="false">IF(J855="","",COUNTIFS($B$2:$B$1001,B855,$A$2:$A$1001,"&lt;"&amp;A855,$A$2:$A$1001,"&gt;="&amp;(A855-설정!$B$2),$J$2:$J$1001,"&gt;=0"))</f>
        <v/>
      </c>
      <c r="N855" s="18" t="str">
        <f aca="false">IF(K855="","",IF(L855=0,"",ROUND((J855-K855)/L855,2)))</f>
        <v/>
      </c>
      <c r="O855" s="19" t="str">
        <f aca="false">IF(J855="","",IF(MIN(F855,G855)&lt;=설정!$B$5,"예",""))</f>
        <v/>
      </c>
      <c r="P855" s="19" t="str">
        <f aca="false">IF(J855="","",IF(M855&lt;설정!$B$3,"baseline 수집 중",IF(N855="","정상",IF(N855&lt;=설정!$B$4,"낮음","정상"))))</f>
        <v/>
      </c>
      <c r="Q855" s="20"/>
      <c r="R855" s="18" t="str">
        <f aca="false">IF(J855="","",J855^2)</f>
        <v/>
      </c>
    </row>
    <row r="856" customFormat="false" ht="15" hidden="false" customHeight="false" outlineLevel="0" collapsed="false">
      <c r="A856" s="16"/>
      <c r="B856" s="17"/>
      <c r="C856" s="17"/>
      <c r="D856" s="17"/>
      <c r="E856" s="17"/>
      <c r="F856" s="17"/>
      <c r="G856" s="17"/>
      <c r="H856" s="17"/>
      <c r="I856" s="17"/>
      <c r="J856" s="18" t="str">
        <f aca="false">IF(COUNT(E856:I856)&lt;5,"",SUM(E856:I856))</f>
        <v/>
      </c>
      <c r="K856" s="18" t="str">
        <f aca="false">IF(J856="","",IF(M856&lt;설정!$B$3,"",ROUND(AVERAGEIFS($J$2:$J$1001,$B$2:$B$1001,B856,$A$2:$A$1001,"&lt;"&amp;A856,$A$2:$A$1001,"&gt;="&amp;(A856-설정!$B$2)),2)))</f>
        <v/>
      </c>
      <c r="L856" s="18" t="str">
        <f aca="false">IF(K856="","",ROUND(SQRT(MAX(0,(SUMIFS($R$2:$R$1001,$B$2:$B$1001,B856,$A$2:$A$1001,"&lt;"&amp;A856,$A$2:$A$1001,"&gt;="&amp;(A856-설정!$B$2))-M856*AVERAGEIFS($J$2:$J$1001,$B$2:$B$1001,B856,$A$2:$A$1001,"&lt;"&amp;A856,$A$2:$A$1001,"&gt;="&amp;(A856-설정!$B$2))^2)/(M856-1))),2))</f>
        <v/>
      </c>
      <c r="M856" s="18" t="str">
        <f aca="false">IF(J856="","",COUNTIFS($B$2:$B$1001,B856,$A$2:$A$1001,"&lt;"&amp;A856,$A$2:$A$1001,"&gt;="&amp;(A856-설정!$B$2),$J$2:$J$1001,"&gt;=0"))</f>
        <v/>
      </c>
      <c r="N856" s="18" t="str">
        <f aca="false">IF(K856="","",IF(L856=0,"",ROUND((J856-K856)/L856,2)))</f>
        <v/>
      </c>
      <c r="O856" s="19" t="str">
        <f aca="false">IF(J856="","",IF(MIN(F856,G856)&lt;=설정!$B$5,"예",""))</f>
        <v/>
      </c>
      <c r="P856" s="19" t="str">
        <f aca="false">IF(J856="","",IF(M856&lt;설정!$B$3,"baseline 수집 중",IF(N856="","정상",IF(N856&lt;=설정!$B$4,"낮음","정상"))))</f>
        <v/>
      </c>
      <c r="Q856" s="20"/>
      <c r="R856" s="18" t="str">
        <f aca="false">IF(J856="","",J856^2)</f>
        <v/>
      </c>
    </row>
    <row r="857" customFormat="false" ht="15" hidden="false" customHeight="false" outlineLevel="0" collapsed="false">
      <c r="A857" s="16"/>
      <c r="B857" s="17"/>
      <c r="C857" s="17"/>
      <c r="D857" s="17"/>
      <c r="E857" s="17"/>
      <c r="F857" s="17"/>
      <c r="G857" s="17"/>
      <c r="H857" s="17"/>
      <c r="I857" s="17"/>
      <c r="J857" s="18" t="str">
        <f aca="false">IF(COUNT(E857:I857)&lt;5,"",SUM(E857:I857))</f>
        <v/>
      </c>
      <c r="K857" s="18" t="str">
        <f aca="false">IF(J857="","",IF(M857&lt;설정!$B$3,"",ROUND(AVERAGEIFS($J$2:$J$1001,$B$2:$B$1001,B857,$A$2:$A$1001,"&lt;"&amp;A857,$A$2:$A$1001,"&gt;="&amp;(A857-설정!$B$2)),2)))</f>
        <v/>
      </c>
      <c r="L857" s="18" t="str">
        <f aca="false">IF(K857="","",ROUND(SQRT(MAX(0,(SUMIFS($R$2:$R$1001,$B$2:$B$1001,B857,$A$2:$A$1001,"&lt;"&amp;A857,$A$2:$A$1001,"&gt;="&amp;(A857-설정!$B$2))-M857*AVERAGEIFS($J$2:$J$1001,$B$2:$B$1001,B857,$A$2:$A$1001,"&lt;"&amp;A857,$A$2:$A$1001,"&gt;="&amp;(A857-설정!$B$2))^2)/(M857-1))),2))</f>
        <v/>
      </c>
      <c r="M857" s="18" t="str">
        <f aca="false">IF(J857="","",COUNTIFS($B$2:$B$1001,B857,$A$2:$A$1001,"&lt;"&amp;A857,$A$2:$A$1001,"&gt;="&amp;(A857-설정!$B$2),$J$2:$J$1001,"&gt;=0"))</f>
        <v/>
      </c>
      <c r="N857" s="18" t="str">
        <f aca="false">IF(K857="","",IF(L857=0,"",ROUND((J857-K857)/L857,2)))</f>
        <v/>
      </c>
      <c r="O857" s="19" t="str">
        <f aca="false">IF(J857="","",IF(MIN(F857,G857)&lt;=설정!$B$5,"예",""))</f>
        <v/>
      </c>
      <c r="P857" s="19" t="str">
        <f aca="false">IF(J857="","",IF(M857&lt;설정!$B$3,"baseline 수집 중",IF(N857="","정상",IF(N857&lt;=설정!$B$4,"낮음","정상"))))</f>
        <v/>
      </c>
      <c r="Q857" s="20"/>
      <c r="R857" s="18" t="str">
        <f aca="false">IF(J857="","",J857^2)</f>
        <v/>
      </c>
    </row>
    <row r="858" customFormat="false" ht="15" hidden="false" customHeight="false" outlineLevel="0" collapsed="false">
      <c r="A858" s="16"/>
      <c r="B858" s="17"/>
      <c r="C858" s="17"/>
      <c r="D858" s="17"/>
      <c r="E858" s="17"/>
      <c r="F858" s="17"/>
      <c r="G858" s="17"/>
      <c r="H858" s="17"/>
      <c r="I858" s="17"/>
      <c r="J858" s="18" t="str">
        <f aca="false">IF(COUNT(E858:I858)&lt;5,"",SUM(E858:I858))</f>
        <v/>
      </c>
      <c r="K858" s="18" t="str">
        <f aca="false">IF(J858="","",IF(M858&lt;설정!$B$3,"",ROUND(AVERAGEIFS($J$2:$J$1001,$B$2:$B$1001,B858,$A$2:$A$1001,"&lt;"&amp;A858,$A$2:$A$1001,"&gt;="&amp;(A858-설정!$B$2)),2)))</f>
        <v/>
      </c>
      <c r="L858" s="18" t="str">
        <f aca="false">IF(K858="","",ROUND(SQRT(MAX(0,(SUMIFS($R$2:$R$1001,$B$2:$B$1001,B858,$A$2:$A$1001,"&lt;"&amp;A858,$A$2:$A$1001,"&gt;="&amp;(A858-설정!$B$2))-M858*AVERAGEIFS($J$2:$J$1001,$B$2:$B$1001,B858,$A$2:$A$1001,"&lt;"&amp;A858,$A$2:$A$1001,"&gt;="&amp;(A858-설정!$B$2))^2)/(M858-1))),2))</f>
        <v/>
      </c>
      <c r="M858" s="18" t="str">
        <f aca="false">IF(J858="","",COUNTIFS($B$2:$B$1001,B858,$A$2:$A$1001,"&lt;"&amp;A858,$A$2:$A$1001,"&gt;="&amp;(A858-설정!$B$2),$J$2:$J$1001,"&gt;=0"))</f>
        <v/>
      </c>
      <c r="N858" s="18" t="str">
        <f aca="false">IF(K858="","",IF(L858=0,"",ROUND((J858-K858)/L858,2)))</f>
        <v/>
      </c>
      <c r="O858" s="19" t="str">
        <f aca="false">IF(J858="","",IF(MIN(F858,G858)&lt;=설정!$B$5,"예",""))</f>
        <v/>
      </c>
      <c r="P858" s="19" t="str">
        <f aca="false">IF(J858="","",IF(M858&lt;설정!$B$3,"baseline 수집 중",IF(N858="","정상",IF(N858&lt;=설정!$B$4,"낮음","정상"))))</f>
        <v/>
      </c>
      <c r="Q858" s="20"/>
      <c r="R858" s="18" t="str">
        <f aca="false">IF(J858="","",J858^2)</f>
        <v/>
      </c>
    </row>
    <row r="859" customFormat="false" ht="15" hidden="false" customHeight="false" outlineLevel="0" collapsed="false">
      <c r="A859" s="16"/>
      <c r="B859" s="17"/>
      <c r="C859" s="17"/>
      <c r="D859" s="17"/>
      <c r="E859" s="17"/>
      <c r="F859" s="17"/>
      <c r="G859" s="17"/>
      <c r="H859" s="17"/>
      <c r="I859" s="17"/>
      <c r="J859" s="18" t="str">
        <f aca="false">IF(COUNT(E859:I859)&lt;5,"",SUM(E859:I859))</f>
        <v/>
      </c>
      <c r="K859" s="18" t="str">
        <f aca="false">IF(J859="","",IF(M859&lt;설정!$B$3,"",ROUND(AVERAGEIFS($J$2:$J$1001,$B$2:$B$1001,B859,$A$2:$A$1001,"&lt;"&amp;A859,$A$2:$A$1001,"&gt;="&amp;(A859-설정!$B$2)),2)))</f>
        <v/>
      </c>
      <c r="L859" s="18" t="str">
        <f aca="false">IF(K859="","",ROUND(SQRT(MAX(0,(SUMIFS($R$2:$R$1001,$B$2:$B$1001,B859,$A$2:$A$1001,"&lt;"&amp;A859,$A$2:$A$1001,"&gt;="&amp;(A859-설정!$B$2))-M859*AVERAGEIFS($J$2:$J$1001,$B$2:$B$1001,B859,$A$2:$A$1001,"&lt;"&amp;A859,$A$2:$A$1001,"&gt;="&amp;(A859-설정!$B$2))^2)/(M859-1))),2))</f>
        <v/>
      </c>
      <c r="M859" s="18" t="str">
        <f aca="false">IF(J859="","",COUNTIFS($B$2:$B$1001,B859,$A$2:$A$1001,"&lt;"&amp;A859,$A$2:$A$1001,"&gt;="&amp;(A859-설정!$B$2),$J$2:$J$1001,"&gt;=0"))</f>
        <v/>
      </c>
      <c r="N859" s="18" t="str">
        <f aca="false">IF(K859="","",IF(L859=0,"",ROUND((J859-K859)/L859,2)))</f>
        <v/>
      </c>
      <c r="O859" s="19" t="str">
        <f aca="false">IF(J859="","",IF(MIN(F859,G859)&lt;=설정!$B$5,"예",""))</f>
        <v/>
      </c>
      <c r="P859" s="19" t="str">
        <f aca="false">IF(J859="","",IF(M859&lt;설정!$B$3,"baseline 수집 중",IF(N859="","정상",IF(N859&lt;=설정!$B$4,"낮음","정상"))))</f>
        <v/>
      </c>
      <c r="Q859" s="20"/>
      <c r="R859" s="18" t="str">
        <f aca="false">IF(J859="","",J859^2)</f>
        <v/>
      </c>
    </row>
    <row r="860" customFormat="false" ht="15" hidden="false" customHeight="false" outlineLevel="0" collapsed="false">
      <c r="A860" s="16"/>
      <c r="B860" s="17"/>
      <c r="C860" s="17"/>
      <c r="D860" s="17"/>
      <c r="E860" s="17"/>
      <c r="F860" s="17"/>
      <c r="G860" s="17"/>
      <c r="H860" s="17"/>
      <c r="I860" s="17"/>
      <c r="J860" s="18" t="str">
        <f aca="false">IF(COUNT(E860:I860)&lt;5,"",SUM(E860:I860))</f>
        <v/>
      </c>
      <c r="K860" s="18" t="str">
        <f aca="false">IF(J860="","",IF(M860&lt;설정!$B$3,"",ROUND(AVERAGEIFS($J$2:$J$1001,$B$2:$B$1001,B860,$A$2:$A$1001,"&lt;"&amp;A860,$A$2:$A$1001,"&gt;="&amp;(A860-설정!$B$2)),2)))</f>
        <v/>
      </c>
      <c r="L860" s="18" t="str">
        <f aca="false">IF(K860="","",ROUND(SQRT(MAX(0,(SUMIFS($R$2:$R$1001,$B$2:$B$1001,B860,$A$2:$A$1001,"&lt;"&amp;A860,$A$2:$A$1001,"&gt;="&amp;(A860-설정!$B$2))-M860*AVERAGEIFS($J$2:$J$1001,$B$2:$B$1001,B860,$A$2:$A$1001,"&lt;"&amp;A860,$A$2:$A$1001,"&gt;="&amp;(A860-설정!$B$2))^2)/(M860-1))),2))</f>
        <v/>
      </c>
      <c r="M860" s="18" t="str">
        <f aca="false">IF(J860="","",COUNTIFS($B$2:$B$1001,B860,$A$2:$A$1001,"&lt;"&amp;A860,$A$2:$A$1001,"&gt;="&amp;(A860-설정!$B$2),$J$2:$J$1001,"&gt;=0"))</f>
        <v/>
      </c>
      <c r="N860" s="18" t="str">
        <f aca="false">IF(K860="","",IF(L860=0,"",ROUND((J860-K860)/L860,2)))</f>
        <v/>
      </c>
      <c r="O860" s="19" t="str">
        <f aca="false">IF(J860="","",IF(MIN(F860,G860)&lt;=설정!$B$5,"예",""))</f>
        <v/>
      </c>
      <c r="P860" s="19" t="str">
        <f aca="false">IF(J860="","",IF(M860&lt;설정!$B$3,"baseline 수집 중",IF(N860="","정상",IF(N860&lt;=설정!$B$4,"낮음","정상"))))</f>
        <v/>
      </c>
      <c r="Q860" s="20"/>
      <c r="R860" s="18" t="str">
        <f aca="false">IF(J860="","",J860^2)</f>
        <v/>
      </c>
    </row>
    <row r="861" customFormat="false" ht="15" hidden="false" customHeight="false" outlineLevel="0" collapsed="false">
      <c r="A861" s="16"/>
      <c r="B861" s="17"/>
      <c r="C861" s="17"/>
      <c r="D861" s="17"/>
      <c r="E861" s="17"/>
      <c r="F861" s="17"/>
      <c r="G861" s="17"/>
      <c r="H861" s="17"/>
      <c r="I861" s="17"/>
      <c r="J861" s="18" t="str">
        <f aca="false">IF(COUNT(E861:I861)&lt;5,"",SUM(E861:I861))</f>
        <v/>
      </c>
      <c r="K861" s="18" t="str">
        <f aca="false">IF(J861="","",IF(M861&lt;설정!$B$3,"",ROUND(AVERAGEIFS($J$2:$J$1001,$B$2:$B$1001,B861,$A$2:$A$1001,"&lt;"&amp;A861,$A$2:$A$1001,"&gt;="&amp;(A861-설정!$B$2)),2)))</f>
        <v/>
      </c>
      <c r="L861" s="18" t="str">
        <f aca="false">IF(K861="","",ROUND(SQRT(MAX(0,(SUMIFS($R$2:$R$1001,$B$2:$B$1001,B861,$A$2:$A$1001,"&lt;"&amp;A861,$A$2:$A$1001,"&gt;="&amp;(A861-설정!$B$2))-M861*AVERAGEIFS($J$2:$J$1001,$B$2:$B$1001,B861,$A$2:$A$1001,"&lt;"&amp;A861,$A$2:$A$1001,"&gt;="&amp;(A861-설정!$B$2))^2)/(M861-1))),2))</f>
        <v/>
      </c>
      <c r="M861" s="18" t="str">
        <f aca="false">IF(J861="","",COUNTIFS($B$2:$B$1001,B861,$A$2:$A$1001,"&lt;"&amp;A861,$A$2:$A$1001,"&gt;="&amp;(A861-설정!$B$2),$J$2:$J$1001,"&gt;=0"))</f>
        <v/>
      </c>
      <c r="N861" s="18" t="str">
        <f aca="false">IF(K861="","",IF(L861=0,"",ROUND((J861-K861)/L861,2)))</f>
        <v/>
      </c>
      <c r="O861" s="19" t="str">
        <f aca="false">IF(J861="","",IF(MIN(F861,G861)&lt;=설정!$B$5,"예",""))</f>
        <v/>
      </c>
      <c r="P861" s="19" t="str">
        <f aca="false">IF(J861="","",IF(M861&lt;설정!$B$3,"baseline 수집 중",IF(N861="","정상",IF(N861&lt;=설정!$B$4,"낮음","정상"))))</f>
        <v/>
      </c>
      <c r="Q861" s="20"/>
      <c r="R861" s="18" t="str">
        <f aca="false">IF(J861="","",J861^2)</f>
        <v/>
      </c>
    </row>
    <row r="862" customFormat="false" ht="15" hidden="false" customHeight="false" outlineLevel="0" collapsed="false">
      <c r="A862" s="16"/>
      <c r="B862" s="17"/>
      <c r="C862" s="17"/>
      <c r="D862" s="17"/>
      <c r="E862" s="17"/>
      <c r="F862" s="17"/>
      <c r="G862" s="17"/>
      <c r="H862" s="17"/>
      <c r="I862" s="17"/>
      <c r="J862" s="18" t="str">
        <f aca="false">IF(COUNT(E862:I862)&lt;5,"",SUM(E862:I862))</f>
        <v/>
      </c>
      <c r="K862" s="18" t="str">
        <f aca="false">IF(J862="","",IF(M862&lt;설정!$B$3,"",ROUND(AVERAGEIFS($J$2:$J$1001,$B$2:$B$1001,B862,$A$2:$A$1001,"&lt;"&amp;A862,$A$2:$A$1001,"&gt;="&amp;(A862-설정!$B$2)),2)))</f>
        <v/>
      </c>
      <c r="L862" s="18" t="str">
        <f aca="false">IF(K862="","",ROUND(SQRT(MAX(0,(SUMIFS($R$2:$R$1001,$B$2:$B$1001,B862,$A$2:$A$1001,"&lt;"&amp;A862,$A$2:$A$1001,"&gt;="&amp;(A862-설정!$B$2))-M862*AVERAGEIFS($J$2:$J$1001,$B$2:$B$1001,B862,$A$2:$A$1001,"&lt;"&amp;A862,$A$2:$A$1001,"&gt;="&amp;(A862-설정!$B$2))^2)/(M862-1))),2))</f>
        <v/>
      </c>
      <c r="M862" s="18" t="str">
        <f aca="false">IF(J862="","",COUNTIFS($B$2:$B$1001,B862,$A$2:$A$1001,"&lt;"&amp;A862,$A$2:$A$1001,"&gt;="&amp;(A862-설정!$B$2),$J$2:$J$1001,"&gt;=0"))</f>
        <v/>
      </c>
      <c r="N862" s="18" t="str">
        <f aca="false">IF(K862="","",IF(L862=0,"",ROUND((J862-K862)/L862,2)))</f>
        <v/>
      </c>
      <c r="O862" s="19" t="str">
        <f aca="false">IF(J862="","",IF(MIN(F862,G862)&lt;=설정!$B$5,"예",""))</f>
        <v/>
      </c>
      <c r="P862" s="19" t="str">
        <f aca="false">IF(J862="","",IF(M862&lt;설정!$B$3,"baseline 수집 중",IF(N862="","정상",IF(N862&lt;=설정!$B$4,"낮음","정상"))))</f>
        <v/>
      </c>
      <c r="Q862" s="20"/>
      <c r="R862" s="18" t="str">
        <f aca="false">IF(J862="","",J862^2)</f>
        <v/>
      </c>
    </row>
    <row r="863" customFormat="false" ht="15" hidden="false" customHeight="false" outlineLevel="0" collapsed="false">
      <c r="A863" s="16"/>
      <c r="B863" s="17"/>
      <c r="C863" s="17"/>
      <c r="D863" s="17"/>
      <c r="E863" s="17"/>
      <c r="F863" s="17"/>
      <c r="G863" s="17"/>
      <c r="H863" s="17"/>
      <c r="I863" s="17"/>
      <c r="J863" s="18" t="str">
        <f aca="false">IF(COUNT(E863:I863)&lt;5,"",SUM(E863:I863))</f>
        <v/>
      </c>
      <c r="K863" s="18" t="str">
        <f aca="false">IF(J863="","",IF(M863&lt;설정!$B$3,"",ROUND(AVERAGEIFS($J$2:$J$1001,$B$2:$B$1001,B863,$A$2:$A$1001,"&lt;"&amp;A863,$A$2:$A$1001,"&gt;="&amp;(A863-설정!$B$2)),2)))</f>
        <v/>
      </c>
      <c r="L863" s="18" t="str">
        <f aca="false">IF(K863="","",ROUND(SQRT(MAX(0,(SUMIFS($R$2:$R$1001,$B$2:$B$1001,B863,$A$2:$A$1001,"&lt;"&amp;A863,$A$2:$A$1001,"&gt;="&amp;(A863-설정!$B$2))-M863*AVERAGEIFS($J$2:$J$1001,$B$2:$B$1001,B863,$A$2:$A$1001,"&lt;"&amp;A863,$A$2:$A$1001,"&gt;="&amp;(A863-설정!$B$2))^2)/(M863-1))),2))</f>
        <v/>
      </c>
      <c r="M863" s="18" t="str">
        <f aca="false">IF(J863="","",COUNTIFS($B$2:$B$1001,B863,$A$2:$A$1001,"&lt;"&amp;A863,$A$2:$A$1001,"&gt;="&amp;(A863-설정!$B$2),$J$2:$J$1001,"&gt;=0"))</f>
        <v/>
      </c>
      <c r="N863" s="18" t="str">
        <f aca="false">IF(K863="","",IF(L863=0,"",ROUND((J863-K863)/L863,2)))</f>
        <v/>
      </c>
      <c r="O863" s="19" t="str">
        <f aca="false">IF(J863="","",IF(MIN(F863,G863)&lt;=설정!$B$5,"예",""))</f>
        <v/>
      </c>
      <c r="P863" s="19" t="str">
        <f aca="false">IF(J863="","",IF(M863&lt;설정!$B$3,"baseline 수집 중",IF(N863="","정상",IF(N863&lt;=설정!$B$4,"낮음","정상"))))</f>
        <v/>
      </c>
      <c r="Q863" s="20"/>
      <c r="R863" s="18" t="str">
        <f aca="false">IF(J863="","",J863^2)</f>
        <v/>
      </c>
    </row>
    <row r="864" customFormat="false" ht="15" hidden="false" customHeight="false" outlineLevel="0" collapsed="false">
      <c r="A864" s="16"/>
      <c r="B864" s="17"/>
      <c r="C864" s="17"/>
      <c r="D864" s="17"/>
      <c r="E864" s="17"/>
      <c r="F864" s="17"/>
      <c r="G864" s="17"/>
      <c r="H864" s="17"/>
      <c r="I864" s="17"/>
      <c r="J864" s="18" t="str">
        <f aca="false">IF(COUNT(E864:I864)&lt;5,"",SUM(E864:I864))</f>
        <v/>
      </c>
      <c r="K864" s="18" t="str">
        <f aca="false">IF(J864="","",IF(M864&lt;설정!$B$3,"",ROUND(AVERAGEIFS($J$2:$J$1001,$B$2:$B$1001,B864,$A$2:$A$1001,"&lt;"&amp;A864,$A$2:$A$1001,"&gt;="&amp;(A864-설정!$B$2)),2)))</f>
        <v/>
      </c>
      <c r="L864" s="18" t="str">
        <f aca="false">IF(K864="","",ROUND(SQRT(MAX(0,(SUMIFS($R$2:$R$1001,$B$2:$B$1001,B864,$A$2:$A$1001,"&lt;"&amp;A864,$A$2:$A$1001,"&gt;="&amp;(A864-설정!$B$2))-M864*AVERAGEIFS($J$2:$J$1001,$B$2:$B$1001,B864,$A$2:$A$1001,"&lt;"&amp;A864,$A$2:$A$1001,"&gt;="&amp;(A864-설정!$B$2))^2)/(M864-1))),2))</f>
        <v/>
      </c>
      <c r="M864" s="18" t="str">
        <f aca="false">IF(J864="","",COUNTIFS($B$2:$B$1001,B864,$A$2:$A$1001,"&lt;"&amp;A864,$A$2:$A$1001,"&gt;="&amp;(A864-설정!$B$2),$J$2:$J$1001,"&gt;=0"))</f>
        <v/>
      </c>
      <c r="N864" s="18" t="str">
        <f aca="false">IF(K864="","",IF(L864=0,"",ROUND((J864-K864)/L864,2)))</f>
        <v/>
      </c>
      <c r="O864" s="19" t="str">
        <f aca="false">IF(J864="","",IF(MIN(F864,G864)&lt;=설정!$B$5,"예",""))</f>
        <v/>
      </c>
      <c r="P864" s="19" t="str">
        <f aca="false">IF(J864="","",IF(M864&lt;설정!$B$3,"baseline 수집 중",IF(N864="","정상",IF(N864&lt;=설정!$B$4,"낮음","정상"))))</f>
        <v/>
      </c>
      <c r="Q864" s="20"/>
      <c r="R864" s="18" t="str">
        <f aca="false">IF(J864="","",J864^2)</f>
        <v/>
      </c>
    </row>
    <row r="865" customFormat="false" ht="15" hidden="false" customHeight="false" outlineLevel="0" collapsed="false">
      <c r="A865" s="16"/>
      <c r="B865" s="17"/>
      <c r="C865" s="17"/>
      <c r="D865" s="17"/>
      <c r="E865" s="17"/>
      <c r="F865" s="17"/>
      <c r="G865" s="17"/>
      <c r="H865" s="17"/>
      <c r="I865" s="17"/>
      <c r="J865" s="18" t="str">
        <f aca="false">IF(COUNT(E865:I865)&lt;5,"",SUM(E865:I865))</f>
        <v/>
      </c>
      <c r="K865" s="18" t="str">
        <f aca="false">IF(J865="","",IF(M865&lt;설정!$B$3,"",ROUND(AVERAGEIFS($J$2:$J$1001,$B$2:$B$1001,B865,$A$2:$A$1001,"&lt;"&amp;A865,$A$2:$A$1001,"&gt;="&amp;(A865-설정!$B$2)),2)))</f>
        <v/>
      </c>
      <c r="L865" s="18" t="str">
        <f aca="false">IF(K865="","",ROUND(SQRT(MAX(0,(SUMIFS($R$2:$R$1001,$B$2:$B$1001,B865,$A$2:$A$1001,"&lt;"&amp;A865,$A$2:$A$1001,"&gt;="&amp;(A865-설정!$B$2))-M865*AVERAGEIFS($J$2:$J$1001,$B$2:$B$1001,B865,$A$2:$A$1001,"&lt;"&amp;A865,$A$2:$A$1001,"&gt;="&amp;(A865-설정!$B$2))^2)/(M865-1))),2))</f>
        <v/>
      </c>
      <c r="M865" s="18" t="str">
        <f aca="false">IF(J865="","",COUNTIFS($B$2:$B$1001,B865,$A$2:$A$1001,"&lt;"&amp;A865,$A$2:$A$1001,"&gt;="&amp;(A865-설정!$B$2),$J$2:$J$1001,"&gt;=0"))</f>
        <v/>
      </c>
      <c r="N865" s="18" t="str">
        <f aca="false">IF(K865="","",IF(L865=0,"",ROUND((J865-K865)/L865,2)))</f>
        <v/>
      </c>
      <c r="O865" s="19" t="str">
        <f aca="false">IF(J865="","",IF(MIN(F865,G865)&lt;=설정!$B$5,"예",""))</f>
        <v/>
      </c>
      <c r="P865" s="19" t="str">
        <f aca="false">IF(J865="","",IF(M865&lt;설정!$B$3,"baseline 수집 중",IF(N865="","정상",IF(N865&lt;=설정!$B$4,"낮음","정상"))))</f>
        <v/>
      </c>
      <c r="Q865" s="20"/>
      <c r="R865" s="18" t="str">
        <f aca="false">IF(J865="","",J865^2)</f>
        <v/>
      </c>
    </row>
    <row r="866" customFormat="false" ht="15" hidden="false" customHeight="false" outlineLevel="0" collapsed="false">
      <c r="A866" s="16"/>
      <c r="B866" s="17"/>
      <c r="C866" s="17"/>
      <c r="D866" s="17"/>
      <c r="E866" s="17"/>
      <c r="F866" s="17"/>
      <c r="G866" s="17"/>
      <c r="H866" s="17"/>
      <c r="I866" s="17"/>
      <c r="J866" s="18" t="str">
        <f aca="false">IF(COUNT(E866:I866)&lt;5,"",SUM(E866:I866))</f>
        <v/>
      </c>
      <c r="K866" s="18" t="str">
        <f aca="false">IF(J866="","",IF(M866&lt;설정!$B$3,"",ROUND(AVERAGEIFS($J$2:$J$1001,$B$2:$B$1001,B866,$A$2:$A$1001,"&lt;"&amp;A866,$A$2:$A$1001,"&gt;="&amp;(A866-설정!$B$2)),2)))</f>
        <v/>
      </c>
      <c r="L866" s="18" t="str">
        <f aca="false">IF(K866="","",ROUND(SQRT(MAX(0,(SUMIFS($R$2:$R$1001,$B$2:$B$1001,B866,$A$2:$A$1001,"&lt;"&amp;A866,$A$2:$A$1001,"&gt;="&amp;(A866-설정!$B$2))-M866*AVERAGEIFS($J$2:$J$1001,$B$2:$B$1001,B866,$A$2:$A$1001,"&lt;"&amp;A866,$A$2:$A$1001,"&gt;="&amp;(A866-설정!$B$2))^2)/(M866-1))),2))</f>
        <v/>
      </c>
      <c r="M866" s="18" t="str">
        <f aca="false">IF(J866="","",COUNTIFS($B$2:$B$1001,B866,$A$2:$A$1001,"&lt;"&amp;A866,$A$2:$A$1001,"&gt;="&amp;(A866-설정!$B$2),$J$2:$J$1001,"&gt;=0"))</f>
        <v/>
      </c>
      <c r="N866" s="18" t="str">
        <f aca="false">IF(K866="","",IF(L866=0,"",ROUND((J866-K866)/L866,2)))</f>
        <v/>
      </c>
      <c r="O866" s="19" t="str">
        <f aca="false">IF(J866="","",IF(MIN(F866,G866)&lt;=설정!$B$5,"예",""))</f>
        <v/>
      </c>
      <c r="P866" s="19" t="str">
        <f aca="false">IF(J866="","",IF(M866&lt;설정!$B$3,"baseline 수집 중",IF(N866="","정상",IF(N866&lt;=설정!$B$4,"낮음","정상"))))</f>
        <v/>
      </c>
      <c r="Q866" s="20"/>
      <c r="R866" s="18" t="str">
        <f aca="false">IF(J866="","",J866^2)</f>
        <v/>
      </c>
    </row>
    <row r="867" customFormat="false" ht="15" hidden="false" customHeight="false" outlineLevel="0" collapsed="false">
      <c r="A867" s="16"/>
      <c r="B867" s="17"/>
      <c r="C867" s="17"/>
      <c r="D867" s="17"/>
      <c r="E867" s="17"/>
      <c r="F867" s="17"/>
      <c r="G867" s="17"/>
      <c r="H867" s="17"/>
      <c r="I867" s="17"/>
      <c r="J867" s="18" t="str">
        <f aca="false">IF(COUNT(E867:I867)&lt;5,"",SUM(E867:I867))</f>
        <v/>
      </c>
      <c r="K867" s="18" t="str">
        <f aca="false">IF(J867="","",IF(M867&lt;설정!$B$3,"",ROUND(AVERAGEIFS($J$2:$J$1001,$B$2:$B$1001,B867,$A$2:$A$1001,"&lt;"&amp;A867,$A$2:$A$1001,"&gt;="&amp;(A867-설정!$B$2)),2)))</f>
        <v/>
      </c>
      <c r="L867" s="18" t="str">
        <f aca="false">IF(K867="","",ROUND(SQRT(MAX(0,(SUMIFS($R$2:$R$1001,$B$2:$B$1001,B867,$A$2:$A$1001,"&lt;"&amp;A867,$A$2:$A$1001,"&gt;="&amp;(A867-설정!$B$2))-M867*AVERAGEIFS($J$2:$J$1001,$B$2:$B$1001,B867,$A$2:$A$1001,"&lt;"&amp;A867,$A$2:$A$1001,"&gt;="&amp;(A867-설정!$B$2))^2)/(M867-1))),2))</f>
        <v/>
      </c>
      <c r="M867" s="18" t="str">
        <f aca="false">IF(J867="","",COUNTIFS($B$2:$B$1001,B867,$A$2:$A$1001,"&lt;"&amp;A867,$A$2:$A$1001,"&gt;="&amp;(A867-설정!$B$2),$J$2:$J$1001,"&gt;=0"))</f>
        <v/>
      </c>
      <c r="N867" s="18" t="str">
        <f aca="false">IF(K867="","",IF(L867=0,"",ROUND((J867-K867)/L867,2)))</f>
        <v/>
      </c>
      <c r="O867" s="19" t="str">
        <f aca="false">IF(J867="","",IF(MIN(F867,G867)&lt;=설정!$B$5,"예",""))</f>
        <v/>
      </c>
      <c r="P867" s="19" t="str">
        <f aca="false">IF(J867="","",IF(M867&lt;설정!$B$3,"baseline 수집 중",IF(N867="","정상",IF(N867&lt;=설정!$B$4,"낮음","정상"))))</f>
        <v/>
      </c>
      <c r="Q867" s="20"/>
      <c r="R867" s="18" t="str">
        <f aca="false">IF(J867="","",J867^2)</f>
        <v/>
      </c>
    </row>
    <row r="868" customFormat="false" ht="15" hidden="false" customHeight="false" outlineLevel="0" collapsed="false">
      <c r="A868" s="16"/>
      <c r="B868" s="17"/>
      <c r="C868" s="17"/>
      <c r="D868" s="17"/>
      <c r="E868" s="17"/>
      <c r="F868" s="17"/>
      <c r="G868" s="17"/>
      <c r="H868" s="17"/>
      <c r="I868" s="17"/>
      <c r="J868" s="18" t="str">
        <f aca="false">IF(COUNT(E868:I868)&lt;5,"",SUM(E868:I868))</f>
        <v/>
      </c>
      <c r="K868" s="18" t="str">
        <f aca="false">IF(J868="","",IF(M868&lt;설정!$B$3,"",ROUND(AVERAGEIFS($J$2:$J$1001,$B$2:$B$1001,B868,$A$2:$A$1001,"&lt;"&amp;A868,$A$2:$A$1001,"&gt;="&amp;(A868-설정!$B$2)),2)))</f>
        <v/>
      </c>
      <c r="L868" s="18" t="str">
        <f aca="false">IF(K868="","",ROUND(SQRT(MAX(0,(SUMIFS($R$2:$R$1001,$B$2:$B$1001,B868,$A$2:$A$1001,"&lt;"&amp;A868,$A$2:$A$1001,"&gt;="&amp;(A868-설정!$B$2))-M868*AVERAGEIFS($J$2:$J$1001,$B$2:$B$1001,B868,$A$2:$A$1001,"&lt;"&amp;A868,$A$2:$A$1001,"&gt;="&amp;(A868-설정!$B$2))^2)/(M868-1))),2))</f>
        <v/>
      </c>
      <c r="M868" s="18" t="str">
        <f aca="false">IF(J868="","",COUNTIFS($B$2:$B$1001,B868,$A$2:$A$1001,"&lt;"&amp;A868,$A$2:$A$1001,"&gt;="&amp;(A868-설정!$B$2),$J$2:$J$1001,"&gt;=0"))</f>
        <v/>
      </c>
      <c r="N868" s="18" t="str">
        <f aca="false">IF(K868="","",IF(L868=0,"",ROUND((J868-K868)/L868,2)))</f>
        <v/>
      </c>
      <c r="O868" s="19" t="str">
        <f aca="false">IF(J868="","",IF(MIN(F868,G868)&lt;=설정!$B$5,"예",""))</f>
        <v/>
      </c>
      <c r="P868" s="19" t="str">
        <f aca="false">IF(J868="","",IF(M868&lt;설정!$B$3,"baseline 수집 중",IF(N868="","정상",IF(N868&lt;=설정!$B$4,"낮음","정상"))))</f>
        <v/>
      </c>
      <c r="Q868" s="20"/>
      <c r="R868" s="18" t="str">
        <f aca="false">IF(J868="","",J868^2)</f>
        <v/>
      </c>
    </row>
    <row r="869" customFormat="false" ht="15" hidden="false" customHeight="false" outlineLevel="0" collapsed="false">
      <c r="A869" s="16"/>
      <c r="B869" s="17"/>
      <c r="C869" s="17"/>
      <c r="D869" s="17"/>
      <c r="E869" s="17"/>
      <c r="F869" s="17"/>
      <c r="G869" s="17"/>
      <c r="H869" s="17"/>
      <c r="I869" s="17"/>
      <c r="J869" s="18" t="str">
        <f aca="false">IF(COUNT(E869:I869)&lt;5,"",SUM(E869:I869))</f>
        <v/>
      </c>
      <c r="K869" s="18" t="str">
        <f aca="false">IF(J869="","",IF(M869&lt;설정!$B$3,"",ROUND(AVERAGEIFS($J$2:$J$1001,$B$2:$B$1001,B869,$A$2:$A$1001,"&lt;"&amp;A869,$A$2:$A$1001,"&gt;="&amp;(A869-설정!$B$2)),2)))</f>
        <v/>
      </c>
      <c r="L869" s="18" t="str">
        <f aca="false">IF(K869="","",ROUND(SQRT(MAX(0,(SUMIFS($R$2:$R$1001,$B$2:$B$1001,B869,$A$2:$A$1001,"&lt;"&amp;A869,$A$2:$A$1001,"&gt;="&amp;(A869-설정!$B$2))-M869*AVERAGEIFS($J$2:$J$1001,$B$2:$B$1001,B869,$A$2:$A$1001,"&lt;"&amp;A869,$A$2:$A$1001,"&gt;="&amp;(A869-설정!$B$2))^2)/(M869-1))),2))</f>
        <v/>
      </c>
      <c r="M869" s="18" t="str">
        <f aca="false">IF(J869="","",COUNTIFS($B$2:$B$1001,B869,$A$2:$A$1001,"&lt;"&amp;A869,$A$2:$A$1001,"&gt;="&amp;(A869-설정!$B$2),$J$2:$J$1001,"&gt;=0"))</f>
        <v/>
      </c>
      <c r="N869" s="18" t="str">
        <f aca="false">IF(K869="","",IF(L869=0,"",ROUND((J869-K869)/L869,2)))</f>
        <v/>
      </c>
      <c r="O869" s="19" t="str">
        <f aca="false">IF(J869="","",IF(MIN(F869,G869)&lt;=설정!$B$5,"예",""))</f>
        <v/>
      </c>
      <c r="P869" s="19" t="str">
        <f aca="false">IF(J869="","",IF(M869&lt;설정!$B$3,"baseline 수집 중",IF(N869="","정상",IF(N869&lt;=설정!$B$4,"낮음","정상"))))</f>
        <v/>
      </c>
      <c r="Q869" s="20"/>
      <c r="R869" s="18" t="str">
        <f aca="false">IF(J869="","",J869^2)</f>
        <v/>
      </c>
    </row>
    <row r="870" customFormat="false" ht="15" hidden="false" customHeight="false" outlineLevel="0" collapsed="false">
      <c r="A870" s="16"/>
      <c r="B870" s="17"/>
      <c r="C870" s="17"/>
      <c r="D870" s="17"/>
      <c r="E870" s="17"/>
      <c r="F870" s="17"/>
      <c r="G870" s="17"/>
      <c r="H870" s="17"/>
      <c r="I870" s="17"/>
      <c r="J870" s="18" t="str">
        <f aca="false">IF(COUNT(E870:I870)&lt;5,"",SUM(E870:I870))</f>
        <v/>
      </c>
      <c r="K870" s="18" t="str">
        <f aca="false">IF(J870="","",IF(M870&lt;설정!$B$3,"",ROUND(AVERAGEIFS($J$2:$J$1001,$B$2:$B$1001,B870,$A$2:$A$1001,"&lt;"&amp;A870,$A$2:$A$1001,"&gt;="&amp;(A870-설정!$B$2)),2)))</f>
        <v/>
      </c>
      <c r="L870" s="18" t="str">
        <f aca="false">IF(K870="","",ROUND(SQRT(MAX(0,(SUMIFS($R$2:$R$1001,$B$2:$B$1001,B870,$A$2:$A$1001,"&lt;"&amp;A870,$A$2:$A$1001,"&gt;="&amp;(A870-설정!$B$2))-M870*AVERAGEIFS($J$2:$J$1001,$B$2:$B$1001,B870,$A$2:$A$1001,"&lt;"&amp;A870,$A$2:$A$1001,"&gt;="&amp;(A870-설정!$B$2))^2)/(M870-1))),2))</f>
        <v/>
      </c>
      <c r="M870" s="18" t="str">
        <f aca="false">IF(J870="","",COUNTIFS($B$2:$B$1001,B870,$A$2:$A$1001,"&lt;"&amp;A870,$A$2:$A$1001,"&gt;="&amp;(A870-설정!$B$2),$J$2:$J$1001,"&gt;=0"))</f>
        <v/>
      </c>
      <c r="N870" s="18" t="str">
        <f aca="false">IF(K870="","",IF(L870=0,"",ROUND((J870-K870)/L870,2)))</f>
        <v/>
      </c>
      <c r="O870" s="19" t="str">
        <f aca="false">IF(J870="","",IF(MIN(F870,G870)&lt;=설정!$B$5,"예",""))</f>
        <v/>
      </c>
      <c r="P870" s="19" t="str">
        <f aca="false">IF(J870="","",IF(M870&lt;설정!$B$3,"baseline 수집 중",IF(N870="","정상",IF(N870&lt;=설정!$B$4,"낮음","정상"))))</f>
        <v/>
      </c>
      <c r="Q870" s="20"/>
      <c r="R870" s="18" t="str">
        <f aca="false">IF(J870="","",J870^2)</f>
        <v/>
      </c>
    </row>
    <row r="871" customFormat="false" ht="15" hidden="false" customHeight="false" outlineLevel="0" collapsed="false">
      <c r="A871" s="16"/>
      <c r="B871" s="17"/>
      <c r="C871" s="17"/>
      <c r="D871" s="17"/>
      <c r="E871" s="17"/>
      <c r="F871" s="17"/>
      <c r="G871" s="17"/>
      <c r="H871" s="17"/>
      <c r="I871" s="17"/>
      <c r="J871" s="18" t="str">
        <f aca="false">IF(COUNT(E871:I871)&lt;5,"",SUM(E871:I871))</f>
        <v/>
      </c>
      <c r="K871" s="18" t="str">
        <f aca="false">IF(J871="","",IF(M871&lt;설정!$B$3,"",ROUND(AVERAGEIFS($J$2:$J$1001,$B$2:$B$1001,B871,$A$2:$A$1001,"&lt;"&amp;A871,$A$2:$A$1001,"&gt;="&amp;(A871-설정!$B$2)),2)))</f>
        <v/>
      </c>
      <c r="L871" s="18" t="str">
        <f aca="false">IF(K871="","",ROUND(SQRT(MAX(0,(SUMIFS($R$2:$R$1001,$B$2:$B$1001,B871,$A$2:$A$1001,"&lt;"&amp;A871,$A$2:$A$1001,"&gt;="&amp;(A871-설정!$B$2))-M871*AVERAGEIFS($J$2:$J$1001,$B$2:$B$1001,B871,$A$2:$A$1001,"&lt;"&amp;A871,$A$2:$A$1001,"&gt;="&amp;(A871-설정!$B$2))^2)/(M871-1))),2))</f>
        <v/>
      </c>
      <c r="M871" s="18" t="str">
        <f aca="false">IF(J871="","",COUNTIFS($B$2:$B$1001,B871,$A$2:$A$1001,"&lt;"&amp;A871,$A$2:$A$1001,"&gt;="&amp;(A871-설정!$B$2),$J$2:$J$1001,"&gt;=0"))</f>
        <v/>
      </c>
      <c r="N871" s="18" t="str">
        <f aca="false">IF(K871="","",IF(L871=0,"",ROUND((J871-K871)/L871,2)))</f>
        <v/>
      </c>
      <c r="O871" s="19" t="str">
        <f aca="false">IF(J871="","",IF(MIN(F871,G871)&lt;=설정!$B$5,"예",""))</f>
        <v/>
      </c>
      <c r="P871" s="19" t="str">
        <f aca="false">IF(J871="","",IF(M871&lt;설정!$B$3,"baseline 수집 중",IF(N871="","정상",IF(N871&lt;=설정!$B$4,"낮음","정상"))))</f>
        <v/>
      </c>
      <c r="Q871" s="20"/>
      <c r="R871" s="18" t="str">
        <f aca="false">IF(J871="","",J871^2)</f>
        <v/>
      </c>
    </row>
    <row r="872" customFormat="false" ht="15" hidden="false" customHeight="false" outlineLevel="0" collapsed="false">
      <c r="A872" s="16"/>
      <c r="B872" s="17"/>
      <c r="C872" s="17"/>
      <c r="D872" s="17"/>
      <c r="E872" s="17"/>
      <c r="F872" s="17"/>
      <c r="G872" s="17"/>
      <c r="H872" s="17"/>
      <c r="I872" s="17"/>
      <c r="J872" s="18" t="str">
        <f aca="false">IF(COUNT(E872:I872)&lt;5,"",SUM(E872:I872))</f>
        <v/>
      </c>
      <c r="K872" s="18" t="str">
        <f aca="false">IF(J872="","",IF(M872&lt;설정!$B$3,"",ROUND(AVERAGEIFS($J$2:$J$1001,$B$2:$B$1001,B872,$A$2:$A$1001,"&lt;"&amp;A872,$A$2:$A$1001,"&gt;="&amp;(A872-설정!$B$2)),2)))</f>
        <v/>
      </c>
      <c r="L872" s="18" t="str">
        <f aca="false">IF(K872="","",ROUND(SQRT(MAX(0,(SUMIFS($R$2:$R$1001,$B$2:$B$1001,B872,$A$2:$A$1001,"&lt;"&amp;A872,$A$2:$A$1001,"&gt;="&amp;(A872-설정!$B$2))-M872*AVERAGEIFS($J$2:$J$1001,$B$2:$B$1001,B872,$A$2:$A$1001,"&lt;"&amp;A872,$A$2:$A$1001,"&gt;="&amp;(A872-설정!$B$2))^2)/(M872-1))),2))</f>
        <v/>
      </c>
      <c r="M872" s="18" t="str">
        <f aca="false">IF(J872="","",COUNTIFS($B$2:$B$1001,B872,$A$2:$A$1001,"&lt;"&amp;A872,$A$2:$A$1001,"&gt;="&amp;(A872-설정!$B$2),$J$2:$J$1001,"&gt;=0"))</f>
        <v/>
      </c>
      <c r="N872" s="18" t="str">
        <f aca="false">IF(K872="","",IF(L872=0,"",ROUND((J872-K872)/L872,2)))</f>
        <v/>
      </c>
      <c r="O872" s="19" t="str">
        <f aca="false">IF(J872="","",IF(MIN(F872,G872)&lt;=설정!$B$5,"예",""))</f>
        <v/>
      </c>
      <c r="P872" s="19" t="str">
        <f aca="false">IF(J872="","",IF(M872&lt;설정!$B$3,"baseline 수집 중",IF(N872="","정상",IF(N872&lt;=설정!$B$4,"낮음","정상"))))</f>
        <v/>
      </c>
      <c r="Q872" s="20"/>
      <c r="R872" s="18" t="str">
        <f aca="false">IF(J872="","",J872^2)</f>
        <v/>
      </c>
    </row>
    <row r="873" customFormat="false" ht="15" hidden="false" customHeight="false" outlineLevel="0" collapsed="false">
      <c r="A873" s="16"/>
      <c r="B873" s="17"/>
      <c r="C873" s="17"/>
      <c r="D873" s="17"/>
      <c r="E873" s="17"/>
      <c r="F873" s="17"/>
      <c r="G873" s="17"/>
      <c r="H873" s="17"/>
      <c r="I873" s="17"/>
      <c r="J873" s="18" t="str">
        <f aca="false">IF(COUNT(E873:I873)&lt;5,"",SUM(E873:I873))</f>
        <v/>
      </c>
      <c r="K873" s="18" t="str">
        <f aca="false">IF(J873="","",IF(M873&lt;설정!$B$3,"",ROUND(AVERAGEIFS($J$2:$J$1001,$B$2:$B$1001,B873,$A$2:$A$1001,"&lt;"&amp;A873,$A$2:$A$1001,"&gt;="&amp;(A873-설정!$B$2)),2)))</f>
        <v/>
      </c>
      <c r="L873" s="18" t="str">
        <f aca="false">IF(K873="","",ROUND(SQRT(MAX(0,(SUMIFS($R$2:$R$1001,$B$2:$B$1001,B873,$A$2:$A$1001,"&lt;"&amp;A873,$A$2:$A$1001,"&gt;="&amp;(A873-설정!$B$2))-M873*AVERAGEIFS($J$2:$J$1001,$B$2:$B$1001,B873,$A$2:$A$1001,"&lt;"&amp;A873,$A$2:$A$1001,"&gt;="&amp;(A873-설정!$B$2))^2)/(M873-1))),2))</f>
        <v/>
      </c>
      <c r="M873" s="18" t="str">
        <f aca="false">IF(J873="","",COUNTIFS($B$2:$B$1001,B873,$A$2:$A$1001,"&lt;"&amp;A873,$A$2:$A$1001,"&gt;="&amp;(A873-설정!$B$2),$J$2:$J$1001,"&gt;=0"))</f>
        <v/>
      </c>
      <c r="N873" s="18" t="str">
        <f aca="false">IF(K873="","",IF(L873=0,"",ROUND((J873-K873)/L873,2)))</f>
        <v/>
      </c>
      <c r="O873" s="19" t="str">
        <f aca="false">IF(J873="","",IF(MIN(F873,G873)&lt;=설정!$B$5,"예",""))</f>
        <v/>
      </c>
      <c r="P873" s="19" t="str">
        <f aca="false">IF(J873="","",IF(M873&lt;설정!$B$3,"baseline 수집 중",IF(N873="","정상",IF(N873&lt;=설정!$B$4,"낮음","정상"))))</f>
        <v/>
      </c>
      <c r="Q873" s="20"/>
      <c r="R873" s="18" t="str">
        <f aca="false">IF(J873="","",J873^2)</f>
        <v/>
      </c>
    </row>
    <row r="874" customFormat="false" ht="15" hidden="false" customHeight="false" outlineLevel="0" collapsed="false">
      <c r="A874" s="16"/>
      <c r="B874" s="17"/>
      <c r="C874" s="17"/>
      <c r="D874" s="17"/>
      <c r="E874" s="17"/>
      <c r="F874" s="17"/>
      <c r="G874" s="17"/>
      <c r="H874" s="17"/>
      <c r="I874" s="17"/>
      <c r="J874" s="18" t="str">
        <f aca="false">IF(COUNT(E874:I874)&lt;5,"",SUM(E874:I874))</f>
        <v/>
      </c>
      <c r="K874" s="18" t="str">
        <f aca="false">IF(J874="","",IF(M874&lt;설정!$B$3,"",ROUND(AVERAGEIFS($J$2:$J$1001,$B$2:$B$1001,B874,$A$2:$A$1001,"&lt;"&amp;A874,$A$2:$A$1001,"&gt;="&amp;(A874-설정!$B$2)),2)))</f>
        <v/>
      </c>
      <c r="L874" s="18" t="str">
        <f aca="false">IF(K874="","",ROUND(SQRT(MAX(0,(SUMIFS($R$2:$R$1001,$B$2:$B$1001,B874,$A$2:$A$1001,"&lt;"&amp;A874,$A$2:$A$1001,"&gt;="&amp;(A874-설정!$B$2))-M874*AVERAGEIFS($J$2:$J$1001,$B$2:$B$1001,B874,$A$2:$A$1001,"&lt;"&amp;A874,$A$2:$A$1001,"&gt;="&amp;(A874-설정!$B$2))^2)/(M874-1))),2))</f>
        <v/>
      </c>
      <c r="M874" s="18" t="str">
        <f aca="false">IF(J874="","",COUNTIFS($B$2:$B$1001,B874,$A$2:$A$1001,"&lt;"&amp;A874,$A$2:$A$1001,"&gt;="&amp;(A874-설정!$B$2),$J$2:$J$1001,"&gt;=0"))</f>
        <v/>
      </c>
      <c r="N874" s="18" t="str">
        <f aca="false">IF(K874="","",IF(L874=0,"",ROUND((J874-K874)/L874,2)))</f>
        <v/>
      </c>
      <c r="O874" s="19" t="str">
        <f aca="false">IF(J874="","",IF(MIN(F874,G874)&lt;=설정!$B$5,"예",""))</f>
        <v/>
      </c>
      <c r="P874" s="19" t="str">
        <f aca="false">IF(J874="","",IF(M874&lt;설정!$B$3,"baseline 수집 중",IF(N874="","정상",IF(N874&lt;=설정!$B$4,"낮음","정상"))))</f>
        <v/>
      </c>
      <c r="Q874" s="20"/>
      <c r="R874" s="18" t="str">
        <f aca="false">IF(J874="","",J874^2)</f>
        <v/>
      </c>
    </row>
    <row r="875" customFormat="false" ht="15" hidden="false" customHeight="false" outlineLevel="0" collapsed="false">
      <c r="A875" s="16"/>
      <c r="B875" s="17"/>
      <c r="C875" s="17"/>
      <c r="D875" s="17"/>
      <c r="E875" s="17"/>
      <c r="F875" s="17"/>
      <c r="G875" s="17"/>
      <c r="H875" s="17"/>
      <c r="I875" s="17"/>
      <c r="J875" s="18" t="str">
        <f aca="false">IF(COUNT(E875:I875)&lt;5,"",SUM(E875:I875))</f>
        <v/>
      </c>
      <c r="K875" s="18" t="str">
        <f aca="false">IF(J875="","",IF(M875&lt;설정!$B$3,"",ROUND(AVERAGEIFS($J$2:$J$1001,$B$2:$B$1001,B875,$A$2:$A$1001,"&lt;"&amp;A875,$A$2:$A$1001,"&gt;="&amp;(A875-설정!$B$2)),2)))</f>
        <v/>
      </c>
      <c r="L875" s="18" t="str">
        <f aca="false">IF(K875="","",ROUND(SQRT(MAX(0,(SUMIFS($R$2:$R$1001,$B$2:$B$1001,B875,$A$2:$A$1001,"&lt;"&amp;A875,$A$2:$A$1001,"&gt;="&amp;(A875-설정!$B$2))-M875*AVERAGEIFS($J$2:$J$1001,$B$2:$B$1001,B875,$A$2:$A$1001,"&lt;"&amp;A875,$A$2:$A$1001,"&gt;="&amp;(A875-설정!$B$2))^2)/(M875-1))),2))</f>
        <v/>
      </c>
      <c r="M875" s="18" t="str">
        <f aca="false">IF(J875="","",COUNTIFS($B$2:$B$1001,B875,$A$2:$A$1001,"&lt;"&amp;A875,$A$2:$A$1001,"&gt;="&amp;(A875-설정!$B$2),$J$2:$J$1001,"&gt;=0"))</f>
        <v/>
      </c>
      <c r="N875" s="18" t="str">
        <f aca="false">IF(K875="","",IF(L875=0,"",ROUND((J875-K875)/L875,2)))</f>
        <v/>
      </c>
      <c r="O875" s="19" t="str">
        <f aca="false">IF(J875="","",IF(MIN(F875,G875)&lt;=설정!$B$5,"예",""))</f>
        <v/>
      </c>
      <c r="P875" s="19" t="str">
        <f aca="false">IF(J875="","",IF(M875&lt;설정!$B$3,"baseline 수집 중",IF(N875="","정상",IF(N875&lt;=설정!$B$4,"낮음","정상"))))</f>
        <v/>
      </c>
      <c r="Q875" s="20"/>
      <c r="R875" s="18" t="str">
        <f aca="false">IF(J875="","",J875^2)</f>
        <v/>
      </c>
    </row>
    <row r="876" customFormat="false" ht="15" hidden="false" customHeight="false" outlineLevel="0" collapsed="false">
      <c r="A876" s="16"/>
      <c r="B876" s="17"/>
      <c r="C876" s="17"/>
      <c r="D876" s="17"/>
      <c r="E876" s="17"/>
      <c r="F876" s="17"/>
      <c r="G876" s="17"/>
      <c r="H876" s="17"/>
      <c r="I876" s="17"/>
      <c r="J876" s="18" t="str">
        <f aca="false">IF(COUNT(E876:I876)&lt;5,"",SUM(E876:I876))</f>
        <v/>
      </c>
      <c r="K876" s="18" t="str">
        <f aca="false">IF(J876="","",IF(M876&lt;설정!$B$3,"",ROUND(AVERAGEIFS($J$2:$J$1001,$B$2:$B$1001,B876,$A$2:$A$1001,"&lt;"&amp;A876,$A$2:$A$1001,"&gt;="&amp;(A876-설정!$B$2)),2)))</f>
        <v/>
      </c>
      <c r="L876" s="18" t="str">
        <f aca="false">IF(K876="","",ROUND(SQRT(MAX(0,(SUMIFS($R$2:$R$1001,$B$2:$B$1001,B876,$A$2:$A$1001,"&lt;"&amp;A876,$A$2:$A$1001,"&gt;="&amp;(A876-설정!$B$2))-M876*AVERAGEIFS($J$2:$J$1001,$B$2:$B$1001,B876,$A$2:$A$1001,"&lt;"&amp;A876,$A$2:$A$1001,"&gt;="&amp;(A876-설정!$B$2))^2)/(M876-1))),2))</f>
        <v/>
      </c>
      <c r="M876" s="18" t="str">
        <f aca="false">IF(J876="","",COUNTIFS($B$2:$B$1001,B876,$A$2:$A$1001,"&lt;"&amp;A876,$A$2:$A$1001,"&gt;="&amp;(A876-설정!$B$2),$J$2:$J$1001,"&gt;=0"))</f>
        <v/>
      </c>
      <c r="N876" s="18" t="str">
        <f aca="false">IF(K876="","",IF(L876=0,"",ROUND((J876-K876)/L876,2)))</f>
        <v/>
      </c>
      <c r="O876" s="19" t="str">
        <f aca="false">IF(J876="","",IF(MIN(F876,G876)&lt;=설정!$B$5,"예",""))</f>
        <v/>
      </c>
      <c r="P876" s="19" t="str">
        <f aca="false">IF(J876="","",IF(M876&lt;설정!$B$3,"baseline 수집 중",IF(N876="","정상",IF(N876&lt;=설정!$B$4,"낮음","정상"))))</f>
        <v/>
      </c>
      <c r="Q876" s="20"/>
      <c r="R876" s="18" t="str">
        <f aca="false">IF(J876="","",J876^2)</f>
        <v/>
      </c>
    </row>
    <row r="877" customFormat="false" ht="15" hidden="false" customHeight="false" outlineLevel="0" collapsed="false">
      <c r="A877" s="16"/>
      <c r="B877" s="17"/>
      <c r="C877" s="17"/>
      <c r="D877" s="17"/>
      <c r="E877" s="17"/>
      <c r="F877" s="17"/>
      <c r="G877" s="17"/>
      <c r="H877" s="17"/>
      <c r="I877" s="17"/>
      <c r="J877" s="18" t="str">
        <f aca="false">IF(COUNT(E877:I877)&lt;5,"",SUM(E877:I877))</f>
        <v/>
      </c>
      <c r="K877" s="18" t="str">
        <f aca="false">IF(J877="","",IF(M877&lt;설정!$B$3,"",ROUND(AVERAGEIFS($J$2:$J$1001,$B$2:$B$1001,B877,$A$2:$A$1001,"&lt;"&amp;A877,$A$2:$A$1001,"&gt;="&amp;(A877-설정!$B$2)),2)))</f>
        <v/>
      </c>
      <c r="L877" s="18" t="str">
        <f aca="false">IF(K877="","",ROUND(SQRT(MAX(0,(SUMIFS($R$2:$R$1001,$B$2:$B$1001,B877,$A$2:$A$1001,"&lt;"&amp;A877,$A$2:$A$1001,"&gt;="&amp;(A877-설정!$B$2))-M877*AVERAGEIFS($J$2:$J$1001,$B$2:$B$1001,B877,$A$2:$A$1001,"&lt;"&amp;A877,$A$2:$A$1001,"&gt;="&amp;(A877-설정!$B$2))^2)/(M877-1))),2))</f>
        <v/>
      </c>
      <c r="M877" s="18" t="str">
        <f aca="false">IF(J877="","",COUNTIFS($B$2:$B$1001,B877,$A$2:$A$1001,"&lt;"&amp;A877,$A$2:$A$1001,"&gt;="&amp;(A877-설정!$B$2),$J$2:$J$1001,"&gt;=0"))</f>
        <v/>
      </c>
      <c r="N877" s="18" t="str">
        <f aca="false">IF(K877="","",IF(L877=0,"",ROUND((J877-K877)/L877,2)))</f>
        <v/>
      </c>
      <c r="O877" s="19" t="str">
        <f aca="false">IF(J877="","",IF(MIN(F877,G877)&lt;=설정!$B$5,"예",""))</f>
        <v/>
      </c>
      <c r="P877" s="19" t="str">
        <f aca="false">IF(J877="","",IF(M877&lt;설정!$B$3,"baseline 수집 중",IF(N877="","정상",IF(N877&lt;=설정!$B$4,"낮음","정상"))))</f>
        <v/>
      </c>
      <c r="Q877" s="20"/>
      <c r="R877" s="18" t="str">
        <f aca="false">IF(J877="","",J877^2)</f>
        <v/>
      </c>
    </row>
    <row r="878" customFormat="false" ht="15" hidden="false" customHeight="false" outlineLevel="0" collapsed="false">
      <c r="A878" s="16"/>
      <c r="B878" s="17"/>
      <c r="C878" s="17"/>
      <c r="D878" s="17"/>
      <c r="E878" s="17"/>
      <c r="F878" s="17"/>
      <c r="G878" s="17"/>
      <c r="H878" s="17"/>
      <c r="I878" s="17"/>
      <c r="J878" s="18" t="str">
        <f aca="false">IF(COUNT(E878:I878)&lt;5,"",SUM(E878:I878))</f>
        <v/>
      </c>
      <c r="K878" s="18" t="str">
        <f aca="false">IF(J878="","",IF(M878&lt;설정!$B$3,"",ROUND(AVERAGEIFS($J$2:$J$1001,$B$2:$B$1001,B878,$A$2:$A$1001,"&lt;"&amp;A878,$A$2:$A$1001,"&gt;="&amp;(A878-설정!$B$2)),2)))</f>
        <v/>
      </c>
      <c r="L878" s="18" t="str">
        <f aca="false">IF(K878="","",ROUND(SQRT(MAX(0,(SUMIFS($R$2:$R$1001,$B$2:$B$1001,B878,$A$2:$A$1001,"&lt;"&amp;A878,$A$2:$A$1001,"&gt;="&amp;(A878-설정!$B$2))-M878*AVERAGEIFS($J$2:$J$1001,$B$2:$B$1001,B878,$A$2:$A$1001,"&lt;"&amp;A878,$A$2:$A$1001,"&gt;="&amp;(A878-설정!$B$2))^2)/(M878-1))),2))</f>
        <v/>
      </c>
      <c r="M878" s="18" t="str">
        <f aca="false">IF(J878="","",COUNTIFS($B$2:$B$1001,B878,$A$2:$A$1001,"&lt;"&amp;A878,$A$2:$A$1001,"&gt;="&amp;(A878-설정!$B$2),$J$2:$J$1001,"&gt;=0"))</f>
        <v/>
      </c>
      <c r="N878" s="18" t="str">
        <f aca="false">IF(K878="","",IF(L878=0,"",ROUND((J878-K878)/L878,2)))</f>
        <v/>
      </c>
      <c r="O878" s="19" t="str">
        <f aca="false">IF(J878="","",IF(MIN(F878,G878)&lt;=설정!$B$5,"예",""))</f>
        <v/>
      </c>
      <c r="P878" s="19" t="str">
        <f aca="false">IF(J878="","",IF(M878&lt;설정!$B$3,"baseline 수집 중",IF(N878="","정상",IF(N878&lt;=설정!$B$4,"낮음","정상"))))</f>
        <v/>
      </c>
      <c r="Q878" s="20"/>
      <c r="R878" s="18" t="str">
        <f aca="false">IF(J878="","",J878^2)</f>
        <v/>
      </c>
    </row>
    <row r="879" customFormat="false" ht="15" hidden="false" customHeight="false" outlineLevel="0" collapsed="false">
      <c r="A879" s="16"/>
      <c r="B879" s="17"/>
      <c r="C879" s="17"/>
      <c r="D879" s="17"/>
      <c r="E879" s="17"/>
      <c r="F879" s="17"/>
      <c r="G879" s="17"/>
      <c r="H879" s="17"/>
      <c r="I879" s="17"/>
      <c r="J879" s="18" t="str">
        <f aca="false">IF(COUNT(E879:I879)&lt;5,"",SUM(E879:I879))</f>
        <v/>
      </c>
      <c r="K879" s="18" t="str">
        <f aca="false">IF(J879="","",IF(M879&lt;설정!$B$3,"",ROUND(AVERAGEIFS($J$2:$J$1001,$B$2:$B$1001,B879,$A$2:$A$1001,"&lt;"&amp;A879,$A$2:$A$1001,"&gt;="&amp;(A879-설정!$B$2)),2)))</f>
        <v/>
      </c>
      <c r="L879" s="18" t="str">
        <f aca="false">IF(K879="","",ROUND(SQRT(MAX(0,(SUMIFS($R$2:$R$1001,$B$2:$B$1001,B879,$A$2:$A$1001,"&lt;"&amp;A879,$A$2:$A$1001,"&gt;="&amp;(A879-설정!$B$2))-M879*AVERAGEIFS($J$2:$J$1001,$B$2:$B$1001,B879,$A$2:$A$1001,"&lt;"&amp;A879,$A$2:$A$1001,"&gt;="&amp;(A879-설정!$B$2))^2)/(M879-1))),2))</f>
        <v/>
      </c>
      <c r="M879" s="18" t="str">
        <f aca="false">IF(J879="","",COUNTIFS($B$2:$B$1001,B879,$A$2:$A$1001,"&lt;"&amp;A879,$A$2:$A$1001,"&gt;="&amp;(A879-설정!$B$2),$J$2:$J$1001,"&gt;=0"))</f>
        <v/>
      </c>
      <c r="N879" s="18" t="str">
        <f aca="false">IF(K879="","",IF(L879=0,"",ROUND((J879-K879)/L879,2)))</f>
        <v/>
      </c>
      <c r="O879" s="19" t="str">
        <f aca="false">IF(J879="","",IF(MIN(F879,G879)&lt;=설정!$B$5,"예",""))</f>
        <v/>
      </c>
      <c r="P879" s="19" t="str">
        <f aca="false">IF(J879="","",IF(M879&lt;설정!$B$3,"baseline 수집 중",IF(N879="","정상",IF(N879&lt;=설정!$B$4,"낮음","정상"))))</f>
        <v/>
      </c>
      <c r="Q879" s="20"/>
      <c r="R879" s="18" t="str">
        <f aca="false">IF(J879="","",J879^2)</f>
        <v/>
      </c>
    </row>
    <row r="880" customFormat="false" ht="15" hidden="false" customHeight="false" outlineLevel="0" collapsed="false">
      <c r="A880" s="16"/>
      <c r="B880" s="17"/>
      <c r="C880" s="17"/>
      <c r="D880" s="17"/>
      <c r="E880" s="17"/>
      <c r="F880" s="17"/>
      <c r="G880" s="17"/>
      <c r="H880" s="17"/>
      <c r="I880" s="17"/>
      <c r="J880" s="18" t="str">
        <f aca="false">IF(COUNT(E880:I880)&lt;5,"",SUM(E880:I880))</f>
        <v/>
      </c>
      <c r="K880" s="18" t="str">
        <f aca="false">IF(J880="","",IF(M880&lt;설정!$B$3,"",ROUND(AVERAGEIFS($J$2:$J$1001,$B$2:$B$1001,B880,$A$2:$A$1001,"&lt;"&amp;A880,$A$2:$A$1001,"&gt;="&amp;(A880-설정!$B$2)),2)))</f>
        <v/>
      </c>
      <c r="L880" s="18" t="str">
        <f aca="false">IF(K880="","",ROUND(SQRT(MAX(0,(SUMIFS($R$2:$R$1001,$B$2:$B$1001,B880,$A$2:$A$1001,"&lt;"&amp;A880,$A$2:$A$1001,"&gt;="&amp;(A880-설정!$B$2))-M880*AVERAGEIFS($J$2:$J$1001,$B$2:$B$1001,B880,$A$2:$A$1001,"&lt;"&amp;A880,$A$2:$A$1001,"&gt;="&amp;(A880-설정!$B$2))^2)/(M880-1))),2))</f>
        <v/>
      </c>
      <c r="M880" s="18" t="str">
        <f aca="false">IF(J880="","",COUNTIFS($B$2:$B$1001,B880,$A$2:$A$1001,"&lt;"&amp;A880,$A$2:$A$1001,"&gt;="&amp;(A880-설정!$B$2),$J$2:$J$1001,"&gt;=0"))</f>
        <v/>
      </c>
      <c r="N880" s="18" t="str">
        <f aca="false">IF(K880="","",IF(L880=0,"",ROUND((J880-K880)/L880,2)))</f>
        <v/>
      </c>
      <c r="O880" s="19" t="str">
        <f aca="false">IF(J880="","",IF(MIN(F880,G880)&lt;=설정!$B$5,"예",""))</f>
        <v/>
      </c>
      <c r="P880" s="19" t="str">
        <f aca="false">IF(J880="","",IF(M880&lt;설정!$B$3,"baseline 수집 중",IF(N880="","정상",IF(N880&lt;=설정!$B$4,"낮음","정상"))))</f>
        <v/>
      </c>
      <c r="Q880" s="20"/>
      <c r="R880" s="18" t="str">
        <f aca="false">IF(J880="","",J880^2)</f>
        <v/>
      </c>
    </row>
    <row r="881" customFormat="false" ht="15" hidden="false" customHeight="false" outlineLevel="0" collapsed="false">
      <c r="A881" s="16"/>
      <c r="B881" s="17"/>
      <c r="C881" s="17"/>
      <c r="D881" s="17"/>
      <c r="E881" s="17"/>
      <c r="F881" s="17"/>
      <c r="G881" s="17"/>
      <c r="H881" s="17"/>
      <c r="I881" s="17"/>
      <c r="J881" s="18" t="str">
        <f aca="false">IF(COUNT(E881:I881)&lt;5,"",SUM(E881:I881))</f>
        <v/>
      </c>
      <c r="K881" s="18" t="str">
        <f aca="false">IF(J881="","",IF(M881&lt;설정!$B$3,"",ROUND(AVERAGEIFS($J$2:$J$1001,$B$2:$B$1001,B881,$A$2:$A$1001,"&lt;"&amp;A881,$A$2:$A$1001,"&gt;="&amp;(A881-설정!$B$2)),2)))</f>
        <v/>
      </c>
      <c r="L881" s="18" t="str">
        <f aca="false">IF(K881="","",ROUND(SQRT(MAX(0,(SUMIFS($R$2:$R$1001,$B$2:$B$1001,B881,$A$2:$A$1001,"&lt;"&amp;A881,$A$2:$A$1001,"&gt;="&amp;(A881-설정!$B$2))-M881*AVERAGEIFS($J$2:$J$1001,$B$2:$B$1001,B881,$A$2:$A$1001,"&lt;"&amp;A881,$A$2:$A$1001,"&gt;="&amp;(A881-설정!$B$2))^2)/(M881-1))),2))</f>
        <v/>
      </c>
      <c r="M881" s="18" t="str">
        <f aca="false">IF(J881="","",COUNTIFS($B$2:$B$1001,B881,$A$2:$A$1001,"&lt;"&amp;A881,$A$2:$A$1001,"&gt;="&amp;(A881-설정!$B$2),$J$2:$J$1001,"&gt;=0"))</f>
        <v/>
      </c>
      <c r="N881" s="18" t="str">
        <f aca="false">IF(K881="","",IF(L881=0,"",ROUND((J881-K881)/L881,2)))</f>
        <v/>
      </c>
      <c r="O881" s="19" t="str">
        <f aca="false">IF(J881="","",IF(MIN(F881,G881)&lt;=설정!$B$5,"예",""))</f>
        <v/>
      </c>
      <c r="P881" s="19" t="str">
        <f aca="false">IF(J881="","",IF(M881&lt;설정!$B$3,"baseline 수집 중",IF(N881="","정상",IF(N881&lt;=설정!$B$4,"낮음","정상"))))</f>
        <v/>
      </c>
      <c r="Q881" s="20"/>
      <c r="R881" s="18" t="str">
        <f aca="false">IF(J881="","",J881^2)</f>
        <v/>
      </c>
    </row>
    <row r="882" customFormat="false" ht="15" hidden="false" customHeight="false" outlineLevel="0" collapsed="false">
      <c r="A882" s="16"/>
      <c r="B882" s="17"/>
      <c r="C882" s="17"/>
      <c r="D882" s="17"/>
      <c r="E882" s="17"/>
      <c r="F882" s="17"/>
      <c r="G882" s="17"/>
      <c r="H882" s="17"/>
      <c r="I882" s="17"/>
      <c r="J882" s="18" t="str">
        <f aca="false">IF(COUNT(E882:I882)&lt;5,"",SUM(E882:I882))</f>
        <v/>
      </c>
      <c r="K882" s="18" t="str">
        <f aca="false">IF(J882="","",IF(M882&lt;설정!$B$3,"",ROUND(AVERAGEIFS($J$2:$J$1001,$B$2:$B$1001,B882,$A$2:$A$1001,"&lt;"&amp;A882,$A$2:$A$1001,"&gt;="&amp;(A882-설정!$B$2)),2)))</f>
        <v/>
      </c>
      <c r="L882" s="18" t="str">
        <f aca="false">IF(K882="","",ROUND(SQRT(MAX(0,(SUMIFS($R$2:$R$1001,$B$2:$B$1001,B882,$A$2:$A$1001,"&lt;"&amp;A882,$A$2:$A$1001,"&gt;="&amp;(A882-설정!$B$2))-M882*AVERAGEIFS($J$2:$J$1001,$B$2:$B$1001,B882,$A$2:$A$1001,"&lt;"&amp;A882,$A$2:$A$1001,"&gt;="&amp;(A882-설정!$B$2))^2)/(M882-1))),2))</f>
        <v/>
      </c>
      <c r="M882" s="18" t="str">
        <f aca="false">IF(J882="","",COUNTIFS($B$2:$B$1001,B882,$A$2:$A$1001,"&lt;"&amp;A882,$A$2:$A$1001,"&gt;="&amp;(A882-설정!$B$2),$J$2:$J$1001,"&gt;=0"))</f>
        <v/>
      </c>
      <c r="N882" s="18" t="str">
        <f aca="false">IF(K882="","",IF(L882=0,"",ROUND((J882-K882)/L882,2)))</f>
        <v/>
      </c>
      <c r="O882" s="19" t="str">
        <f aca="false">IF(J882="","",IF(MIN(F882,G882)&lt;=설정!$B$5,"예",""))</f>
        <v/>
      </c>
      <c r="P882" s="19" t="str">
        <f aca="false">IF(J882="","",IF(M882&lt;설정!$B$3,"baseline 수집 중",IF(N882="","정상",IF(N882&lt;=설정!$B$4,"낮음","정상"))))</f>
        <v/>
      </c>
      <c r="Q882" s="20"/>
      <c r="R882" s="18" t="str">
        <f aca="false">IF(J882="","",J882^2)</f>
        <v/>
      </c>
    </row>
    <row r="883" customFormat="false" ht="15" hidden="false" customHeight="false" outlineLevel="0" collapsed="false">
      <c r="A883" s="16"/>
      <c r="B883" s="17"/>
      <c r="C883" s="17"/>
      <c r="D883" s="17"/>
      <c r="E883" s="17"/>
      <c r="F883" s="17"/>
      <c r="G883" s="17"/>
      <c r="H883" s="17"/>
      <c r="I883" s="17"/>
      <c r="J883" s="18" t="str">
        <f aca="false">IF(COUNT(E883:I883)&lt;5,"",SUM(E883:I883))</f>
        <v/>
      </c>
      <c r="K883" s="18" t="str">
        <f aca="false">IF(J883="","",IF(M883&lt;설정!$B$3,"",ROUND(AVERAGEIFS($J$2:$J$1001,$B$2:$B$1001,B883,$A$2:$A$1001,"&lt;"&amp;A883,$A$2:$A$1001,"&gt;="&amp;(A883-설정!$B$2)),2)))</f>
        <v/>
      </c>
      <c r="L883" s="18" t="str">
        <f aca="false">IF(K883="","",ROUND(SQRT(MAX(0,(SUMIFS($R$2:$R$1001,$B$2:$B$1001,B883,$A$2:$A$1001,"&lt;"&amp;A883,$A$2:$A$1001,"&gt;="&amp;(A883-설정!$B$2))-M883*AVERAGEIFS($J$2:$J$1001,$B$2:$B$1001,B883,$A$2:$A$1001,"&lt;"&amp;A883,$A$2:$A$1001,"&gt;="&amp;(A883-설정!$B$2))^2)/(M883-1))),2))</f>
        <v/>
      </c>
      <c r="M883" s="18" t="str">
        <f aca="false">IF(J883="","",COUNTIFS($B$2:$B$1001,B883,$A$2:$A$1001,"&lt;"&amp;A883,$A$2:$A$1001,"&gt;="&amp;(A883-설정!$B$2),$J$2:$J$1001,"&gt;=0"))</f>
        <v/>
      </c>
      <c r="N883" s="18" t="str">
        <f aca="false">IF(K883="","",IF(L883=0,"",ROUND((J883-K883)/L883,2)))</f>
        <v/>
      </c>
      <c r="O883" s="19" t="str">
        <f aca="false">IF(J883="","",IF(MIN(F883,G883)&lt;=설정!$B$5,"예",""))</f>
        <v/>
      </c>
      <c r="P883" s="19" t="str">
        <f aca="false">IF(J883="","",IF(M883&lt;설정!$B$3,"baseline 수집 중",IF(N883="","정상",IF(N883&lt;=설정!$B$4,"낮음","정상"))))</f>
        <v/>
      </c>
      <c r="Q883" s="20"/>
      <c r="R883" s="18" t="str">
        <f aca="false">IF(J883="","",J883^2)</f>
        <v/>
      </c>
    </row>
    <row r="884" customFormat="false" ht="15" hidden="false" customHeight="false" outlineLevel="0" collapsed="false">
      <c r="A884" s="16"/>
      <c r="B884" s="17"/>
      <c r="C884" s="17"/>
      <c r="D884" s="17"/>
      <c r="E884" s="17"/>
      <c r="F884" s="17"/>
      <c r="G884" s="17"/>
      <c r="H884" s="17"/>
      <c r="I884" s="17"/>
      <c r="J884" s="18" t="str">
        <f aca="false">IF(COUNT(E884:I884)&lt;5,"",SUM(E884:I884))</f>
        <v/>
      </c>
      <c r="K884" s="18" t="str">
        <f aca="false">IF(J884="","",IF(M884&lt;설정!$B$3,"",ROUND(AVERAGEIFS($J$2:$J$1001,$B$2:$B$1001,B884,$A$2:$A$1001,"&lt;"&amp;A884,$A$2:$A$1001,"&gt;="&amp;(A884-설정!$B$2)),2)))</f>
        <v/>
      </c>
      <c r="L884" s="18" t="str">
        <f aca="false">IF(K884="","",ROUND(SQRT(MAX(0,(SUMIFS($R$2:$R$1001,$B$2:$B$1001,B884,$A$2:$A$1001,"&lt;"&amp;A884,$A$2:$A$1001,"&gt;="&amp;(A884-설정!$B$2))-M884*AVERAGEIFS($J$2:$J$1001,$B$2:$B$1001,B884,$A$2:$A$1001,"&lt;"&amp;A884,$A$2:$A$1001,"&gt;="&amp;(A884-설정!$B$2))^2)/(M884-1))),2))</f>
        <v/>
      </c>
      <c r="M884" s="18" t="str">
        <f aca="false">IF(J884="","",COUNTIFS($B$2:$B$1001,B884,$A$2:$A$1001,"&lt;"&amp;A884,$A$2:$A$1001,"&gt;="&amp;(A884-설정!$B$2),$J$2:$J$1001,"&gt;=0"))</f>
        <v/>
      </c>
      <c r="N884" s="18" t="str">
        <f aca="false">IF(K884="","",IF(L884=0,"",ROUND((J884-K884)/L884,2)))</f>
        <v/>
      </c>
      <c r="O884" s="19" t="str">
        <f aca="false">IF(J884="","",IF(MIN(F884,G884)&lt;=설정!$B$5,"예",""))</f>
        <v/>
      </c>
      <c r="P884" s="19" t="str">
        <f aca="false">IF(J884="","",IF(M884&lt;설정!$B$3,"baseline 수집 중",IF(N884="","정상",IF(N884&lt;=설정!$B$4,"낮음","정상"))))</f>
        <v/>
      </c>
      <c r="Q884" s="20"/>
      <c r="R884" s="18" t="str">
        <f aca="false">IF(J884="","",J884^2)</f>
        <v/>
      </c>
    </row>
    <row r="885" customFormat="false" ht="15" hidden="false" customHeight="false" outlineLevel="0" collapsed="false">
      <c r="A885" s="16"/>
      <c r="B885" s="17"/>
      <c r="C885" s="17"/>
      <c r="D885" s="17"/>
      <c r="E885" s="17"/>
      <c r="F885" s="17"/>
      <c r="G885" s="17"/>
      <c r="H885" s="17"/>
      <c r="I885" s="17"/>
      <c r="J885" s="18" t="str">
        <f aca="false">IF(COUNT(E885:I885)&lt;5,"",SUM(E885:I885))</f>
        <v/>
      </c>
      <c r="K885" s="18" t="str">
        <f aca="false">IF(J885="","",IF(M885&lt;설정!$B$3,"",ROUND(AVERAGEIFS($J$2:$J$1001,$B$2:$B$1001,B885,$A$2:$A$1001,"&lt;"&amp;A885,$A$2:$A$1001,"&gt;="&amp;(A885-설정!$B$2)),2)))</f>
        <v/>
      </c>
      <c r="L885" s="18" t="str">
        <f aca="false">IF(K885="","",ROUND(SQRT(MAX(0,(SUMIFS($R$2:$R$1001,$B$2:$B$1001,B885,$A$2:$A$1001,"&lt;"&amp;A885,$A$2:$A$1001,"&gt;="&amp;(A885-설정!$B$2))-M885*AVERAGEIFS($J$2:$J$1001,$B$2:$B$1001,B885,$A$2:$A$1001,"&lt;"&amp;A885,$A$2:$A$1001,"&gt;="&amp;(A885-설정!$B$2))^2)/(M885-1))),2))</f>
        <v/>
      </c>
      <c r="M885" s="18" t="str">
        <f aca="false">IF(J885="","",COUNTIFS($B$2:$B$1001,B885,$A$2:$A$1001,"&lt;"&amp;A885,$A$2:$A$1001,"&gt;="&amp;(A885-설정!$B$2),$J$2:$J$1001,"&gt;=0"))</f>
        <v/>
      </c>
      <c r="N885" s="18" t="str">
        <f aca="false">IF(K885="","",IF(L885=0,"",ROUND((J885-K885)/L885,2)))</f>
        <v/>
      </c>
      <c r="O885" s="19" t="str">
        <f aca="false">IF(J885="","",IF(MIN(F885,G885)&lt;=설정!$B$5,"예",""))</f>
        <v/>
      </c>
      <c r="P885" s="19" t="str">
        <f aca="false">IF(J885="","",IF(M885&lt;설정!$B$3,"baseline 수집 중",IF(N885="","정상",IF(N885&lt;=설정!$B$4,"낮음","정상"))))</f>
        <v/>
      </c>
      <c r="Q885" s="20"/>
      <c r="R885" s="18" t="str">
        <f aca="false">IF(J885="","",J885^2)</f>
        <v/>
      </c>
    </row>
    <row r="886" customFormat="false" ht="15" hidden="false" customHeight="false" outlineLevel="0" collapsed="false">
      <c r="A886" s="16"/>
      <c r="B886" s="17"/>
      <c r="C886" s="17"/>
      <c r="D886" s="17"/>
      <c r="E886" s="17"/>
      <c r="F886" s="17"/>
      <c r="G886" s="17"/>
      <c r="H886" s="17"/>
      <c r="I886" s="17"/>
      <c r="J886" s="18" t="str">
        <f aca="false">IF(COUNT(E886:I886)&lt;5,"",SUM(E886:I886))</f>
        <v/>
      </c>
      <c r="K886" s="18" t="str">
        <f aca="false">IF(J886="","",IF(M886&lt;설정!$B$3,"",ROUND(AVERAGEIFS($J$2:$J$1001,$B$2:$B$1001,B886,$A$2:$A$1001,"&lt;"&amp;A886,$A$2:$A$1001,"&gt;="&amp;(A886-설정!$B$2)),2)))</f>
        <v/>
      </c>
      <c r="L886" s="18" t="str">
        <f aca="false">IF(K886="","",ROUND(SQRT(MAX(0,(SUMIFS($R$2:$R$1001,$B$2:$B$1001,B886,$A$2:$A$1001,"&lt;"&amp;A886,$A$2:$A$1001,"&gt;="&amp;(A886-설정!$B$2))-M886*AVERAGEIFS($J$2:$J$1001,$B$2:$B$1001,B886,$A$2:$A$1001,"&lt;"&amp;A886,$A$2:$A$1001,"&gt;="&amp;(A886-설정!$B$2))^2)/(M886-1))),2))</f>
        <v/>
      </c>
      <c r="M886" s="18" t="str">
        <f aca="false">IF(J886="","",COUNTIFS($B$2:$B$1001,B886,$A$2:$A$1001,"&lt;"&amp;A886,$A$2:$A$1001,"&gt;="&amp;(A886-설정!$B$2),$J$2:$J$1001,"&gt;=0"))</f>
        <v/>
      </c>
      <c r="N886" s="18" t="str">
        <f aca="false">IF(K886="","",IF(L886=0,"",ROUND((J886-K886)/L886,2)))</f>
        <v/>
      </c>
      <c r="O886" s="19" t="str">
        <f aca="false">IF(J886="","",IF(MIN(F886,G886)&lt;=설정!$B$5,"예",""))</f>
        <v/>
      </c>
      <c r="P886" s="19" t="str">
        <f aca="false">IF(J886="","",IF(M886&lt;설정!$B$3,"baseline 수집 중",IF(N886="","정상",IF(N886&lt;=설정!$B$4,"낮음","정상"))))</f>
        <v/>
      </c>
      <c r="Q886" s="20"/>
      <c r="R886" s="18" t="str">
        <f aca="false">IF(J886="","",J886^2)</f>
        <v/>
      </c>
    </row>
    <row r="887" customFormat="false" ht="15" hidden="false" customHeight="false" outlineLevel="0" collapsed="false">
      <c r="A887" s="16"/>
      <c r="B887" s="17"/>
      <c r="C887" s="17"/>
      <c r="D887" s="17"/>
      <c r="E887" s="17"/>
      <c r="F887" s="17"/>
      <c r="G887" s="17"/>
      <c r="H887" s="17"/>
      <c r="I887" s="17"/>
      <c r="J887" s="18" t="str">
        <f aca="false">IF(COUNT(E887:I887)&lt;5,"",SUM(E887:I887))</f>
        <v/>
      </c>
      <c r="K887" s="18" t="str">
        <f aca="false">IF(J887="","",IF(M887&lt;설정!$B$3,"",ROUND(AVERAGEIFS($J$2:$J$1001,$B$2:$B$1001,B887,$A$2:$A$1001,"&lt;"&amp;A887,$A$2:$A$1001,"&gt;="&amp;(A887-설정!$B$2)),2)))</f>
        <v/>
      </c>
      <c r="L887" s="18" t="str">
        <f aca="false">IF(K887="","",ROUND(SQRT(MAX(0,(SUMIFS($R$2:$R$1001,$B$2:$B$1001,B887,$A$2:$A$1001,"&lt;"&amp;A887,$A$2:$A$1001,"&gt;="&amp;(A887-설정!$B$2))-M887*AVERAGEIFS($J$2:$J$1001,$B$2:$B$1001,B887,$A$2:$A$1001,"&lt;"&amp;A887,$A$2:$A$1001,"&gt;="&amp;(A887-설정!$B$2))^2)/(M887-1))),2))</f>
        <v/>
      </c>
      <c r="M887" s="18" t="str">
        <f aca="false">IF(J887="","",COUNTIFS($B$2:$B$1001,B887,$A$2:$A$1001,"&lt;"&amp;A887,$A$2:$A$1001,"&gt;="&amp;(A887-설정!$B$2),$J$2:$J$1001,"&gt;=0"))</f>
        <v/>
      </c>
      <c r="N887" s="18" t="str">
        <f aca="false">IF(K887="","",IF(L887=0,"",ROUND((J887-K887)/L887,2)))</f>
        <v/>
      </c>
      <c r="O887" s="19" t="str">
        <f aca="false">IF(J887="","",IF(MIN(F887,G887)&lt;=설정!$B$5,"예",""))</f>
        <v/>
      </c>
      <c r="P887" s="19" t="str">
        <f aca="false">IF(J887="","",IF(M887&lt;설정!$B$3,"baseline 수집 중",IF(N887="","정상",IF(N887&lt;=설정!$B$4,"낮음","정상"))))</f>
        <v/>
      </c>
      <c r="Q887" s="20"/>
      <c r="R887" s="18" t="str">
        <f aca="false">IF(J887="","",J887^2)</f>
        <v/>
      </c>
    </row>
    <row r="888" customFormat="false" ht="15" hidden="false" customHeight="false" outlineLevel="0" collapsed="false">
      <c r="A888" s="16"/>
      <c r="B888" s="17"/>
      <c r="C888" s="17"/>
      <c r="D888" s="17"/>
      <c r="E888" s="17"/>
      <c r="F888" s="17"/>
      <c r="G888" s="17"/>
      <c r="H888" s="17"/>
      <c r="I888" s="17"/>
      <c r="J888" s="18" t="str">
        <f aca="false">IF(COUNT(E888:I888)&lt;5,"",SUM(E888:I888))</f>
        <v/>
      </c>
      <c r="K888" s="18" t="str">
        <f aca="false">IF(J888="","",IF(M888&lt;설정!$B$3,"",ROUND(AVERAGEIFS($J$2:$J$1001,$B$2:$B$1001,B888,$A$2:$A$1001,"&lt;"&amp;A888,$A$2:$A$1001,"&gt;="&amp;(A888-설정!$B$2)),2)))</f>
        <v/>
      </c>
      <c r="L888" s="18" t="str">
        <f aca="false">IF(K888="","",ROUND(SQRT(MAX(0,(SUMIFS($R$2:$R$1001,$B$2:$B$1001,B888,$A$2:$A$1001,"&lt;"&amp;A888,$A$2:$A$1001,"&gt;="&amp;(A888-설정!$B$2))-M888*AVERAGEIFS($J$2:$J$1001,$B$2:$B$1001,B888,$A$2:$A$1001,"&lt;"&amp;A888,$A$2:$A$1001,"&gt;="&amp;(A888-설정!$B$2))^2)/(M888-1))),2))</f>
        <v/>
      </c>
      <c r="M888" s="18" t="str">
        <f aca="false">IF(J888="","",COUNTIFS($B$2:$B$1001,B888,$A$2:$A$1001,"&lt;"&amp;A888,$A$2:$A$1001,"&gt;="&amp;(A888-설정!$B$2),$J$2:$J$1001,"&gt;=0"))</f>
        <v/>
      </c>
      <c r="N888" s="18" t="str">
        <f aca="false">IF(K888="","",IF(L888=0,"",ROUND((J888-K888)/L888,2)))</f>
        <v/>
      </c>
      <c r="O888" s="19" t="str">
        <f aca="false">IF(J888="","",IF(MIN(F888,G888)&lt;=설정!$B$5,"예",""))</f>
        <v/>
      </c>
      <c r="P888" s="19" t="str">
        <f aca="false">IF(J888="","",IF(M888&lt;설정!$B$3,"baseline 수집 중",IF(N888="","정상",IF(N888&lt;=설정!$B$4,"낮음","정상"))))</f>
        <v/>
      </c>
      <c r="Q888" s="20"/>
      <c r="R888" s="18" t="str">
        <f aca="false">IF(J888="","",J888^2)</f>
        <v/>
      </c>
    </row>
    <row r="889" customFormat="false" ht="15" hidden="false" customHeight="false" outlineLevel="0" collapsed="false">
      <c r="A889" s="16"/>
      <c r="B889" s="17"/>
      <c r="C889" s="17"/>
      <c r="D889" s="17"/>
      <c r="E889" s="17"/>
      <c r="F889" s="17"/>
      <c r="G889" s="17"/>
      <c r="H889" s="17"/>
      <c r="I889" s="17"/>
      <c r="J889" s="18" t="str">
        <f aca="false">IF(COUNT(E889:I889)&lt;5,"",SUM(E889:I889))</f>
        <v/>
      </c>
      <c r="K889" s="18" t="str">
        <f aca="false">IF(J889="","",IF(M889&lt;설정!$B$3,"",ROUND(AVERAGEIFS($J$2:$J$1001,$B$2:$B$1001,B889,$A$2:$A$1001,"&lt;"&amp;A889,$A$2:$A$1001,"&gt;="&amp;(A889-설정!$B$2)),2)))</f>
        <v/>
      </c>
      <c r="L889" s="18" t="str">
        <f aca="false">IF(K889="","",ROUND(SQRT(MAX(0,(SUMIFS($R$2:$R$1001,$B$2:$B$1001,B889,$A$2:$A$1001,"&lt;"&amp;A889,$A$2:$A$1001,"&gt;="&amp;(A889-설정!$B$2))-M889*AVERAGEIFS($J$2:$J$1001,$B$2:$B$1001,B889,$A$2:$A$1001,"&lt;"&amp;A889,$A$2:$A$1001,"&gt;="&amp;(A889-설정!$B$2))^2)/(M889-1))),2))</f>
        <v/>
      </c>
      <c r="M889" s="18" t="str">
        <f aca="false">IF(J889="","",COUNTIFS($B$2:$B$1001,B889,$A$2:$A$1001,"&lt;"&amp;A889,$A$2:$A$1001,"&gt;="&amp;(A889-설정!$B$2),$J$2:$J$1001,"&gt;=0"))</f>
        <v/>
      </c>
      <c r="N889" s="18" t="str">
        <f aca="false">IF(K889="","",IF(L889=0,"",ROUND((J889-K889)/L889,2)))</f>
        <v/>
      </c>
      <c r="O889" s="19" t="str">
        <f aca="false">IF(J889="","",IF(MIN(F889,G889)&lt;=설정!$B$5,"예",""))</f>
        <v/>
      </c>
      <c r="P889" s="19" t="str">
        <f aca="false">IF(J889="","",IF(M889&lt;설정!$B$3,"baseline 수집 중",IF(N889="","정상",IF(N889&lt;=설정!$B$4,"낮음","정상"))))</f>
        <v/>
      </c>
      <c r="Q889" s="20"/>
      <c r="R889" s="18" t="str">
        <f aca="false">IF(J889="","",J889^2)</f>
        <v/>
      </c>
    </row>
    <row r="890" customFormat="false" ht="15" hidden="false" customHeight="false" outlineLevel="0" collapsed="false">
      <c r="A890" s="16"/>
      <c r="B890" s="17"/>
      <c r="C890" s="17"/>
      <c r="D890" s="17"/>
      <c r="E890" s="17"/>
      <c r="F890" s="17"/>
      <c r="G890" s="17"/>
      <c r="H890" s="17"/>
      <c r="I890" s="17"/>
      <c r="J890" s="18" t="str">
        <f aca="false">IF(COUNT(E890:I890)&lt;5,"",SUM(E890:I890))</f>
        <v/>
      </c>
      <c r="K890" s="18" t="str">
        <f aca="false">IF(J890="","",IF(M890&lt;설정!$B$3,"",ROUND(AVERAGEIFS($J$2:$J$1001,$B$2:$B$1001,B890,$A$2:$A$1001,"&lt;"&amp;A890,$A$2:$A$1001,"&gt;="&amp;(A890-설정!$B$2)),2)))</f>
        <v/>
      </c>
      <c r="L890" s="18" t="str">
        <f aca="false">IF(K890="","",ROUND(SQRT(MAX(0,(SUMIFS($R$2:$R$1001,$B$2:$B$1001,B890,$A$2:$A$1001,"&lt;"&amp;A890,$A$2:$A$1001,"&gt;="&amp;(A890-설정!$B$2))-M890*AVERAGEIFS($J$2:$J$1001,$B$2:$B$1001,B890,$A$2:$A$1001,"&lt;"&amp;A890,$A$2:$A$1001,"&gt;="&amp;(A890-설정!$B$2))^2)/(M890-1))),2))</f>
        <v/>
      </c>
      <c r="M890" s="18" t="str">
        <f aca="false">IF(J890="","",COUNTIFS($B$2:$B$1001,B890,$A$2:$A$1001,"&lt;"&amp;A890,$A$2:$A$1001,"&gt;="&amp;(A890-설정!$B$2),$J$2:$J$1001,"&gt;=0"))</f>
        <v/>
      </c>
      <c r="N890" s="18" t="str">
        <f aca="false">IF(K890="","",IF(L890=0,"",ROUND((J890-K890)/L890,2)))</f>
        <v/>
      </c>
      <c r="O890" s="19" t="str">
        <f aca="false">IF(J890="","",IF(MIN(F890,G890)&lt;=설정!$B$5,"예",""))</f>
        <v/>
      </c>
      <c r="P890" s="19" t="str">
        <f aca="false">IF(J890="","",IF(M890&lt;설정!$B$3,"baseline 수집 중",IF(N890="","정상",IF(N890&lt;=설정!$B$4,"낮음","정상"))))</f>
        <v/>
      </c>
      <c r="Q890" s="20"/>
      <c r="R890" s="18" t="str">
        <f aca="false">IF(J890="","",J890^2)</f>
        <v/>
      </c>
    </row>
    <row r="891" customFormat="false" ht="15" hidden="false" customHeight="false" outlineLevel="0" collapsed="false">
      <c r="A891" s="16"/>
      <c r="B891" s="17"/>
      <c r="C891" s="17"/>
      <c r="D891" s="17"/>
      <c r="E891" s="17"/>
      <c r="F891" s="17"/>
      <c r="G891" s="17"/>
      <c r="H891" s="17"/>
      <c r="I891" s="17"/>
      <c r="J891" s="18" t="str">
        <f aca="false">IF(COUNT(E891:I891)&lt;5,"",SUM(E891:I891))</f>
        <v/>
      </c>
      <c r="K891" s="18" t="str">
        <f aca="false">IF(J891="","",IF(M891&lt;설정!$B$3,"",ROUND(AVERAGEIFS($J$2:$J$1001,$B$2:$B$1001,B891,$A$2:$A$1001,"&lt;"&amp;A891,$A$2:$A$1001,"&gt;="&amp;(A891-설정!$B$2)),2)))</f>
        <v/>
      </c>
      <c r="L891" s="18" t="str">
        <f aca="false">IF(K891="","",ROUND(SQRT(MAX(0,(SUMIFS($R$2:$R$1001,$B$2:$B$1001,B891,$A$2:$A$1001,"&lt;"&amp;A891,$A$2:$A$1001,"&gt;="&amp;(A891-설정!$B$2))-M891*AVERAGEIFS($J$2:$J$1001,$B$2:$B$1001,B891,$A$2:$A$1001,"&lt;"&amp;A891,$A$2:$A$1001,"&gt;="&amp;(A891-설정!$B$2))^2)/(M891-1))),2))</f>
        <v/>
      </c>
      <c r="M891" s="18" t="str">
        <f aca="false">IF(J891="","",COUNTIFS($B$2:$B$1001,B891,$A$2:$A$1001,"&lt;"&amp;A891,$A$2:$A$1001,"&gt;="&amp;(A891-설정!$B$2),$J$2:$J$1001,"&gt;=0"))</f>
        <v/>
      </c>
      <c r="N891" s="18" t="str">
        <f aca="false">IF(K891="","",IF(L891=0,"",ROUND((J891-K891)/L891,2)))</f>
        <v/>
      </c>
      <c r="O891" s="19" t="str">
        <f aca="false">IF(J891="","",IF(MIN(F891,G891)&lt;=설정!$B$5,"예",""))</f>
        <v/>
      </c>
      <c r="P891" s="19" t="str">
        <f aca="false">IF(J891="","",IF(M891&lt;설정!$B$3,"baseline 수집 중",IF(N891="","정상",IF(N891&lt;=설정!$B$4,"낮음","정상"))))</f>
        <v/>
      </c>
      <c r="Q891" s="20"/>
      <c r="R891" s="18" t="str">
        <f aca="false">IF(J891="","",J891^2)</f>
        <v/>
      </c>
    </row>
    <row r="892" customFormat="false" ht="15" hidden="false" customHeight="false" outlineLevel="0" collapsed="false">
      <c r="A892" s="16"/>
      <c r="B892" s="17"/>
      <c r="C892" s="17"/>
      <c r="D892" s="17"/>
      <c r="E892" s="17"/>
      <c r="F892" s="17"/>
      <c r="G892" s="17"/>
      <c r="H892" s="17"/>
      <c r="I892" s="17"/>
      <c r="J892" s="18" t="str">
        <f aca="false">IF(COUNT(E892:I892)&lt;5,"",SUM(E892:I892))</f>
        <v/>
      </c>
      <c r="K892" s="18" t="str">
        <f aca="false">IF(J892="","",IF(M892&lt;설정!$B$3,"",ROUND(AVERAGEIFS($J$2:$J$1001,$B$2:$B$1001,B892,$A$2:$A$1001,"&lt;"&amp;A892,$A$2:$A$1001,"&gt;="&amp;(A892-설정!$B$2)),2)))</f>
        <v/>
      </c>
      <c r="L892" s="18" t="str">
        <f aca="false">IF(K892="","",ROUND(SQRT(MAX(0,(SUMIFS($R$2:$R$1001,$B$2:$B$1001,B892,$A$2:$A$1001,"&lt;"&amp;A892,$A$2:$A$1001,"&gt;="&amp;(A892-설정!$B$2))-M892*AVERAGEIFS($J$2:$J$1001,$B$2:$B$1001,B892,$A$2:$A$1001,"&lt;"&amp;A892,$A$2:$A$1001,"&gt;="&amp;(A892-설정!$B$2))^2)/(M892-1))),2))</f>
        <v/>
      </c>
      <c r="M892" s="18" t="str">
        <f aca="false">IF(J892="","",COUNTIFS($B$2:$B$1001,B892,$A$2:$A$1001,"&lt;"&amp;A892,$A$2:$A$1001,"&gt;="&amp;(A892-설정!$B$2),$J$2:$J$1001,"&gt;=0"))</f>
        <v/>
      </c>
      <c r="N892" s="18" t="str">
        <f aca="false">IF(K892="","",IF(L892=0,"",ROUND((J892-K892)/L892,2)))</f>
        <v/>
      </c>
      <c r="O892" s="19" t="str">
        <f aca="false">IF(J892="","",IF(MIN(F892,G892)&lt;=설정!$B$5,"예",""))</f>
        <v/>
      </c>
      <c r="P892" s="19" t="str">
        <f aca="false">IF(J892="","",IF(M892&lt;설정!$B$3,"baseline 수집 중",IF(N892="","정상",IF(N892&lt;=설정!$B$4,"낮음","정상"))))</f>
        <v/>
      </c>
      <c r="Q892" s="20"/>
      <c r="R892" s="18" t="str">
        <f aca="false">IF(J892="","",J892^2)</f>
        <v/>
      </c>
    </row>
    <row r="893" customFormat="false" ht="15" hidden="false" customHeight="false" outlineLevel="0" collapsed="false">
      <c r="A893" s="16"/>
      <c r="B893" s="17"/>
      <c r="C893" s="17"/>
      <c r="D893" s="17"/>
      <c r="E893" s="17"/>
      <c r="F893" s="17"/>
      <c r="G893" s="17"/>
      <c r="H893" s="17"/>
      <c r="I893" s="17"/>
      <c r="J893" s="18" t="str">
        <f aca="false">IF(COUNT(E893:I893)&lt;5,"",SUM(E893:I893))</f>
        <v/>
      </c>
      <c r="K893" s="18" t="str">
        <f aca="false">IF(J893="","",IF(M893&lt;설정!$B$3,"",ROUND(AVERAGEIFS($J$2:$J$1001,$B$2:$B$1001,B893,$A$2:$A$1001,"&lt;"&amp;A893,$A$2:$A$1001,"&gt;="&amp;(A893-설정!$B$2)),2)))</f>
        <v/>
      </c>
      <c r="L893" s="18" t="str">
        <f aca="false">IF(K893="","",ROUND(SQRT(MAX(0,(SUMIFS($R$2:$R$1001,$B$2:$B$1001,B893,$A$2:$A$1001,"&lt;"&amp;A893,$A$2:$A$1001,"&gt;="&amp;(A893-설정!$B$2))-M893*AVERAGEIFS($J$2:$J$1001,$B$2:$B$1001,B893,$A$2:$A$1001,"&lt;"&amp;A893,$A$2:$A$1001,"&gt;="&amp;(A893-설정!$B$2))^2)/(M893-1))),2))</f>
        <v/>
      </c>
      <c r="M893" s="18" t="str">
        <f aca="false">IF(J893="","",COUNTIFS($B$2:$B$1001,B893,$A$2:$A$1001,"&lt;"&amp;A893,$A$2:$A$1001,"&gt;="&amp;(A893-설정!$B$2),$J$2:$J$1001,"&gt;=0"))</f>
        <v/>
      </c>
      <c r="N893" s="18" t="str">
        <f aca="false">IF(K893="","",IF(L893=0,"",ROUND((J893-K893)/L893,2)))</f>
        <v/>
      </c>
      <c r="O893" s="19" t="str">
        <f aca="false">IF(J893="","",IF(MIN(F893,G893)&lt;=설정!$B$5,"예",""))</f>
        <v/>
      </c>
      <c r="P893" s="19" t="str">
        <f aca="false">IF(J893="","",IF(M893&lt;설정!$B$3,"baseline 수집 중",IF(N893="","정상",IF(N893&lt;=설정!$B$4,"낮음","정상"))))</f>
        <v/>
      </c>
      <c r="Q893" s="20"/>
      <c r="R893" s="18" t="str">
        <f aca="false">IF(J893="","",J893^2)</f>
        <v/>
      </c>
    </row>
    <row r="894" customFormat="false" ht="15" hidden="false" customHeight="false" outlineLevel="0" collapsed="false">
      <c r="A894" s="16"/>
      <c r="B894" s="17"/>
      <c r="C894" s="17"/>
      <c r="D894" s="17"/>
      <c r="E894" s="17"/>
      <c r="F894" s="17"/>
      <c r="G894" s="17"/>
      <c r="H894" s="17"/>
      <c r="I894" s="17"/>
      <c r="J894" s="18" t="str">
        <f aca="false">IF(COUNT(E894:I894)&lt;5,"",SUM(E894:I894))</f>
        <v/>
      </c>
      <c r="K894" s="18" t="str">
        <f aca="false">IF(J894="","",IF(M894&lt;설정!$B$3,"",ROUND(AVERAGEIFS($J$2:$J$1001,$B$2:$B$1001,B894,$A$2:$A$1001,"&lt;"&amp;A894,$A$2:$A$1001,"&gt;="&amp;(A894-설정!$B$2)),2)))</f>
        <v/>
      </c>
      <c r="L894" s="18" t="str">
        <f aca="false">IF(K894="","",ROUND(SQRT(MAX(0,(SUMIFS($R$2:$R$1001,$B$2:$B$1001,B894,$A$2:$A$1001,"&lt;"&amp;A894,$A$2:$A$1001,"&gt;="&amp;(A894-설정!$B$2))-M894*AVERAGEIFS($J$2:$J$1001,$B$2:$B$1001,B894,$A$2:$A$1001,"&lt;"&amp;A894,$A$2:$A$1001,"&gt;="&amp;(A894-설정!$B$2))^2)/(M894-1))),2))</f>
        <v/>
      </c>
      <c r="M894" s="18" t="str">
        <f aca="false">IF(J894="","",COUNTIFS($B$2:$B$1001,B894,$A$2:$A$1001,"&lt;"&amp;A894,$A$2:$A$1001,"&gt;="&amp;(A894-설정!$B$2),$J$2:$J$1001,"&gt;=0"))</f>
        <v/>
      </c>
      <c r="N894" s="18" t="str">
        <f aca="false">IF(K894="","",IF(L894=0,"",ROUND((J894-K894)/L894,2)))</f>
        <v/>
      </c>
      <c r="O894" s="19" t="str">
        <f aca="false">IF(J894="","",IF(MIN(F894,G894)&lt;=설정!$B$5,"예",""))</f>
        <v/>
      </c>
      <c r="P894" s="19" t="str">
        <f aca="false">IF(J894="","",IF(M894&lt;설정!$B$3,"baseline 수집 중",IF(N894="","정상",IF(N894&lt;=설정!$B$4,"낮음","정상"))))</f>
        <v/>
      </c>
      <c r="Q894" s="20"/>
      <c r="R894" s="18" t="str">
        <f aca="false">IF(J894="","",J894^2)</f>
        <v/>
      </c>
    </row>
    <row r="895" customFormat="false" ht="15" hidden="false" customHeight="false" outlineLevel="0" collapsed="false">
      <c r="A895" s="16"/>
      <c r="B895" s="17"/>
      <c r="C895" s="17"/>
      <c r="D895" s="17"/>
      <c r="E895" s="17"/>
      <c r="F895" s="17"/>
      <c r="G895" s="17"/>
      <c r="H895" s="17"/>
      <c r="I895" s="17"/>
      <c r="J895" s="18" t="str">
        <f aca="false">IF(COUNT(E895:I895)&lt;5,"",SUM(E895:I895))</f>
        <v/>
      </c>
      <c r="K895" s="18" t="str">
        <f aca="false">IF(J895="","",IF(M895&lt;설정!$B$3,"",ROUND(AVERAGEIFS($J$2:$J$1001,$B$2:$B$1001,B895,$A$2:$A$1001,"&lt;"&amp;A895,$A$2:$A$1001,"&gt;="&amp;(A895-설정!$B$2)),2)))</f>
        <v/>
      </c>
      <c r="L895" s="18" t="str">
        <f aca="false">IF(K895="","",ROUND(SQRT(MAX(0,(SUMIFS($R$2:$R$1001,$B$2:$B$1001,B895,$A$2:$A$1001,"&lt;"&amp;A895,$A$2:$A$1001,"&gt;="&amp;(A895-설정!$B$2))-M895*AVERAGEIFS($J$2:$J$1001,$B$2:$B$1001,B895,$A$2:$A$1001,"&lt;"&amp;A895,$A$2:$A$1001,"&gt;="&amp;(A895-설정!$B$2))^2)/(M895-1))),2))</f>
        <v/>
      </c>
      <c r="M895" s="18" t="str">
        <f aca="false">IF(J895="","",COUNTIFS($B$2:$B$1001,B895,$A$2:$A$1001,"&lt;"&amp;A895,$A$2:$A$1001,"&gt;="&amp;(A895-설정!$B$2),$J$2:$J$1001,"&gt;=0"))</f>
        <v/>
      </c>
      <c r="N895" s="18" t="str">
        <f aca="false">IF(K895="","",IF(L895=0,"",ROUND((J895-K895)/L895,2)))</f>
        <v/>
      </c>
      <c r="O895" s="19" t="str">
        <f aca="false">IF(J895="","",IF(MIN(F895,G895)&lt;=설정!$B$5,"예",""))</f>
        <v/>
      </c>
      <c r="P895" s="19" t="str">
        <f aca="false">IF(J895="","",IF(M895&lt;설정!$B$3,"baseline 수집 중",IF(N895="","정상",IF(N895&lt;=설정!$B$4,"낮음","정상"))))</f>
        <v/>
      </c>
      <c r="Q895" s="20"/>
      <c r="R895" s="18" t="str">
        <f aca="false">IF(J895="","",J895^2)</f>
        <v/>
      </c>
    </row>
    <row r="896" customFormat="false" ht="15" hidden="false" customHeight="false" outlineLevel="0" collapsed="false">
      <c r="A896" s="16"/>
      <c r="B896" s="17"/>
      <c r="C896" s="17"/>
      <c r="D896" s="17"/>
      <c r="E896" s="17"/>
      <c r="F896" s="17"/>
      <c r="G896" s="17"/>
      <c r="H896" s="17"/>
      <c r="I896" s="17"/>
      <c r="J896" s="18" t="str">
        <f aca="false">IF(COUNT(E896:I896)&lt;5,"",SUM(E896:I896))</f>
        <v/>
      </c>
      <c r="K896" s="18" t="str">
        <f aca="false">IF(J896="","",IF(M896&lt;설정!$B$3,"",ROUND(AVERAGEIFS($J$2:$J$1001,$B$2:$B$1001,B896,$A$2:$A$1001,"&lt;"&amp;A896,$A$2:$A$1001,"&gt;="&amp;(A896-설정!$B$2)),2)))</f>
        <v/>
      </c>
      <c r="L896" s="18" t="str">
        <f aca="false">IF(K896="","",ROUND(SQRT(MAX(0,(SUMIFS($R$2:$R$1001,$B$2:$B$1001,B896,$A$2:$A$1001,"&lt;"&amp;A896,$A$2:$A$1001,"&gt;="&amp;(A896-설정!$B$2))-M896*AVERAGEIFS($J$2:$J$1001,$B$2:$B$1001,B896,$A$2:$A$1001,"&lt;"&amp;A896,$A$2:$A$1001,"&gt;="&amp;(A896-설정!$B$2))^2)/(M896-1))),2))</f>
        <v/>
      </c>
      <c r="M896" s="18" t="str">
        <f aca="false">IF(J896="","",COUNTIFS($B$2:$B$1001,B896,$A$2:$A$1001,"&lt;"&amp;A896,$A$2:$A$1001,"&gt;="&amp;(A896-설정!$B$2),$J$2:$J$1001,"&gt;=0"))</f>
        <v/>
      </c>
      <c r="N896" s="18" t="str">
        <f aca="false">IF(K896="","",IF(L896=0,"",ROUND((J896-K896)/L896,2)))</f>
        <v/>
      </c>
      <c r="O896" s="19" t="str">
        <f aca="false">IF(J896="","",IF(MIN(F896,G896)&lt;=설정!$B$5,"예",""))</f>
        <v/>
      </c>
      <c r="P896" s="19" t="str">
        <f aca="false">IF(J896="","",IF(M896&lt;설정!$B$3,"baseline 수집 중",IF(N896="","정상",IF(N896&lt;=설정!$B$4,"낮음","정상"))))</f>
        <v/>
      </c>
      <c r="Q896" s="20"/>
      <c r="R896" s="18" t="str">
        <f aca="false">IF(J896="","",J896^2)</f>
        <v/>
      </c>
    </row>
    <row r="897" customFormat="false" ht="15" hidden="false" customHeight="false" outlineLevel="0" collapsed="false">
      <c r="A897" s="16"/>
      <c r="B897" s="17"/>
      <c r="C897" s="17"/>
      <c r="D897" s="17"/>
      <c r="E897" s="17"/>
      <c r="F897" s="17"/>
      <c r="G897" s="17"/>
      <c r="H897" s="17"/>
      <c r="I897" s="17"/>
      <c r="J897" s="18" t="str">
        <f aca="false">IF(COUNT(E897:I897)&lt;5,"",SUM(E897:I897))</f>
        <v/>
      </c>
      <c r="K897" s="18" t="str">
        <f aca="false">IF(J897="","",IF(M897&lt;설정!$B$3,"",ROUND(AVERAGEIFS($J$2:$J$1001,$B$2:$B$1001,B897,$A$2:$A$1001,"&lt;"&amp;A897,$A$2:$A$1001,"&gt;="&amp;(A897-설정!$B$2)),2)))</f>
        <v/>
      </c>
      <c r="L897" s="18" t="str">
        <f aca="false">IF(K897="","",ROUND(SQRT(MAX(0,(SUMIFS($R$2:$R$1001,$B$2:$B$1001,B897,$A$2:$A$1001,"&lt;"&amp;A897,$A$2:$A$1001,"&gt;="&amp;(A897-설정!$B$2))-M897*AVERAGEIFS($J$2:$J$1001,$B$2:$B$1001,B897,$A$2:$A$1001,"&lt;"&amp;A897,$A$2:$A$1001,"&gt;="&amp;(A897-설정!$B$2))^2)/(M897-1))),2))</f>
        <v/>
      </c>
      <c r="M897" s="18" t="str">
        <f aca="false">IF(J897="","",COUNTIFS($B$2:$B$1001,B897,$A$2:$A$1001,"&lt;"&amp;A897,$A$2:$A$1001,"&gt;="&amp;(A897-설정!$B$2),$J$2:$J$1001,"&gt;=0"))</f>
        <v/>
      </c>
      <c r="N897" s="18" t="str">
        <f aca="false">IF(K897="","",IF(L897=0,"",ROUND((J897-K897)/L897,2)))</f>
        <v/>
      </c>
      <c r="O897" s="19" t="str">
        <f aca="false">IF(J897="","",IF(MIN(F897,G897)&lt;=설정!$B$5,"예",""))</f>
        <v/>
      </c>
      <c r="P897" s="19" t="str">
        <f aca="false">IF(J897="","",IF(M897&lt;설정!$B$3,"baseline 수집 중",IF(N897="","정상",IF(N897&lt;=설정!$B$4,"낮음","정상"))))</f>
        <v/>
      </c>
      <c r="Q897" s="20"/>
      <c r="R897" s="18" t="str">
        <f aca="false">IF(J897="","",J897^2)</f>
        <v/>
      </c>
    </row>
    <row r="898" customFormat="false" ht="15" hidden="false" customHeight="false" outlineLevel="0" collapsed="false">
      <c r="A898" s="16"/>
      <c r="B898" s="17"/>
      <c r="C898" s="17"/>
      <c r="D898" s="17"/>
      <c r="E898" s="17"/>
      <c r="F898" s="17"/>
      <c r="G898" s="17"/>
      <c r="H898" s="17"/>
      <c r="I898" s="17"/>
      <c r="J898" s="18" t="str">
        <f aca="false">IF(COUNT(E898:I898)&lt;5,"",SUM(E898:I898))</f>
        <v/>
      </c>
      <c r="K898" s="18" t="str">
        <f aca="false">IF(J898="","",IF(M898&lt;설정!$B$3,"",ROUND(AVERAGEIFS($J$2:$J$1001,$B$2:$B$1001,B898,$A$2:$A$1001,"&lt;"&amp;A898,$A$2:$A$1001,"&gt;="&amp;(A898-설정!$B$2)),2)))</f>
        <v/>
      </c>
      <c r="L898" s="18" t="str">
        <f aca="false">IF(K898="","",ROUND(SQRT(MAX(0,(SUMIFS($R$2:$R$1001,$B$2:$B$1001,B898,$A$2:$A$1001,"&lt;"&amp;A898,$A$2:$A$1001,"&gt;="&amp;(A898-설정!$B$2))-M898*AVERAGEIFS($J$2:$J$1001,$B$2:$B$1001,B898,$A$2:$A$1001,"&lt;"&amp;A898,$A$2:$A$1001,"&gt;="&amp;(A898-설정!$B$2))^2)/(M898-1))),2))</f>
        <v/>
      </c>
      <c r="M898" s="18" t="str">
        <f aca="false">IF(J898="","",COUNTIFS($B$2:$B$1001,B898,$A$2:$A$1001,"&lt;"&amp;A898,$A$2:$A$1001,"&gt;="&amp;(A898-설정!$B$2),$J$2:$J$1001,"&gt;=0"))</f>
        <v/>
      </c>
      <c r="N898" s="18" t="str">
        <f aca="false">IF(K898="","",IF(L898=0,"",ROUND((J898-K898)/L898,2)))</f>
        <v/>
      </c>
      <c r="O898" s="19" t="str">
        <f aca="false">IF(J898="","",IF(MIN(F898,G898)&lt;=설정!$B$5,"예",""))</f>
        <v/>
      </c>
      <c r="P898" s="19" t="str">
        <f aca="false">IF(J898="","",IF(M898&lt;설정!$B$3,"baseline 수집 중",IF(N898="","정상",IF(N898&lt;=설정!$B$4,"낮음","정상"))))</f>
        <v/>
      </c>
      <c r="Q898" s="20"/>
      <c r="R898" s="18" t="str">
        <f aca="false">IF(J898="","",J898^2)</f>
        <v/>
      </c>
    </row>
    <row r="899" customFormat="false" ht="15" hidden="false" customHeight="false" outlineLevel="0" collapsed="false">
      <c r="A899" s="16"/>
      <c r="B899" s="17"/>
      <c r="C899" s="17"/>
      <c r="D899" s="17"/>
      <c r="E899" s="17"/>
      <c r="F899" s="17"/>
      <c r="G899" s="17"/>
      <c r="H899" s="17"/>
      <c r="I899" s="17"/>
      <c r="J899" s="18" t="str">
        <f aca="false">IF(COUNT(E899:I899)&lt;5,"",SUM(E899:I899))</f>
        <v/>
      </c>
      <c r="K899" s="18" t="str">
        <f aca="false">IF(J899="","",IF(M899&lt;설정!$B$3,"",ROUND(AVERAGEIFS($J$2:$J$1001,$B$2:$B$1001,B899,$A$2:$A$1001,"&lt;"&amp;A899,$A$2:$A$1001,"&gt;="&amp;(A899-설정!$B$2)),2)))</f>
        <v/>
      </c>
      <c r="L899" s="18" t="str">
        <f aca="false">IF(K899="","",ROUND(SQRT(MAX(0,(SUMIFS($R$2:$R$1001,$B$2:$B$1001,B899,$A$2:$A$1001,"&lt;"&amp;A899,$A$2:$A$1001,"&gt;="&amp;(A899-설정!$B$2))-M899*AVERAGEIFS($J$2:$J$1001,$B$2:$B$1001,B899,$A$2:$A$1001,"&lt;"&amp;A899,$A$2:$A$1001,"&gt;="&amp;(A899-설정!$B$2))^2)/(M899-1))),2))</f>
        <v/>
      </c>
      <c r="M899" s="18" t="str">
        <f aca="false">IF(J899="","",COUNTIFS($B$2:$B$1001,B899,$A$2:$A$1001,"&lt;"&amp;A899,$A$2:$A$1001,"&gt;="&amp;(A899-설정!$B$2),$J$2:$J$1001,"&gt;=0"))</f>
        <v/>
      </c>
      <c r="N899" s="18" t="str">
        <f aca="false">IF(K899="","",IF(L899=0,"",ROUND((J899-K899)/L899,2)))</f>
        <v/>
      </c>
      <c r="O899" s="19" t="str">
        <f aca="false">IF(J899="","",IF(MIN(F899,G899)&lt;=설정!$B$5,"예",""))</f>
        <v/>
      </c>
      <c r="P899" s="19" t="str">
        <f aca="false">IF(J899="","",IF(M899&lt;설정!$B$3,"baseline 수집 중",IF(N899="","정상",IF(N899&lt;=설정!$B$4,"낮음","정상"))))</f>
        <v/>
      </c>
      <c r="Q899" s="20"/>
      <c r="R899" s="18" t="str">
        <f aca="false">IF(J899="","",J899^2)</f>
        <v/>
      </c>
    </row>
    <row r="900" customFormat="false" ht="15" hidden="false" customHeight="false" outlineLevel="0" collapsed="false">
      <c r="A900" s="16"/>
      <c r="B900" s="17"/>
      <c r="C900" s="17"/>
      <c r="D900" s="17"/>
      <c r="E900" s="17"/>
      <c r="F900" s="17"/>
      <c r="G900" s="17"/>
      <c r="H900" s="17"/>
      <c r="I900" s="17"/>
      <c r="J900" s="18" t="str">
        <f aca="false">IF(COUNT(E900:I900)&lt;5,"",SUM(E900:I900))</f>
        <v/>
      </c>
      <c r="K900" s="18" t="str">
        <f aca="false">IF(J900="","",IF(M900&lt;설정!$B$3,"",ROUND(AVERAGEIFS($J$2:$J$1001,$B$2:$B$1001,B900,$A$2:$A$1001,"&lt;"&amp;A900,$A$2:$A$1001,"&gt;="&amp;(A900-설정!$B$2)),2)))</f>
        <v/>
      </c>
      <c r="L900" s="18" t="str">
        <f aca="false">IF(K900="","",ROUND(SQRT(MAX(0,(SUMIFS($R$2:$R$1001,$B$2:$B$1001,B900,$A$2:$A$1001,"&lt;"&amp;A900,$A$2:$A$1001,"&gt;="&amp;(A900-설정!$B$2))-M900*AVERAGEIFS($J$2:$J$1001,$B$2:$B$1001,B900,$A$2:$A$1001,"&lt;"&amp;A900,$A$2:$A$1001,"&gt;="&amp;(A900-설정!$B$2))^2)/(M900-1))),2))</f>
        <v/>
      </c>
      <c r="M900" s="18" t="str">
        <f aca="false">IF(J900="","",COUNTIFS($B$2:$B$1001,B900,$A$2:$A$1001,"&lt;"&amp;A900,$A$2:$A$1001,"&gt;="&amp;(A900-설정!$B$2),$J$2:$J$1001,"&gt;=0"))</f>
        <v/>
      </c>
      <c r="N900" s="18" t="str">
        <f aca="false">IF(K900="","",IF(L900=0,"",ROUND((J900-K900)/L900,2)))</f>
        <v/>
      </c>
      <c r="O900" s="19" t="str">
        <f aca="false">IF(J900="","",IF(MIN(F900,G900)&lt;=설정!$B$5,"예",""))</f>
        <v/>
      </c>
      <c r="P900" s="19" t="str">
        <f aca="false">IF(J900="","",IF(M900&lt;설정!$B$3,"baseline 수집 중",IF(N900="","정상",IF(N900&lt;=설정!$B$4,"낮음","정상"))))</f>
        <v/>
      </c>
      <c r="Q900" s="20"/>
      <c r="R900" s="18" t="str">
        <f aca="false">IF(J900="","",J900^2)</f>
        <v/>
      </c>
    </row>
    <row r="901" customFormat="false" ht="15" hidden="false" customHeight="false" outlineLevel="0" collapsed="false">
      <c r="A901" s="16"/>
      <c r="B901" s="17"/>
      <c r="C901" s="17"/>
      <c r="D901" s="17"/>
      <c r="E901" s="17"/>
      <c r="F901" s="17"/>
      <c r="G901" s="17"/>
      <c r="H901" s="17"/>
      <c r="I901" s="17"/>
      <c r="J901" s="18" t="str">
        <f aca="false">IF(COUNT(E901:I901)&lt;5,"",SUM(E901:I901))</f>
        <v/>
      </c>
      <c r="K901" s="18" t="str">
        <f aca="false">IF(J901="","",IF(M901&lt;설정!$B$3,"",ROUND(AVERAGEIFS($J$2:$J$1001,$B$2:$B$1001,B901,$A$2:$A$1001,"&lt;"&amp;A901,$A$2:$A$1001,"&gt;="&amp;(A901-설정!$B$2)),2)))</f>
        <v/>
      </c>
      <c r="L901" s="18" t="str">
        <f aca="false">IF(K901="","",ROUND(SQRT(MAX(0,(SUMIFS($R$2:$R$1001,$B$2:$B$1001,B901,$A$2:$A$1001,"&lt;"&amp;A901,$A$2:$A$1001,"&gt;="&amp;(A901-설정!$B$2))-M901*AVERAGEIFS($J$2:$J$1001,$B$2:$B$1001,B901,$A$2:$A$1001,"&lt;"&amp;A901,$A$2:$A$1001,"&gt;="&amp;(A901-설정!$B$2))^2)/(M901-1))),2))</f>
        <v/>
      </c>
      <c r="M901" s="18" t="str">
        <f aca="false">IF(J901="","",COUNTIFS($B$2:$B$1001,B901,$A$2:$A$1001,"&lt;"&amp;A901,$A$2:$A$1001,"&gt;="&amp;(A901-설정!$B$2),$J$2:$J$1001,"&gt;=0"))</f>
        <v/>
      </c>
      <c r="N901" s="18" t="str">
        <f aca="false">IF(K901="","",IF(L901=0,"",ROUND((J901-K901)/L901,2)))</f>
        <v/>
      </c>
      <c r="O901" s="19" t="str">
        <f aca="false">IF(J901="","",IF(MIN(F901,G901)&lt;=설정!$B$5,"예",""))</f>
        <v/>
      </c>
      <c r="P901" s="19" t="str">
        <f aca="false">IF(J901="","",IF(M901&lt;설정!$B$3,"baseline 수집 중",IF(N901="","정상",IF(N901&lt;=설정!$B$4,"낮음","정상"))))</f>
        <v/>
      </c>
      <c r="Q901" s="20"/>
      <c r="R901" s="18" t="str">
        <f aca="false">IF(J901="","",J901^2)</f>
        <v/>
      </c>
    </row>
    <row r="902" customFormat="false" ht="15" hidden="false" customHeight="false" outlineLevel="0" collapsed="false">
      <c r="A902" s="16"/>
      <c r="B902" s="17"/>
      <c r="C902" s="17"/>
      <c r="D902" s="17"/>
      <c r="E902" s="17"/>
      <c r="F902" s="17"/>
      <c r="G902" s="17"/>
      <c r="H902" s="17"/>
      <c r="I902" s="17"/>
      <c r="J902" s="18" t="str">
        <f aca="false">IF(COUNT(E902:I902)&lt;5,"",SUM(E902:I902))</f>
        <v/>
      </c>
      <c r="K902" s="18" t="str">
        <f aca="false">IF(J902="","",IF(M902&lt;설정!$B$3,"",ROUND(AVERAGEIFS($J$2:$J$1001,$B$2:$B$1001,B902,$A$2:$A$1001,"&lt;"&amp;A902,$A$2:$A$1001,"&gt;="&amp;(A902-설정!$B$2)),2)))</f>
        <v/>
      </c>
      <c r="L902" s="18" t="str">
        <f aca="false">IF(K902="","",ROUND(SQRT(MAX(0,(SUMIFS($R$2:$R$1001,$B$2:$B$1001,B902,$A$2:$A$1001,"&lt;"&amp;A902,$A$2:$A$1001,"&gt;="&amp;(A902-설정!$B$2))-M902*AVERAGEIFS($J$2:$J$1001,$B$2:$B$1001,B902,$A$2:$A$1001,"&lt;"&amp;A902,$A$2:$A$1001,"&gt;="&amp;(A902-설정!$B$2))^2)/(M902-1))),2))</f>
        <v/>
      </c>
      <c r="M902" s="18" t="str">
        <f aca="false">IF(J902="","",COUNTIFS($B$2:$B$1001,B902,$A$2:$A$1001,"&lt;"&amp;A902,$A$2:$A$1001,"&gt;="&amp;(A902-설정!$B$2),$J$2:$J$1001,"&gt;=0"))</f>
        <v/>
      </c>
      <c r="N902" s="18" t="str">
        <f aca="false">IF(K902="","",IF(L902=0,"",ROUND((J902-K902)/L902,2)))</f>
        <v/>
      </c>
      <c r="O902" s="19" t="str">
        <f aca="false">IF(J902="","",IF(MIN(F902,G902)&lt;=설정!$B$5,"예",""))</f>
        <v/>
      </c>
      <c r="P902" s="19" t="str">
        <f aca="false">IF(J902="","",IF(M902&lt;설정!$B$3,"baseline 수집 중",IF(N902="","정상",IF(N902&lt;=설정!$B$4,"낮음","정상"))))</f>
        <v/>
      </c>
      <c r="Q902" s="20"/>
      <c r="R902" s="18" t="str">
        <f aca="false">IF(J902="","",J902^2)</f>
        <v/>
      </c>
    </row>
    <row r="903" customFormat="false" ht="15" hidden="false" customHeight="false" outlineLevel="0" collapsed="false">
      <c r="A903" s="16"/>
      <c r="B903" s="17"/>
      <c r="C903" s="17"/>
      <c r="D903" s="17"/>
      <c r="E903" s="17"/>
      <c r="F903" s="17"/>
      <c r="G903" s="17"/>
      <c r="H903" s="17"/>
      <c r="I903" s="17"/>
      <c r="J903" s="18" t="str">
        <f aca="false">IF(COUNT(E903:I903)&lt;5,"",SUM(E903:I903))</f>
        <v/>
      </c>
      <c r="K903" s="18" t="str">
        <f aca="false">IF(J903="","",IF(M903&lt;설정!$B$3,"",ROUND(AVERAGEIFS($J$2:$J$1001,$B$2:$B$1001,B903,$A$2:$A$1001,"&lt;"&amp;A903,$A$2:$A$1001,"&gt;="&amp;(A903-설정!$B$2)),2)))</f>
        <v/>
      </c>
      <c r="L903" s="18" t="str">
        <f aca="false">IF(K903="","",ROUND(SQRT(MAX(0,(SUMIFS($R$2:$R$1001,$B$2:$B$1001,B903,$A$2:$A$1001,"&lt;"&amp;A903,$A$2:$A$1001,"&gt;="&amp;(A903-설정!$B$2))-M903*AVERAGEIFS($J$2:$J$1001,$B$2:$B$1001,B903,$A$2:$A$1001,"&lt;"&amp;A903,$A$2:$A$1001,"&gt;="&amp;(A903-설정!$B$2))^2)/(M903-1))),2))</f>
        <v/>
      </c>
      <c r="M903" s="18" t="str">
        <f aca="false">IF(J903="","",COUNTIFS($B$2:$B$1001,B903,$A$2:$A$1001,"&lt;"&amp;A903,$A$2:$A$1001,"&gt;="&amp;(A903-설정!$B$2),$J$2:$J$1001,"&gt;=0"))</f>
        <v/>
      </c>
      <c r="N903" s="18" t="str">
        <f aca="false">IF(K903="","",IF(L903=0,"",ROUND((J903-K903)/L903,2)))</f>
        <v/>
      </c>
      <c r="O903" s="19" t="str">
        <f aca="false">IF(J903="","",IF(MIN(F903,G903)&lt;=설정!$B$5,"예",""))</f>
        <v/>
      </c>
      <c r="P903" s="19" t="str">
        <f aca="false">IF(J903="","",IF(M903&lt;설정!$B$3,"baseline 수집 중",IF(N903="","정상",IF(N903&lt;=설정!$B$4,"낮음","정상"))))</f>
        <v/>
      </c>
      <c r="Q903" s="20"/>
      <c r="R903" s="18" t="str">
        <f aca="false">IF(J903="","",J903^2)</f>
        <v/>
      </c>
    </row>
    <row r="904" customFormat="false" ht="15" hidden="false" customHeight="false" outlineLevel="0" collapsed="false">
      <c r="A904" s="16"/>
      <c r="B904" s="17"/>
      <c r="C904" s="17"/>
      <c r="D904" s="17"/>
      <c r="E904" s="17"/>
      <c r="F904" s="17"/>
      <c r="G904" s="17"/>
      <c r="H904" s="17"/>
      <c r="I904" s="17"/>
      <c r="J904" s="18" t="str">
        <f aca="false">IF(COUNT(E904:I904)&lt;5,"",SUM(E904:I904))</f>
        <v/>
      </c>
      <c r="K904" s="18" t="str">
        <f aca="false">IF(J904="","",IF(M904&lt;설정!$B$3,"",ROUND(AVERAGEIFS($J$2:$J$1001,$B$2:$B$1001,B904,$A$2:$A$1001,"&lt;"&amp;A904,$A$2:$A$1001,"&gt;="&amp;(A904-설정!$B$2)),2)))</f>
        <v/>
      </c>
      <c r="L904" s="18" t="str">
        <f aca="false">IF(K904="","",ROUND(SQRT(MAX(0,(SUMIFS($R$2:$R$1001,$B$2:$B$1001,B904,$A$2:$A$1001,"&lt;"&amp;A904,$A$2:$A$1001,"&gt;="&amp;(A904-설정!$B$2))-M904*AVERAGEIFS($J$2:$J$1001,$B$2:$B$1001,B904,$A$2:$A$1001,"&lt;"&amp;A904,$A$2:$A$1001,"&gt;="&amp;(A904-설정!$B$2))^2)/(M904-1))),2))</f>
        <v/>
      </c>
      <c r="M904" s="18" t="str">
        <f aca="false">IF(J904="","",COUNTIFS($B$2:$B$1001,B904,$A$2:$A$1001,"&lt;"&amp;A904,$A$2:$A$1001,"&gt;="&amp;(A904-설정!$B$2),$J$2:$J$1001,"&gt;=0"))</f>
        <v/>
      </c>
      <c r="N904" s="18" t="str">
        <f aca="false">IF(K904="","",IF(L904=0,"",ROUND((J904-K904)/L904,2)))</f>
        <v/>
      </c>
      <c r="O904" s="19" t="str">
        <f aca="false">IF(J904="","",IF(MIN(F904,G904)&lt;=설정!$B$5,"예",""))</f>
        <v/>
      </c>
      <c r="P904" s="19" t="str">
        <f aca="false">IF(J904="","",IF(M904&lt;설정!$B$3,"baseline 수집 중",IF(N904="","정상",IF(N904&lt;=설정!$B$4,"낮음","정상"))))</f>
        <v/>
      </c>
      <c r="Q904" s="20"/>
      <c r="R904" s="18" t="str">
        <f aca="false">IF(J904="","",J904^2)</f>
        <v/>
      </c>
    </row>
    <row r="905" customFormat="false" ht="15" hidden="false" customHeight="false" outlineLevel="0" collapsed="false">
      <c r="A905" s="16"/>
      <c r="B905" s="17"/>
      <c r="C905" s="17"/>
      <c r="D905" s="17"/>
      <c r="E905" s="17"/>
      <c r="F905" s="17"/>
      <c r="G905" s="17"/>
      <c r="H905" s="17"/>
      <c r="I905" s="17"/>
      <c r="J905" s="18" t="str">
        <f aca="false">IF(COUNT(E905:I905)&lt;5,"",SUM(E905:I905))</f>
        <v/>
      </c>
      <c r="K905" s="18" t="str">
        <f aca="false">IF(J905="","",IF(M905&lt;설정!$B$3,"",ROUND(AVERAGEIFS($J$2:$J$1001,$B$2:$B$1001,B905,$A$2:$A$1001,"&lt;"&amp;A905,$A$2:$A$1001,"&gt;="&amp;(A905-설정!$B$2)),2)))</f>
        <v/>
      </c>
      <c r="L905" s="18" t="str">
        <f aca="false">IF(K905="","",ROUND(SQRT(MAX(0,(SUMIFS($R$2:$R$1001,$B$2:$B$1001,B905,$A$2:$A$1001,"&lt;"&amp;A905,$A$2:$A$1001,"&gt;="&amp;(A905-설정!$B$2))-M905*AVERAGEIFS($J$2:$J$1001,$B$2:$B$1001,B905,$A$2:$A$1001,"&lt;"&amp;A905,$A$2:$A$1001,"&gt;="&amp;(A905-설정!$B$2))^2)/(M905-1))),2))</f>
        <v/>
      </c>
      <c r="M905" s="18" t="str">
        <f aca="false">IF(J905="","",COUNTIFS($B$2:$B$1001,B905,$A$2:$A$1001,"&lt;"&amp;A905,$A$2:$A$1001,"&gt;="&amp;(A905-설정!$B$2),$J$2:$J$1001,"&gt;=0"))</f>
        <v/>
      </c>
      <c r="N905" s="18" t="str">
        <f aca="false">IF(K905="","",IF(L905=0,"",ROUND((J905-K905)/L905,2)))</f>
        <v/>
      </c>
      <c r="O905" s="19" t="str">
        <f aca="false">IF(J905="","",IF(MIN(F905,G905)&lt;=설정!$B$5,"예",""))</f>
        <v/>
      </c>
      <c r="P905" s="19" t="str">
        <f aca="false">IF(J905="","",IF(M905&lt;설정!$B$3,"baseline 수집 중",IF(N905="","정상",IF(N905&lt;=설정!$B$4,"낮음","정상"))))</f>
        <v/>
      </c>
      <c r="Q905" s="20"/>
      <c r="R905" s="18" t="str">
        <f aca="false">IF(J905="","",J905^2)</f>
        <v/>
      </c>
    </row>
    <row r="906" customFormat="false" ht="15" hidden="false" customHeight="false" outlineLevel="0" collapsed="false">
      <c r="A906" s="16"/>
      <c r="B906" s="17"/>
      <c r="C906" s="17"/>
      <c r="D906" s="17"/>
      <c r="E906" s="17"/>
      <c r="F906" s="17"/>
      <c r="G906" s="17"/>
      <c r="H906" s="17"/>
      <c r="I906" s="17"/>
      <c r="J906" s="18" t="str">
        <f aca="false">IF(COUNT(E906:I906)&lt;5,"",SUM(E906:I906))</f>
        <v/>
      </c>
      <c r="K906" s="18" t="str">
        <f aca="false">IF(J906="","",IF(M906&lt;설정!$B$3,"",ROUND(AVERAGEIFS($J$2:$J$1001,$B$2:$B$1001,B906,$A$2:$A$1001,"&lt;"&amp;A906,$A$2:$A$1001,"&gt;="&amp;(A906-설정!$B$2)),2)))</f>
        <v/>
      </c>
      <c r="L906" s="18" t="str">
        <f aca="false">IF(K906="","",ROUND(SQRT(MAX(0,(SUMIFS($R$2:$R$1001,$B$2:$B$1001,B906,$A$2:$A$1001,"&lt;"&amp;A906,$A$2:$A$1001,"&gt;="&amp;(A906-설정!$B$2))-M906*AVERAGEIFS($J$2:$J$1001,$B$2:$B$1001,B906,$A$2:$A$1001,"&lt;"&amp;A906,$A$2:$A$1001,"&gt;="&amp;(A906-설정!$B$2))^2)/(M906-1))),2))</f>
        <v/>
      </c>
      <c r="M906" s="18" t="str">
        <f aca="false">IF(J906="","",COUNTIFS($B$2:$B$1001,B906,$A$2:$A$1001,"&lt;"&amp;A906,$A$2:$A$1001,"&gt;="&amp;(A906-설정!$B$2),$J$2:$J$1001,"&gt;=0"))</f>
        <v/>
      </c>
      <c r="N906" s="18" t="str">
        <f aca="false">IF(K906="","",IF(L906=0,"",ROUND((J906-K906)/L906,2)))</f>
        <v/>
      </c>
      <c r="O906" s="19" t="str">
        <f aca="false">IF(J906="","",IF(MIN(F906,G906)&lt;=설정!$B$5,"예",""))</f>
        <v/>
      </c>
      <c r="P906" s="19" t="str">
        <f aca="false">IF(J906="","",IF(M906&lt;설정!$B$3,"baseline 수집 중",IF(N906="","정상",IF(N906&lt;=설정!$B$4,"낮음","정상"))))</f>
        <v/>
      </c>
      <c r="Q906" s="20"/>
      <c r="R906" s="18" t="str">
        <f aca="false">IF(J906="","",J906^2)</f>
        <v/>
      </c>
    </row>
    <row r="907" customFormat="false" ht="15" hidden="false" customHeight="false" outlineLevel="0" collapsed="false">
      <c r="A907" s="16"/>
      <c r="B907" s="17"/>
      <c r="C907" s="17"/>
      <c r="D907" s="17"/>
      <c r="E907" s="17"/>
      <c r="F907" s="17"/>
      <c r="G907" s="17"/>
      <c r="H907" s="17"/>
      <c r="I907" s="17"/>
      <c r="J907" s="18" t="str">
        <f aca="false">IF(COUNT(E907:I907)&lt;5,"",SUM(E907:I907))</f>
        <v/>
      </c>
      <c r="K907" s="18" t="str">
        <f aca="false">IF(J907="","",IF(M907&lt;설정!$B$3,"",ROUND(AVERAGEIFS($J$2:$J$1001,$B$2:$B$1001,B907,$A$2:$A$1001,"&lt;"&amp;A907,$A$2:$A$1001,"&gt;="&amp;(A907-설정!$B$2)),2)))</f>
        <v/>
      </c>
      <c r="L907" s="18" t="str">
        <f aca="false">IF(K907="","",ROUND(SQRT(MAX(0,(SUMIFS($R$2:$R$1001,$B$2:$B$1001,B907,$A$2:$A$1001,"&lt;"&amp;A907,$A$2:$A$1001,"&gt;="&amp;(A907-설정!$B$2))-M907*AVERAGEIFS($J$2:$J$1001,$B$2:$B$1001,B907,$A$2:$A$1001,"&lt;"&amp;A907,$A$2:$A$1001,"&gt;="&amp;(A907-설정!$B$2))^2)/(M907-1))),2))</f>
        <v/>
      </c>
      <c r="M907" s="18" t="str">
        <f aca="false">IF(J907="","",COUNTIFS($B$2:$B$1001,B907,$A$2:$A$1001,"&lt;"&amp;A907,$A$2:$A$1001,"&gt;="&amp;(A907-설정!$B$2),$J$2:$J$1001,"&gt;=0"))</f>
        <v/>
      </c>
      <c r="N907" s="18" t="str">
        <f aca="false">IF(K907="","",IF(L907=0,"",ROUND((J907-K907)/L907,2)))</f>
        <v/>
      </c>
      <c r="O907" s="19" t="str">
        <f aca="false">IF(J907="","",IF(MIN(F907,G907)&lt;=설정!$B$5,"예",""))</f>
        <v/>
      </c>
      <c r="P907" s="19" t="str">
        <f aca="false">IF(J907="","",IF(M907&lt;설정!$B$3,"baseline 수집 중",IF(N907="","정상",IF(N907&lt;=설정!$B$4,"낮음","정상"))))</f>
        <v/>
      </c>
      <c r="Q907" s="20"/>
      <c r="R907" s="18" t="str">
        <f aca="false">IF(J907="","",J907^2)</f>
        <v/>
      </c>
    </row>
    <row r="908" customFormat="false" ht="15" hidden="false" customHeight="false" outlineLevel="0" collapsed="false">
      <c r="A908" s="16"/>
      <c r="B908" s="17"/>
      <c r="C908" s="17"/>
      <c r="D908" s="17"/>
      <c r="E908" s="17"/>
      <c r="F908" s="17"/>
      <c r="G908" s="17"/>
      <c r="H908" s="17"/>
      <c r="I908" s="17"/>
      <c r="J908" s="18" t="str">
        <f aca="false">IF(COUNT(E908:I908)&lt;5,"",SUM(E908:I908))</f>
        <v/>
      </c>
      <c r="K908" s="18" t="str">
        <f aca="false">IF(J908="","",IF(M908&lt;설정!$B$3,"",ROUND(AVERAGEIFS($J$2:$J$1001,$B$2:$B$1001,B908,$A$2:$A$1001,"&lt;"&amp;A908,$A$2:$A$1001,"&gt;="&amp;(A908-설정!$B$2)),2)))</f>
        <v/>
      </c>
      <c r="L908" s="18" t="str">
        <f aca="false">IF(K908="","",ROUND(SQRT(MAX(0,(SUMIFS($R$2:$R$1001,$B$2:$B$1001,B908,$A$2:$A$1001,"&lt;"&amp;A908,$A$2:$A$1001,"&gt;="&amp;(A908-설정!$B$2))-M908*AVERAGEIFS($J$2:$J$1001,$B$2:$B$1001,B908,$A$2:$A$1001,"&lt;"&amp;A908,$A$2:$A$1001,"&gt;="&amp;(A908-설정!$B$2))^2)/(M908-1))),2))</f>
        <v/>
      </c>
      <c r="M908" s="18" t="str">
        <f aca="false">IF(J908="","",COUNTIFS($B$2:$B$1001,B908,$A$2:$A$1001,"&lt;"&amp;A908,$A$2:$A$1001,"&gt;="&amp;(A908-설정!$B$2),$J$2:$J$1001,"&gt;=0"))</f>
        <v/>
      </c>
      <c r="N908" s="18" t="str">
        <f aca="false">IF(K908="","",IF(L908=0,"",ROUND((J908-K908)/L908,2)))</f>
        <v/>
      </c>
      <c r="O908" s="19" t="str">
        <f aca="false">IF(J908="","",IF(MIN(F908,G908)&lt;=설정!$B$5,"예",""))</f>
        <v/>
      </c>
      <c r="P908" s="19" t="str">
        <f aca="false">IF(J908="","",IF(M908&lt;설정!$B$3,"baseline 수집 중",IF(N908="","정상",IF(N908&lt;=설정!$B$4,"낮음","정상"))))</f>
        <v/>
      </c>
      <c r="Q908" s="20"/>
      <c r="R908" s="18" t="str">
        <f aca="false">IF(J908="","",J908^2)</f>
        <v/>
      </c>
    </row>
    <row r="909" customFormat="false" ht="15" hidden="false" customHeight="false" outlineLevel="0" collapsed="false">
      <c r="A909" s="16"/>
      <c r="B909" s="17"/>
      <c r="C909" s="17"/>
      <c r="D909" s="17"/>
      <c r="E909" s="17"/>
      <c r="F909" s="17"/>
      <c r="G909" s="17"/>
      <c r="H909" s="17"/>
      <c r="I909" s="17"/>
      <c r="J909" s="18" t="str">
        <f aca="false">IF(COUNT(E909:I909)&lt;5,"",SUM(E909:I909))</f>
        <v/>
      </c>
      <c r="K909" s="18" t="str">
        <f aca="false">IF(J909="","",IF(M909&lt;설정!$B$3,"",ROUND(AVERAGEIFS($J$2:$J$1001,$B$2:$B$1001,B909,$A$2:$A$1001,"&lt;"&amp;A909,$A$2:$A$1001,"&gt;="&amp;(A909-설정!$B$2)),2)))</f>
        <v/>
      </c>
      <c r="L909" s="18" t="str">
        <f aca="false">IF(K909="","",ROUND(SQRT(MAX(0,(SUMIFS($R$2:$R$1001,$B$2:$B$1001,B909,$A$2:$A$1001,"&lt;"&amp;A909,$A$2:$A$1001,"&gt;="&amp;(A909-설정!$B$2))-M909*AVERAGEIFS($J$2:$J$1001,$B$2:$B$1001,B909,$A$2:$A$1001,"&lt;"&amp;A909,$A$2:$A$1001,"&gt;="&amp;(A909-설정!$B$2))^2)/(M909-1))),2))</f>
        <v/>
      </c>
      <c r="M909" s="18" t="str">
        <f aca="false">IF(J909="","",COUNTIFS($B$2:$B$1001,B909,$A$2:$A$1001,"&lt;"&amp;A909,$A$2:$A$1001,"&gt;="&amp;(A909-설정!$B$2),$J$2:$J$1001,"&gt;=0"))</f>
        <v/>
      </c>
      <c r="N909" s="18" t="str">
        <f aca="false">IF(K909="","",IF(L909=0,"",ROUND((J909-K909)/L909,2)))</f>
        <v/>
      </c>
      <c r="O909" s="19" t="str">
        <f aca="false">IF(J909="","",IF(MIN(F909,G909)&lt;=설정!$B$5,"예",""))</f>
        <v/>
      </c>
      <c r="P909" s="19" t="str">
        <f aca="false">IF(J909="","",IF(M909&lt;설정!$B$3,"baseline 수집 중",IF(N909="","정상",IF(N909&lt;=설정!$B$4,"낮음","정상"))))</f>
        <v/>
      </c>
      <c r="Q909" s="20"/>
      <c r="R909" s="18" t="str">
        <f aca="false">IF(J909="","",J909^2)</f>
        <v/>
      </c>
    </row>
    <row r="910" customFormat="false" ht="15" hidden="false" customHeight="false" outlineLevel="0" collapsed="false">
      <c r="A910" s="16"/>
      <c r="B910" s="17"/>
      <c r="C910" s="17"/>
      <c r="D910" s="17"/>
      <c r="E910" s="17"/>
      <c r="F910" s="17"/>
      <c r="G910" s="17"/>
      <c r="H910" s="17"/>
      <c r="I910" s="17"/>
      <c r="J910" s="18" t="str">
        <f aca="false">IF(COUNT(E910:I910)&lt;5,"",SUM(E910:I910))</f>
        <v/>
      </c>
      <c r="K910" s="18" t="str">
        <f aca="false">IF(J910="","",IF(M910&lt;설정!$B$3,"",ROUND(AVERAGEIFS($J$2:$J$1001,$B$2:$B$1001,B910,$A$2:$A$1001,"&lt;"&amp;A910,$A$2:$A$1001,"&gt;="&amp;(A910-설정!$B$2)),2)))</f>
        <v/>
      </c>
      <c r="L910" s="18" t="str">
        <f aca="false">IF(K910="","",ROUND(SQRT(MAX(0,(SUMIFS($R$2:$R$1001,$B$2:$B$1001,B910,$A$2:$A$1001,"&lt;"&amp;A910,$A$2:$A$1001,"&gt;="&amp;(A910-설정!$B$2))-M910*AVERAGEIFS($J$2:$J$1001,$B$2:$B$1001,B910,$A$2:$A$1001,"&lt;"&amp;A910,$A$2:$A$1001,"&gt;="&amp;(A910-설정!$B$2))^2)/(M910-1))),2))</f>
        <v/>
      </c>
      <c r="M910" s="18" t="str">
        <f aca="false">IF(J910="","",COUNTIFS($B$2:$B$1001,B910,$A$2:$A$1001,"&lt;"&amp;A910,$A$2:$A$1001,"&gt;="&amp;(A910-설정!$B$2),$J$2:$J$1001,"&gt;=0"))</f>
        <v/>
      </c>
      <c r="N910" s="18" t="str">
        <f aca="false">IF(K910="","",IF(L910=0,"",ROUND((J910-K910)/L910,2)))</f>
        <v/>
      </c>
      <c r="O910" s="19" t="str">
        <f aca="false">IF(J910="","",IF(MIN(F910,G910)&lt;=설정!$B$5,"예",""))</f>
        <v/>
      </c>
      <c r="P910" s="19" t="str">
        <f aca="false">IF(J910="","",IF(M910&lt;설정!$B$3,"baseline 수집 중",IF(N910="","정상",IF(N910&lt;=설정!$B$4,"낮음","정상"))))</f>
        <v/>
      </c>
      <c r="Q910" s="20"/>
      <c r="R910" s="18" t="str">
        <f aca="false">IF(J910="","",J910^2)</f>
        <v/>
      </c>
    </row>
    <row r="911" customFormat="false" ht="15" hidden="false" customHeight="false" outlineLevel="0" collapsed="false">
      <c r="A911" s="16"/>
      <c r="B911" s="17"/>
      <c r="C911" s="17"/>
      <c r="D911" s="17"/>
      <c r="E911" s="17"/>
      <c r="F911" s="17"/>
      <c r="G911" s="17"/>
      <c r="H911" s="17"/>
      <c r="I911" s="17"/>
      <c r="J911" s="18" t="str">
        <f aca="false">IF(COUNT(E911:I911)&lt;5,"",SUM(E911:I911))</f>
        <v/>
      </c>
      <c r="K911" s="18" t="str">
        <f aca="false">IF(J911="","",IF(M911&lt;설정!$B$3,"",ROUND(AVERAGEIFS($J$2:$J$1001,$B$2:$B$1001,B911,$A$2:$A$1001,"&lt;"&amp;A911,$A$2:$A$1001,"&gt;="&amp;(A911-설정!$B$2)),2)))</f>
        <v/>
      </c>
      <c r="L911" s="18" t="str">
        <f aca="false">IF(K911="","",ROUND(SQRT(MAX(0,(SUMIFS($R$2:$R$1001,$B$2:$B$1001,B911,$A$2:$A$1001,"&lt;"&amp;A911,$A$2:$A$1001,"&gt;="&amp;(A911-설정!$B$2))-M911*AVERAGEIFS($J$2:$J$1001,$B$2:$B$1001,B911,$A$2:$A$1001,"&lt;"&amp;A911,$A$2:$A$1001,"&gt;="&amp;(A911-설정!$B$2))^2)/(M911-1))),2))</f>
        <v/>
      </c>
      <c r="M911" s="18" t="str">
        <f aca="false">IF(J911="","",COUNTIFS($B$2:$B$1001,B911,$A$2:$A$1001,"&lt;"&amp;A911,$A$2:$A$1001,"&gt;="&amp;(A911-설정!$B$2),$J$2:$J$1001,"&gt;=0"))</f>
        <v/>
      </c>
      <c r="N911" s="18" t="str">
        <f aca="false">IF(K911="","",IF(L911=0,"",ROUND((J911-K911)/L911,2)))</f>
        <v/>
      </c>
      <c r="O911" s="19" t="str">
        <f aca="false">IF(J911="","",IF(MIN(F911,G911)&lt;=설정!$B$5,"예",""))</f>
        <v/>
      </c>
      <c r="P911" s="19" t="str">
        <f aca="false">IF(J911="","",IF(M911&lt;설정!$B$3,"baseline 수집 중",IF(N911="","정상",IF(N911&lt;=설정!$B$4,"낮음","정상"))))</f>
        <v/>
      </c>
      <c r="Q911" s="20"/>
      <c r="R911" s="18" t="str">
        <f aca="false">IF(J911="","",J911^2)</f>
        <v/>
      </c>
    </row>
    <row r="912" customFormat="false" ht="15" hidden="false" customHeight="false" outlineLevel="0" collapsed="false">
      <c r="A912" s="16"/>
      <c r="B912" s="17"/>
      <c r="C912" s="17"/>
      <c r="D912" s="17"/>
      <c r="E912" s="17"/>
      <c r="F912" s="17"/>
      <c r="G912" s="17"/>
      <c r="H912" s="17"/>
      <c r="I912" s="17"/>
      <c r="J912" s="18" t="str">
        <f aca="false">IF(COUNT(E912:I912)&lt;5,"",SUM(E912:I912))</f>
        <v/>
      </c>
      <c r="K912" s="18" t="str">
        <f aca="false">IF(J912="","",IF(M912&lt;설정!$B$3,"",ROUND(AVERAGEIFS($J$2:$J$1001,$B$2:$B$1001,B912,$A$2:$A$1001,"&lt;"&amp;A912,$A$2:$A$1001,"&gt;="&amp;(A912-설정!$B$2)),2)))</f>
        <v/>
      </c>
      <c r="L912" s="18" t="str">
        <f aca="false">IF(K912="","",ROUND(SQRT(MAX(0,(SUMIFS($R$2:$R$1001,$B$2:$B$1001,B912,$A$2:$A$1001,"&lt;"&amp;A912,$A$2:$A$1001,"&gt;="&amp;(A912-설정!$B$2))-M912*AVERAGEIFS($J$2:$J$1001,$B$2:$B$1001,B912,$A$2:$A$1001,"&lt;"&amp;A912,$A$2:$A$1001,"&gt;="&amp;(A912-설정!$B$2))^2)/(M912-1))),2))</f>
        <v/>
      </c>
      <c r="M912" s="18" t="str">
        <f aca="false">IF(J912="","",COUNTIFS($B$2:$B$1001,B912,$A$2:$A$1001,"&lt;"&amp;A912,$A$2:$A$1001,"&gt;="&amp;(A912-설정!$B$2),$J$2:$J$1001,"&gt;=0"))</f>
        <v/>
      </c>
      <c r="N912" s="18" t="str">
        <f aca="false">IF(K912="","",IF(L912=0,"",ROUND((J912-K912)/L912,2)))</f>
        <v/>
      </c>
      <c r="O912" s="19" t="str">
        <f aca="false">IF(J912="","",IF(MIN(F912,G912)&lt;=설정!$B$5,"예",""))</f>
        <v/>
      </c>
      <c r="P912" s="19" t="str">
        <f aca="false">IF(J912="","",IF(M912&lt;설정!$B$3,"baseline 수집 중",IF(N912="","정상",IF(N912&lt;=설정!$B$4,"낮음","정상"))))</f>
        <v/>
      </c>
      <c r="Q912" s="20"/>
      <c r="R912" s="18" t="str">
        <f aca="false">IF(J912="","",J912^2)</f>
        <v/>
      </c>
    </row>
    <row r="913" customFormat="false" ht="15" hidden="false" customHeight="false" outlineLevel="0" collapsed="false">
      <c r="A913" s="16"/>
      <c r="B913" s="17"/>
      <c r="C913" s="17"/>
      <c r="D913" s="17"/>
      <c r="E913" s="17"/>
      <c r="F913" s="17"/>
      <c r="G913" s="17"/>
      <c r="H913" s="17"/>
      <c r="I913" s="17"/>
      <c r="J913" s="18" t="str">
        <f aca="false">IF(COUNT(E913:I913)&lt;5,"",SUM(E913:I913))</f>
        <v/>
      </c>
      <c r="K913" s="18" t="str">
        <f aca="false">IF(J913="","",IF(M913&lt;설정!$B$3,"",ROUND(AVERAGEIFS($J$2:$J$1001,$B$2:$B$1001,B913,$A$2:$A$1001,"&lt;"&amp;A913,$A$2:$A$1001,"&gt;="&amp;(A913-설정!$B$2)),2)))</f>
        <v/>
      </c>
      <c r="L913" s="18" t="str">
        <f aca="false">IF(K913="","",ROUND(SQRT(MAX(0,(SUMIFS($R$2:$R$1001,$B$2:$B$1001,B913,$A$2:$A$1001,"&lt;"&amp;A913,$A$2:$A$1001,"&gt;="&amp;(A913-설정!$B$2))-M913*AVERAGEIFS($J$2:$J$1001,$B$2:$B$1001,B913,$A$2:$A$1001,"&lt;"&amp;A913,$A$2:$A$1001,"&gt;="&amp;(A913-설정!$B$2))^2)/(M913-1))),2))</f>
        <v/>
      </c>
      <c r="M913" s="18" t="str">
        <f aca="false">IF(J913="","",COUNTIFS($B$2:$B$1001,B913,$A$2:$A$1001,"&lt;"&amp;A913,$A$2:$A$1001,"&gt;="&amp;(A913-설정!$B$2),$J$2:$J$1001,"&gt;=0"))</f>
        <v/>
      </c>
      <c r="N913" s="18" t="str">
        <f aca="false">IF(K913="","",IF(L913=0,"",ROUND((J913-K913)/L913,2)))</f>
        <v/>
      </c>
      <c r="O913" s="19" t="str">
        <f aca="false">IF(J913="","",IF(MIN(F913,G913)&lt;=설정!$B$5,"예",""))</f>
        <v/>
      </c>
      <c r="P913" s="19" t="str">
        <f aca="false">IF(J913="","",IF(M913&lt;설정!$B$3,"baseline 수집 중",IF(N913="","정상",IF(N913&lt;=설정!$B$4,"낮음","정상"))))</f>
        <v/>
      </c>
      <c r="Q913" s="20"/>
      <c r="R913" s="18" t="str">
        <f aca="false">IF(J913="","",J913^2)</f>
        <v/>
      </c>
    </row>
    <row r="914" customFormat="false" ht="15" hidden="false" customHeight="false" outlineLevel="0" collapsed="false">
      <c r="A914" s="16"/>
      <c r="B914" s="17"/>
      <c r="C914" s="17"/>
      <c r="D914" s="17"/>
      <c r="E914" s="17"/>
      <c r="F914" s="17"/>
      <c r="G914" s="17"/>
      <c r="H914" s="17"/>
      <c r="I914" s="17"/>
      <c r="J914" s="18" t="str">
        <f aca="false">IF(COUNT(E914:I914)&lt;5,"",SUM(E914:I914))</f>
        <v/>
      </c>
      <c r="K914" s="18" t="str">
        <f aca="false">IF(J914="","",IF(M914&lt;설정!$B$3,"",ROUND(AVERAGEIFS($J$2:$J$1001,$B$2:$B$1001,B914,$A$2:$A$1001,"&lt;"&amp;A914,$A$2:$A$1001,"&gt;="&amp;(A914-설정!$B$2)),2)))</f>
        <v/>
      </c>
      <c r="L914" s="18" t="str">
        <f aca="false">IF(K914="","",ROUND(SQRT(MAX(0,(SUMIFS($R$2:$R$1001,$B$2:$B$1001,B914,$A$2:$A$1001,"&lt;"&amp;A914,$A$2:$A$1001,"&gt;="&amp;(A914-설정!$B$2))-M914*AVERAGEIFS($J$2:$J$1001,$B$2:$B$1001,B914,$A$2:$A$1001,"&lt;"&amp;A914,$A$2:$A$1001,"&gt;="&amp;(A914-설정!$B$2))^2)/(M914-1))),2))</f>
        <v/>
      </c>
      <c r="M914" s="18" t="str">
        <f aca="false">IF(J914="","",COUNTIFS($B$2:$B$1001,B914,$A$2:$A$1001,"&lt;"&amp;A914,$A$2:$A$1001,"&gt;="&amp;(A914-설정!$B$2),$J$2:$J$1001,"&gt;=0"))</f>
        <v/>
      </c>
      <c r="N914" s="18" t="str">
        <f aca="false">IF(K914="","",IF(L914=0,"",ROUND((J914-K914)/L914,2)))</f>
        <v/>
      </c>
      <c r="O914" s="19" t="str">
        <f aca="false">IF(J914="","",IF(MIN(F914,G914)&lt;=설정!$B$5,"예",""))</f>
        <v/>
      </c>
      <c r="P914" s="19" t="str">
        <f aca="false">IF(J914="","",IF(M914&lt;설정!$B$3,"baseline 수집 중",IF(N914="","정상",IF(N914&lt;=설정!$B$4,"낮음","정상"))))</f>
        <v/>
      </c>
      <c r="Q914" s="20"/>
      <c r="R914" s="18" t="str">
        <f aca="false">IF(J914="","",J914^2)</f>
        <v/>
      </c>
    </row>
    <row r="915" customFormat="false" ht="15" hidden="false" customHeight="false" outlineLevel="0" collapsed="false">
      <c r="A915" s="16"/>
      <c r="B915" s="17"/>
      <c r="C915" s="17"/>
      <c r="D915" s="17"/>
      <c r="E915" s="17"/>
      <c r="F915" s="17"/>
      <c r="G915" s="17"/>
      <c r="H915" s="17"/>
      <c r="I915" s="17"/>
      <c r="J915" s="18" t="str">
        <f aca="false">IF(COUNT(E915:I915)&lt;5,"",SUM(E915:I915))</f>
        <v/>
      </c>
      <c r="K915" s="18" t="str">
        <f aca="false">IF(J915="","",IF(M915&lt;설정!$B$3,"",ROUND(AVERAGEIFS($J$2:$J$1001,$B$2:$B$1001,B915,$A$2:$A$1001,"&lt;"&amp;A915,$A$2:$A$1001,"&gt;="&amp;(A915-설정!$B$2)),2)))</f>
        <v/>
      </c>
      <c r="L915" s="18" t="str">
        <f aca="false">IF(K915="","",ROUND(SQRT(MAX(0,(SUMIFS($R$2:$R$1001,$B$2:$B$1001,B915,$A$2:$A$1001,"&lt;"&amp;A915,$A$2:$A$1001,"&gt;="&amp;(A915-설정!$B$2))-M915*AVERAGEIFS($J$2:$J$1001,$B$2:$B$1001,B915,$A$2:$A$1001,"&lt;"&amp;A915,$A$2:$A$1001,"&gt;="&amp;(A915-설정!$B$2))^2)/(M915-1))),2))</f>
        <v/>
      </c>
      <c r="M915" s="18" t="str">
        <f aca="false">IF(J915="","",COUNTIFS($B$2:$B$1001,B915,$A$2:$A$1001,"&lt;"&amp;A915,$A$2:$A$1001,"&gt;="&amp;(A915-설정!$B$2),$J$2:$J$1001,"&gt;=0"))</f>
        <v/>
      </c>
      <c r="N915" s="18" t="str">
        <f aca="false">IF(K915="","",IF(L915=0,"",ROUND((J915-K915)/L915,2)))</f>
        <v/>
      </c>
      <c r="O915" s="19" t="str">
        <f aca="false">IF(J915="","",IF(MIN(F915,G915)&lt;=설정!$B$5,"예",""))</f>
        <v/>
      </c>
      <c r="P915" s="19" t="str">
        <f aca="false">IF(J915="","",IF(M915&lt;설정!$B$3,"baseline 수집 중",IF(N915="","정상",IF(N915&lt;=설정!$B$4,"낮음","정상"))))</f>
        <v/>
      </c>
      <c r="Q915" s="20"/>
      <c r="R915" s="18" t="str">
        <f aca="false">IF(J915="","",J915^2)</f>
        <v/>
      </c>
    </row>
    <row r="916" customFormat="false" ht="15" hidden="false" customHeight="false" outlineLevel="0" collapsed="false">
      <c r="A916" s="16"/>
      <c r="B916" s="17"/>
      <c r="C916" s="17"/>
      <c r="D916" s="17"/>
      <c r="E916" s="17"/>
      <c r="F916" s="17"/>
      <c r="G916" s="17"/>
      <c r="H916" s="17"/>
      <c r="I916" s="17"/>
      <c r="J916" s="18" t="str">
        <f aca="false">IF(COUNT(E916:I916)&lt;5,"",SUM(E916:I916))</f>
        <v/>
      </c>
      <c r="K916" s="18" t="str">
        <f aca="false">IF(J916="","",IF(M916&lt;설정!$B$3,"",ROUND(AVERAGEIFS($J$2:$J$1001,$B$2:$B$1001,B916,$A$2:$A$1001,"&lt;"&amp;A916,$A$2:$A$1001,"&gt;="&amp;(A916-설정!$B$2)),2)))</f>
        <v/>
      </c>
      <c r="L916" s="18" t="str">
        <f aca="false">IF(K916="","",ROUND(SQRT(MAX(0,(SUMIFS($R$2:$R$1001,$B$2:$B$1001,B916,$A$2:$A$1001,"&lt;"&amp;A916,$A$2:$A$1001,"&gt;="&amp;(A916-설정!$B$2))-M916*AVERAGEIFS($J$2:$J$1001,$B$2:$B$1001,B916,$A$2:$A$1001,"&lt;"&amp;A916,$A$2:$A$1001,"&gt;="&amp;(A916-설정!$B$2))^2)/(M916-1))),2))</f>
        <v/>
      </c>
      <c r="M916" s="18" t="str">
        <f aca="false">IF(J916="","",COUNTIFS($B$2:$B$1001,B916,$A$2:$A$1001,"&lt;"&amp;A916,$A$2:$A$1001,"&gt;="&amp;(A916-설정!$B$2),$J$2:$J$1001,"&gt;=0"))</f>
        <v/>
      </c>
      <c r="N916" s="18" t="str">
        <f aca="false">IF(K916="","",IF(L916=0,"",ROUND((J916-K916)/L916,2)))</f>
        <v/>
      </c>
      <c r="O916" s="19" t="str">
        <f aca="false">IF(J916="","",IF(MIN(F916,G916)&lt;=설정!$B$5,"예",""))</f>
        <v/>
      </c>
      <c r="P916" s="19" t="str">
        <f aca="false">IF(J916="","",IF(M916&lt;설정!$B$3,"baseline 수집 중",IF(N916="","정상",IF(N916&lt;=설정!$B$4,"낮음","정상"))))</f>
        <v/>
      </c>
      <c r="Q916" s="20"/>
      <c r="R916" s="18" t="str">
        <f aca="false">IF(J916="","",J916^2)</f>
        <v/>
      </c>
    </row>
    <row r="917" customFormat="false" ht="15" hidden="false" customHeight="false" outlineLevel="0" collapsed="false">
      <c r="A917" s="16"/>
      <c r="B917" s="17"/>
      <c r="C917" s="17"/>
      <c r="D917" s="17"/>
      <c r="E917" s="17"/>
      <c r="F917" s="17"/>
      <c r="G917" s="17"/>
      <c r="H917" s="17"/>
      <c r="I917" s="17"/>
      <c r="J917" s="18" t="str">
        <f aca="false">IF(COUNT(E917:I917)&lt;5,"",SUM(E917:I917))</f>
        <v/>
      </c>
      <c r="K917" s="18" t="str">
        <f aca="false">IF(J917="","",IF(M917&lt;설정!$B$3,"",ROUND(AVERAGEIFS($J$2:$J$1001,$B$2:$B$1001,B917,$A$2:$A$1001,"&lt;"&amp;A917,$A$2:$A$1001,"&gt;="&amp;(A917-설정!$B$2)),2)))</f>
        <v/>
      </c>
      <c r="L917" s="18" t="str">
        <f aca="false">IF(K917="","",ROUND(SQRT(MAX(0,(SUMIFS($R$2:$R$1001,$B$2:$B$1001,B917,$A$2:$A$1001,"&lt;"&amp;A917,$A$2:$A$1001,"&gt;="&amp;(A917-설정!$B$2))-M917*AVERAGEIFS($J$2:$J$1001,$B$2:$B$1001,B917,$A$2:$A$1001,"&lt;"&amp;A917,$A$2:$A$1001,"&gt;="&amp;(A917-설정!$B$2))^2)/(M917-1))),2))</f>
        <v/>
      </c>
      <c r="M917" s="18" t="str">
        <f aca="false">IF(J917="","",COUNTIFS($B$2:$B$1001,B917,$A$2:$A$1001,"&lt;"&amp;A917,$A$2:$A$1001,"&gt;="&amp;(A917-설정!$B$2),$J$2:$J$1001,"&gt;=0"))</f>
        <v/>
      </c>
      <c r="N917" s="18" t="str">
        <f aca="false">IF(K917="","",IF(L917=0,"",ROUND((J917-K917)/L917,2)))</f>
        <v/>
      </c>
      <c r="O917" s="19" t="str">
        <f aca="false">IF(J917="","",IF(MIN(F917,G917)&lt;=설정!$B$5,"예",""))</f>
        <v/>
      </c>
      <c r="P917" s="19" t="str">
        <f aca="false">IF(J917="","",IF(M917&lt;설정!$B$3,"baseline 수집 중",IF(N917="","정상",IF(N917&lt;=설정!$B$4,"낮음","정상"))))</f>
        <v/>
      </c>
      <c r="Q917" s="20"/>
      <c r="R917" s="18" t="str">
        <f aca="false">IF(J917="","",J917^2)</f>
        <v/>
      </c>
    </row>
    <row r="918" customFormat="false" ht="15" hidden="false" customHeight="false" outlineLevel="0" collapsed="false">
      <c r="A918" s="16"/>
      <c r="B918" s="17"/>
      <c r="C918" s="17"/>
      <c r="D918" s="17"/>
      <c r="E918" s="17"/>
      <c r="F918" s="17"/>
      <c r="G918" s="17"/>
      <c r="H918" s="17"/>
      <c r="I918" s="17"/>
      <c r="J918" s="18" t="str">
        <f aca="false">IF(COUNT(E918:I918)&lt;5,"",SUM(E918:I918))</f>
        <v/>
      </c>
      <c r="K918" s="18" t="str">
        <f aca="false">IF(J918="","",IF(M918&lt;설정!$B$3,"",ROUND(AVERAGEIFS($J$2:$J$1001,$B$2:$B$1001,B918,$A$2:$A$1001,"&lt;"&amp;A918,$A$2:$A$1001,"&gt;="&amp;(A918-설정!$B$2)),2)))</f>
        <v/>
      </c>
      <c r="L918" s="18" t="str">
        <f aca="false">IF(K918="","",ROUND(SQRT(MAX(0,(SUMIFS($R$2:$R$1001,$B$2:$B$1001,B918,$A$2:$A$1001,"&lt;"&amp;A918,$A$2:$A$1001,"&gt;="&amp;(A918-설정!$B$2))-M918*AVERAGEIFS($J$2:$J$1001,$B$2:$B$1001,B918,$A$2:$A$1001,"&lt;"&amp;A918,$A$2:$A$1001,"&gt;="&amp;(A918-설정!$B$2))^2)/(M918-1))),2))</f>
        <v/>
      </c>
      <c r="M918" s="18" t="str">
        <f aca="false">IF(J918="","",COUNTIFS($B$2:$B$1001,B918,$A$2:$A$1001,"&lt;"&amp;A918,$A$2:$A$1001,"&gt;="&amp;(A918-설정!$B$2),$J$2:$J$1001,"&gt;=0"))</f>
        <v/>
      </c>
      <c r="N918" s="18" t="str">
        <f aca="false">IF(K918="","",IF(L918=0,"",ROUND((J918-K918)/L918,2)))</f>
        <v/>
      </c>
      <c r="O918" s="19" t="str">
        <f aca="false">IF(J918="","",IF(MIN(F918,G918)&lt;=설정!$B$5,"예",""))</f>
        <v/>
      </c>
      <c r="P918" s="19" t="str">
        <f aca="false">IF(J918="","",IF(M918&lt;설정!$B$3,"baseline 수집 중",IF(N918="","정상",IF(N918&lt;=설정!$B$4,"낮음","정상"))))</f>
        <v/>
      </c>
      <c r="Q918" s="20"/>
      <c r="R918" s="18" t="str">
        <f aca="false">IF(J918="","",J918^2)</f>
        <v/>
      </c>
    </row>
    <row r="919" customFormat="false" ht="15" hidden="false" customHeight="false" outlineLevel="0" collapsed="false">
      <c r="A919" s="16"/>
      <c r="B919" s="17"/>
      <c r="C919" s="17"/>
      <c r="D919" s="17"/>
      <c r="E919" s="17"/>
      <c r="F919" s="17"/>
      <c r="G919" s="17"/>
      <c r="H919" s="17"/>
      <c r="I919" s="17"/>
      <c r="J919" s="18" t="str">
        <f aca="false">IF(COUNT(E919:I919)&lt;5,"",SUM(E919:I919))</f>
        <v/>
      </c>
      <c r="K919" s="18" t="str">
        <f aca="false">IF(J919="","",IF(M919&lt;설정!$B$3,"",ROUND(AVERAGEIFS($J$2:$J$1001,$B$2:$B$1001,B919,$A$2:$A$1001,"&lt;"&amp;A919,$A$2:$A$1001,"&gt;="&amp;(A919-설정!$B$2)),2)))</f>
        <v/>
      </c>
      <c r="L919" s="18" t="str">
        <f aca="false">IF(K919="","",ROUND(SQRT(MAX(0,(SUMIFS($R$2:$R$1001,$B$2:$B$1001,B919,$A$2:$A$1001,"&lt;"&amp;A919,$A$2:$A$1001,"&gt;="&amp;(A919-설정!$B$2))-M919*AVERAGEIFS($J$2:$J$1001,$B$2:$B$1001,B919,$A$2:$A$1001,"&lt;"&amp;A919,$A$2:$A$1001,"&gt;="&amp;(A919-설정!$B$2))^2)/(M919-1))),2))</f>
        <v/>
      </c>
      <c r="M919" s="18" t="str">
        <f aca="false">IF(J919="","",COUNTIFS($B$2:$B$1001,B919,$A$2:$A$1001,"&lt;"&amp;A919,$A$2:$A$1001,"&gt;="&amp;(A919-설정!$B$2),$J$2:$J$1001,"&gt;=0"))</f>
        <v/>
      </c>
      <c r="N919" s="18" t="str">
        <f aca="false">IF(K919="","",IF(L919=0,"",ROUND((J919-K919)/L919,2)))</f>
        <v/>
      </c>
      <c r="O919" s="19" t="str">
        <f aca="false">IF(J919="","",IF(MIN(F919,G919)&lt;=설정!$B$5,"예",""))</f>
        <v/>
      </c>
      <c r="P919" s="19" t="str">
        <f aca="false">IF(J919="","",IF(M919&lt;설정!$B$3,"baseline 수집 중",IF(N919="","정상",IF(N919&lt;=설정!$B$4,"낮음","정상"))))</f>
        <v/>
      </c>
      <c r="Q919" s="20"/>
      <c r="R919" s="18" t="str">
        <f aca="false">IF(J919="","",J919^2)</f>
        <v/>
      </c>
    </row>
    <row r="920" customFormat="false" ht="15" hidden="false" customHeight="false" outlineLevel="0" collapsed="false">
      <c r="A920" s="16"/>
      <c r="B920" s="17"/>
      <c r="C920" s="17"/>
      <c r="D920" s="17"/>
      <c r="E920" s="17"/>
      <c r="F920" s="17"/>
      <c r="G920" s="17"/>
      <c r="H920" s="17"/>
      <c r="I920" s="17"/>
      <c r="J920" s="18" t="str">
        <f aca="false">IF(COUNT(E920:I920)&lt;5,"",SUM(E920:I920))</f>
        <v/>
      </c>
      <c r="K920" s="18" t="str">
        <f aca="false">IF(J920="","",IF(M920&lt;설정!$B$3,"",ROUND(AVERAGEIFS($J$2:$J$1001,$B$2:$B$1001,B920,$A$2:$A$1001,"&lt;"&amp;A920,$A$2:$A$1001,"&gt;="&amp;(A920-설정!$B$2)),2)))</f>
        <v/>
      </c>
      <c r="L920" s="18" t="str">
        <f aca="false">IF(K920="","",ROUND(SQRT(MAX(0,(SUMIFS($R$2:$R$1001,$B$2:$B$1001,B920,$A$2:$A$1001,"&lt;"&amp;A920,$A$2:$A$1001,"&gt;="&amp;(A920-설정!$B$2))-M920*AVERAGEIFS($J$2:$J$1001,$B$2:$B$1001,B920,$A$2:$A$1001,"&lt;"&amp;A920,$A$2:$A$1001,"&gt;="&amp;(A920-설정!$B$2))^2)/(M920-1))),2))</f>
        <v/>
      </c>
      <c r="M920" s="18" t="str">
        <f aca="false">IF(J920="","",COUNTIFS($B$2:$B$1001,B920,$A$2:$A$1001,"&lt;"&amp;A920,$A$2:$A$1001,"&gt;="&amp;(A920-설정!$B$2),$J$2:$J$1001,"&gt;=0"))</f>
        <v/>
      </c>
      <c r="N920" s="18" t="str">
        <f aca="false">IF(K920="","",IF(L920=0,"",ROUND((J920-K920)/L920,2)))</f>
        <v/>
      </c>
      <c r="O920" s="19" t="str">
        <f aca="false">IF(J920="","",IF(MIN(F920,G920)&lt;=설정!$B$5,"예",""))</f>
        <v/>
      </c>
      <c r="P920" s="19" t="str">
        <f aca="false">IF(J920="","",IF(M920&lt;설정!$B$3,"baseline 수집 중",IF(N920="","정상",IF(N920&lt;=설정!$B$4,"낮음","정상"))))</f>
        <v/>
      </c>
      <c r="Q920" s="20"/>
      <c r="R920" s="18" t="str">
        <f aca="false">IF(J920="","",J920^2)</f>
        <v/>
      </c>
    </row>
    <row r="921" customFormat="false" ht="15" hidden="false" customHeight="false" outlineLevel="0" collapsed="false">
      <c r="A921" s="16"/>
      <c r="B921" s="17"/>
      <c r="C921" s="17"/>
      <c r="D921" s="17"/>
      <c r="E921" s="17"/>
      <c r="F921" s="17"/>
      <c r="G921" s="17"/>
      <c r="H921" s="17"/>
      <c r="I921" s="17"/>
      <c r="J921" s="18" t="str">
        <f aca="false">IF(COUNT(E921:I921)&lt;5,"",SUM(E921:I921))</f>
        <v/>
      </c>
      <c r="K921" s="18" t="str">
        <f aca="false">IF(J921="","",IF(M921&lt;설정!$B$3,"",ROUND(AVERAGEIFS($J$2:$J$1001,$B$2:$B$1001,B921,$A$2:$A$1001,"&lt;"&amp;A921,$A$2:$A$1001,"&gt;="&amp;(A921-설정!$B$2)),2)))</f>
        <v/>
      </c>
      <c r="L921" s="18" t="str">
        <f aca="false">IF(K921="","",ROUND(SQRT(MAX(0,(SUMIFS($R$2:$R$1001,$B$2:$B$1001,B921,$A$2:$A$1001,"&lt;"&amp;A921,$A$2:$A$1001,"&gt;="&amp;(A921-설정!$B$2))-M921*AVERAGEIFS($J$2:$J$1001,$B$2:$B$1001,B921,$A$2:$A$1001,"&lt;"&amp;A921,$A$2:$A$1001,"&gt;="&amp;(A921-설정!$B$2))^2)/(M921-1))),2))</f>
        <v/>
      </c>
      <c r="M921" s="18" t="str">
        <f aca="false">IF(J921="","",COUNTIFS($B$2:$B$1001,B921,$A$2:$A$1001,"&lt;"&amp;A921,$A$2:$A$1001,"&gt;="&amp;(A921-설정!$B$2),$J$2:$J$1001,"&gt;=0"))</f>
        <v/>
      </c>
      <c r="N921" s="18" t="str">
        <f aca="false">IF(K921="","",IF(L921=0,"",ROUND((J921-K921)/L921,2)))</f>
        <v/>
      </c>
      <c r="O921" s="19" t="str">
        <f aca="false">IF(J921="","",IF(MIN(F921,G921)&lt;=설정!$B$5,"예",""))</f>
        <v/>
      </c>
      <c r="P921" s="19" t="str">
        <f aca="false">IF(J921="","",IF(M921&lt;설정!$B$3,"baseline 수집 중",IF(N921="","정상",IF(N921&lt;=설정!$B$4,"낮음","정상"))))</f>
        <v/>
      </c>
      <c r="Q921" s="20"/>
      <c r="R921" s="18" t="str">
        <f aca="false">IF(J921="","",J921^2)</f>
        <v/>
      </c>
    </row>
    <row r="922" customFormat="false" ht="15" hidden="false" customHeight="false" outlineLevel="0" collapsed="false">
      <c r="A922" s="16"/>
      <c r="B922" s="17"/>
      <c r="C922" s="17"/>
      <c r="D922" s="17"/>
      <c r="E922" s="17"/>
      <c r="F922" s="17"/>
      <c r="G922" s="17"/>
      <c r="H922" s="17"/>
      <c r="I922" s="17"/>
      <c r="J922" s="18" t="str">
        <f aca="false">IF(COUNT(E922:I922)&lt;5,"",SUM(E922:I922))</f>
        <v/>
      </c>
      <c r="K922" s="18" t="str">
        <f aca="false">IF(J922="","",IF(M922&lt;설정!$B$3,"",ROUND(AVERAGEIFS($J$2:$J$1001,$B$2:$B$1001,B922,$A$2:$A$1001,"&lt;"&amp;A922,$A$2:$A$1001,"&gt;="&amp;(A922-설정!$B$2)),2)))</f>
        <v/>
      </c>
      <c r="L922" s="18" t="str">
        <f aca="false">IF(K922="","",ROUND(SQRT(MAX(0,(SUMIFS($R$2:$R$1001,$B$2:$B$1001,B922,$A$2:$A$1001,"&lt;"&amp;A922,$A$2:$A$1001,"&gt;="&amp;(A922-설정!$B$2))-M922*AVERAGEIFS($J$2:$J$1001,$B$2:$B$1001,B922,$A$2:$A$1001,"&lt;"&amp;A922,$A$2:$A$1001,"&gt;="&amp;(A922-설정!$B$2))^2)/(M922-1))),2))</f>
        <v/>
      </c>
      <c r="M922" s="18" t="str">
        <f aca="false">IF(J922="","",COUNTIFS($B$2:$B$1001,B922,$A$2:$A$1001,"&lt;"&amp;A922,$A$2:$A$1001,"&gt;="&amp;(A922-설정!$B$2),$J$2:$J$1001,"&gt;=0"))</f>
        <v/>
      </c>
      <c r="N922" s="18" t="str">
        <f aca="false">IF(K922="","",IF(L922=0,"",ROUND((J922-K922)/L922,2)))</f>
        <v/>
      </c>
      <c r="O922" s="19" t="str">
        <f aca="false">IF(J922="","",IF(MIN(F922,G922)&lt;=설정!$B$5,"예",""))</f>
        <v/>
      </c>
      <c r="P922" s="19" t="str">
        <f aca="false">IF(J922="","",IF(M922&lt;설정!$B$3,"baseline 수집 중",IF(N922="","정상",IF(N922&lt;=설정!$B$4,"낮음","정상"))))</f>
        <v/>
      </c>
      <c r="Q922" s="20"/>
      <c r="R922" s="18" t="str">
        <f aca="false">IF(J922="","",J922^2)</f>
        <v/>
      </c>
    </row>
    <row r="923" customFormat="false" ht="15" hidden="false" customHeight="false" outlineLevel="0" collapsed="false">
      <c r="A923" s="16"/>
      <c r="B923" s="17"/>
      <c r="C923" s="17"/>
      <c r="D923" s="17"/>
      <c r="E923" s="17"/>
      <c r="F923" s="17"/>
      <c r="G923" s="17"/>
      <c r="H923" s="17"/>
      <c r="I923" s="17"/>
      <c r="J923" s="18" t="str">
        <f aca="false">IF(COUNT(E923:I923)&lt;5,"",SUM(E923:I923))</f>
        <v/>
      </c>
      <c r="K923" s="18" t="str">
        <f aca="false">IF(J923="","",IF(M923&lt;설정!$B$3,"",ROUND(AVERAGEIFS($J$2:$J$1001,$B$2:$B$1001,B923,$A$2:$A$1001,"&lt;"&amp;A923,$A$2:$A$1001,"&gt;="&amp;(A923-설정!$B$2)),2)))</f>
        <v/>
      </c>
      <c r="L923" s="18" t="str">
        <f aca="false">IF(K923="","",ROUND(SQRT(MAX(0,(SUMIFS($R$2:$R$1001,$B$2:$B$1001,B923,$A$2:$A$1001,"&lt;"&amp;A923,$A$2:$A$1001,"&gt;="&amp;(A923-설정!$B$2))-M923*AVERAGEIFS($J$2:$J$1001,$B$2:$B$1001,B923,$A$2:$A$1001,"&lt;"&amp;A923,$A$2:$A$1001,"&gt;="&amp;(A923-설정!$B$2))^2)/(M923-1))),2))</f>
        <v/>
      </c>
      <c r="M923" s="18" t="str">
        <f aca="false">IF(J923="","",COUNTIFS($B$2:$B$1001,B923,$A$2:$A$1001,"&lt;"&amp;A923,$A$2:$A$1001,"&gt;="&amp;(A923-설정!$B$2),$J$2:$J$1001,"&gt;=0"))</f>
        <v/>
      </c>
      <c r="N923" s="18" t="str">
        <f aca="false">IF(K923="","",IF(L923=0,"",ROUND((J923-K923)/L923,2)))</f>
        <v/>
      </c>
      <c r="O923" s="19" t="str">
        <f aca="false">IF(J923="","",IF(MIN(F923,G923)&lt;=설정!$B$5,"예",""))</f>
        <v/>
      </c>
      <c r="P923" s="19" t="str">
        <f aca="false">IF(J923="","",IF(M923&lt;설정!$B$3,"baseline 수집 중",IF(N923="","정상",IF(N923&lt;=설정!$B$4,"낮음","정상"))))</f>
        <v/>
      </c>
      <c r="Q923" s="20"/>
      <c r="R923" s="18" t="str">
        <f aca="false">IF(J923="","",J923^2)</f>
        <v/>
      </c>
    </row>
    <row r="924" customFormat="false" ht="15" hidden="false" customHeight="false" outlineLevel="0" collapsed="false">
      <c r="A924" s="16"/>
      <c r="B924" s="17"/>
      <c r="C924" s="17"/>
      <c r="D924" s="17"/>
      <c r="E924" s="17"/>
      <c r="F924" s="17"/>
      <c r="G924" s="17"/>
      <c r="H924" s="17"/>
      <c r="I924" s="17"/>
      <c r="J924" s="18" t="str">
        <f aca="false">IF(COUNT(E924:I924)&lt;5,"",SUM(E924:I924))</f>
        <v/>
      </c>
      <c r="K924" s="18" t="str">
        <f aca="false">IF(J924="","",IF(M924&lt;설정!$B$3,"",ROUND(AVERAGEIFS($J$2:$J$1001,$B$2:$B$1001,B924,$A$2:$A$1001,"&lt;"&amp;A924,$A$2:$A$1001,"&gt;="&amp;(A924-설정!$B$2)),2)))</f>
        <v/>
      </c>
      <c r="L924" s="18" t="str">
        <f aca="false">IF(K924="","",ROUND(SQRT(MAX(0,(SUMIFS($R$2:$R$1001,$B$2:$B$1001,B924,$A$2:$A$1001,"&lt;"&amp;A924,$A$2:$A$1001,"&gt;="&amp;(A924-설정!$B$2))-M924*AVERAGEIFS($J$2:$J$1001,$B$2:$B$1001,B924,$A$2:$A$1001,"&lt;"&amp;A924,$A$2:$A$1001,"&gt;="&amp;(A924-설정!$B$2))^2)/(M924-1))),2))</f>
        <v/>
      </c>
      <c r="M924" s="18" t="str">
        <f aca="false">IF(J924="","",COUNTIFS($B$2:$B$1001,B924,$A$2:$A$1001,"&lt;"&amp;A924,$A$2:$A$1001,"&gt;="&amp;(A924-설정!$B$2),$J$2:$J$1001,"&gt;=0"))</f>
        <v/>
      </c>
      <c r="N924" s="18" t="str">
        <f aca="false">IF(K924="","",IF(L924=0,"",ROUND((J924-K924)/L924,2)))</f>
        <v/>
      </c>
      <c r="O924" s="19" t="str">
        <f aca="false">IF(J924="","",IF(MIN(F924,G924)&lt;=설정!$B$5,"예",""))</f>
        <v/>
      </c>
      <c r="P924" s="19" t="str">
        <f aca="false">IF(J924="","",IF(M924&lt;설정!$B$3,"baseline 수집 중",IF(N924="","정상",IF(N924&lt;=설정!$B$4,"낮음","정상"))))</f>
        <v/>
      </c>
      <c r="Q924" s="20"/>
      <c r="R924" s="18" t="str">
        <f aca="false">IF(J924="","",J924^2)</f>
        <v/>
      </c>
    </row>
    <row r="925" customFormat="false" ht="15" hidden="false" customHeight="false" outlineLevel="0" collapsed="false">
      <c r="A925" s="16"/>
      <c r="B925" s="17"/>
      <c r="C925" s="17"/>
      <c r="D925" s="17"/>
      <c r="E925" s="17"/>
      <c r="F925" s="17"/>
      <c r="G925" s="17"/>
      <c r="H925" s="17"/>
      <c r="I925" s="17"/>
      <c r="J925" s="18" t="str">
        <f aca="false">IF(COUNT(E925:I925)&lt;5,"",SUM(E925:I925))</f>
        <v/>
      </c>
      <c r="K925" s="18" t="str">
        <f aca="false">IF(J925="","",IF(M925&lt;설정!$B$3,"",ROUND(AVERAGEIFS($J$2:$J$1001,$B$2:$B$1001,B925,$A$2:$A$1001,"&lt;"&amp;A925,$A$2:$A$1001,"&gt;="&amp;(A925-설정!$B$2)),2)))</f>
        <v/>
      </c>
      <c r="L925" s="18" t="str">
        <f aca="false">IF(K925="","",ROUND(SQRT(MAX(0,(SUMIFS($R$2:$R$1001,$B$2:$B$1001,B925,$A$2:$A$1001,"&lt;"&amp;A925,$A$2:$A$1001,"&gt;="&amp;(A925-설정!$B$2))-M925*AVERAGEIFS($J$2:$J$1001,$B$2:$B$1001,B925,$A$2:$A$1001,"&lt;"&amp;A925,$A$2:$A$1001,"&gt;="&amp;(A925-설정!$B$2))^2)/(M925-1))),2))</f>
        <v/>
      </c>
      <c r="M925" s="18" t="str">
        <f aca="false">IF(J925="","",COUNTIFS($B$2:$B$1001,B925,$A$2:$A$1001,"&lt;"&amp;A925,$A$2:$A$1001,"&gt;="&amp;(A925-설정!$B$2),$J$2:$J$1001,"&gt;=0"))</f>
        <v/>
      </c>
      <c r="N925" s="18" t="str">
        <f aca="false">IF(K925="","",IF(L925=0,"",ROUND((J925-K925)/L925,2)))</f>
        <v/>
      </c>
      <c r="O925" s="19" t="str">
        <f aca="false">IF(J925="","",IF(MIN(F925,G925)&lt;=설정!$B$5,"예",""))</f>
        <v/>
      </c>
      <c r="P925" s="19" t="str">
        <f aca="false">IF(J925="","",IF(M925&lt;설정!$B$3,"baseline 수집 중",IF(N925="","정상",IF(N925&lt;=설정!$B$4,"낮음","정상"))))</f>
        <v/>
      </c>
      <c r="Q925" s="20"/>
      <c r="R925" s="18" t="str">
        <f aca="false">IF(J925="","",J925^2)</f>
        <v/>
      </c>
    </row>
    <row r="926" customFormat="false" ht="15" hidden="false" customHeight="false" outlineLevel="0" collapsed="false">
      <c r="A926" s="16"/>
      <c r="B926" s="17"/>
      <c r="C926" s="17"/>
      <c r="D926" s="17"/>
      <c r="E926" s="17"/>
      <c r="F926" s="17"/>
      <c r="G926" s="17"/>
      <c r="H926" s="17"/>
      <c r="I926" s="17"/>
      <c r="J926" s="18" t="str">
        <f aca="false">IF(COUNT(E926:I926)&lt;5,"",SUM(E926:I926))</f>
        <v/>
      </c>
      <c r="K926" s="18" t="str">
        <f aca="false">IF(J926="","",IF(M926&lt;설정!$B$3,"",ROUND(AVERAGEIFS($J$2:$J$1001,$B$2:$B$1001,B926,$A$2:$A$1001,"&lt;"&amp;A926,$A$2:$A$1001,"&gt;="&amp;(A926-설정!$B$2)),2)))</f>
        <v/>
      </c>
      <c r="L926" s="18" t="str">
        <f aca="false">IF(K926="","",ROUND(SQRT(MAX(0,(SUMIFS($R$2:$R$1001,$B$2:$B$1001,B926,$A$2:$A$1001,"&lt;"&amp;A926,$A$2:$A$1001,"&gt;="&amp;(A926-설정!$B$2))-M926*AVERAGEIFS($J$2:$J$1001,$B$2:$B$1001,B926,$A$2:$A$1001,"&lt;"&amp;A926,$A$2:$A$1001,"&gt;="&amp;(A926-설정!$B$2))^2)/(M926-1))),2))</f>
        <v/>
      </c>
      <c r="M926" s="18" t="str">
        <f aca="false">IF(J926="","",COUNTIFS($B$2:$B$1001,B926,$A$2:$A$1001,"&lt;"&amp;A926,$A$2:$A$1001,"&gt;="&amp;(A926-설정!$B$2),$J$2:$J$1001,"&gt;=0"))</f>
        <v/>
      </c>
      <c r="N926" s="18" t="str">
        <f aca="false">IF(K926="","",IF(L926=0,"",ROUND((J926-K926)/L926,2)))</f>
        <v/>
      </c>
      <c r="O926" s="19" t="str">
        <f aca="false">IF(J926="","",IF(MIN(F926,G926)&lt;=설정!$B$5,"예",""))</f>
        <v/>
      </c>
      <c r="P926" s="19" t="str">
        <f aca="false">IF(J926="","",IF(M926&lt;설정!$B$3,"baseline 수집 중",IF(N926="","정상",IF(N926&lt;=설정!$B$4,"낮음","정상"))))</f>
        <v/>
      </c>
      <c r="Q926" s="20"/>
      <c r="R926" s="18" t="str">
        <f aca="false">IF(J926="","",J926^2)</f>
        <v/>
      </c>
    </row>
    <row r="927" customFormat="false" ht="15" hidden="false" customHeight="false" outlineLevel="0" collapsed="false">
      <c r="A927" s="16"/>
      <c r="B927" s="17"/>
      <c r="C927" s="17"/>
      <c r="D927" s="17"/>
      <c r="E927" s="17"/>
      <c r="F927" s="17"/>
      <c r="G927" s="17"/>
      <c r="H927" s="17"/>
      <c r="I927" s="17"/>
      <c r="J927" s="18" t="str">
        <f aca="false">IF(COUNT(E927:I927)&lt;5,"",SUM(E927:I927))</f>
        <v/>
      </c>
      <c r="K927" s="18" t="str">
        <f aca="false">IF(J927="","",IF(M927&lt;설정!$B$3,"",ROUND(AVERAGEIFS($J$2:$J$1001,$B$2:$B$1001,B927,$A$2:$A$1001,"&lt;"&amp;A927,$A$2:$A$1001,"&gt;="&amp;(A927-설정!$B$2)),2)))</f>
        <v/>
      </c>
      <c r="L927" s="18" t="str">
        <f aca="false">IF(K927="","",ROUND(SQRT(MAX(0,(SUMIFS($R$2:$R$1001,$B$2:$B$1001,B927,$A$2:$A$1001,"&lt;"&amp;A927,$A$2:$A$1001,"&gt;="&amp;(A927-설정!$B$2))-M927*AVERAGEIFS($J$2:$J$1001,$B$2:$B$1001,B927,$A$2:$A$1001,"&lt;"&amp;A927,$A$2:$A$1001,"&gt;="&amp;(A927-설정!$B$2))^2)/(M927-1))),2))</f>
        <v/>
      </c>
      <c r="M927" s="18" t="str">
        <f aca="false">IF(J927="","",COUNTIFS($B$2:$B$1001,B927,$A$2:$A$1001,"&lt;"&amp;A927,$A$2:$A$1001,"&gt;="&amp;(A927-설정!$B$2),$J$2:$J$1001,"&gt;=0"))</f>
        <v/>
      </c>
      <c r="N927" s="18" t="str">
        <f aca="false">IF(K927="","",IF(L927=0,"",ROUND((J927-K927)/L927,2)))</f>
        <v/>
      </c>
      <c r="O927" s="19" t="str">
        <f aca="false">IF(J927="","",IF(MIN(F927,G927)&lt;=설정!$B$5,"예",""))</f>
        <v/>
      </c>
      <c r="P927" s="19" t="str">
        <f aca="false">IF(J927="","",IF(M927&lt;설정!$B$3,"baseline 수집 중",IF(N927="","정상",IF(N927&lt;=설정!$B$4,"낮음","정상"))))</f>
        <v/>
      </c>
      <c r="Q927" s="20"/>
      <c r="R927" s="18" t="str">
        <f aca="false">IF(J927="","",J927^2)</f>
        <v/>
      </c>
    </row>
    <row r="928" customFormat="false" ht="15" hidden="false" customHeight="false" outlineLevel="0" collapsed="false">
      <c r="A928" s="16"/>
      <c r="B928" s="17"/>
      <c r="C928" s="17"/>
      <c r="D928" s="17"/>
      <c r="E928" s="17"/>
      <c r="F928" s="17"/>
      <c r="G928" s="17"/>
      <c r="H928" s="17"/>
      <c r="I928" s="17"/>
      <c r="J928" s="18" t="str">
        <f aca="false">IF(COUNT(E928:I928)&lt;5,"",SUM(E928:I928))</f>
        <v/>
      </c>
      <c r="K928" s="18" t="str">
        <f aca="false">IF(J928="","",IF(M928&lt;설정!$B$3,"",ROUND(AVERAGEIFS($J$2:$J$1001,$B$2:$B$1001,B928,$A$2:$A$1001,"&lt;"&amp;A928,$A$2:$A$1001,"&gt;="&amp;(A928-설정!$B$2)),2)))</f>
        <v/>
      </c>
      <c r="L928" s="18" t="str">
        <f aca="false">IF(K928="","",ROUND(SQRT(MAX(0,(SUMIFS($R$2:$R$1001,$B$2:$B$1001,B928,$A$2:$A$1001,"&lt;"&amp;A928,$A$2:$A$1001,"&gt;="&amp;(A928-설정!$B$2))-M928*AVERAGEIFS($J$2:$J$1001,$B$2:$B$1001,B928,$A$2:$A$1001,"&lt;"&amp;A928,$A$2:$A$1001,"&gt;="&amp;(A928-설정!$B$2))^2)/(M928-1))),2))</f>
        <v/>
      </c>
      <c r="M928" s="18" t="str">
        <f aca="false">IF(J928="","",COUNTIFS($B$2:$B$1001,B928,$A$2:$A$1001,"&lt;"&amp;A928,$A$2:$A$1001,"&gt;="&amp;(A928-설정!$B$2),$J$2:$J$1001,"&gt;=0"))</f>
        <v/>
      </c>
      <c r="N928" s="18" t="str">
        <f aca="false">IF(K928="","",IF(L928=0,"",ROUND((J928-K928)/L928,2)))</f>
        <v/>
      </c>
      <c r="O928" s="19" t="str">
        <f aca="false">IF(J928="","",IF(MIN(F928,G928)&lt;=설정!$B$5,"예",""))</f>
        <v/>
      </c>
      <c r="P928" s="19" t="str">
        <f aca="false">IF(J928="","",IF(M928&lt;설정!$B$3,"baseline 수집 중",IF(N928="","정상",IF(N928&lt;=설정!$B$4,"낮음","정상"))))</f>
        <v/>
      </c>
      <c r="Q928" s="20"/>
      <c r="R928" s="18" t="str">
        <f aca="false">IF(J928="","",J928^2)</f>
        <v/>
      </c>
    </row>
    <row r="929" customFormat="false" ht="15" hidden="false" customHeight="false" outlineLevel="0" collapsed="false">
      <c r="A929" s="16"/>
      <c r="B929" s="17"/>
      <c r="C929" s="17"/>
      <c r="D929" s="17"/>
      <c r="E929" s="17"/>
      <c r="F929" s="17"/>
      <c r="G929" s="17"/>
      <c r="H929" s="17"/>
      <c r="I929" s="17"/>
      <c r="J929" s="18" t="str">
        <f aca="false">IF(COUNT(E929:I929)&lt;5,"",SUM(E929:I929))</f>
        <v/>
      </c>
      <c r="K929" s="18" t="str">
        <f aca="false">IF(J929="","",IF(M929&lt;설정!$B$3,"",ROUND(AVERAGEIFS($J$2:$J$1001,$B$2:$B$1001,B929,$A$2:$A$1001,"&lt;"&amp;A929,$A$2:$A$1001,"&gt;="&amp;(A929-설정!$B$2)),2)))</f>
        <v/>
      </c>
      <c r="L929" s="18" t="str">
        <f aca="false">IF(K929="","",ROUND(SQRT(MAX(0,(SUMIFS($R$2:$R$1001,$B$2:$B$1001,B929,$A$2:$A$1001,"&lt;"&amp;A929,$A$2:$A$1001,"&gt;="&amp;(A929-설정!$B$2))-M929*AVERAGEIFS($J$2:$J$1001,$B$2:$B$1001,B929,$A$2:$A$1001,"&lt;"&amp;A929,$A$2:$A$1001,"&gt;="&amp;(A929-설정!$B$2))^2)/(M929-1))),2))</f>
        <v/>
      </c>
      <c r="M929" s="18" t="str">
        <f aca="false">IF(J929="","",COUNTIFS($B$2:$B$1001,B929,$A$2:$A$1001,"&lt;"&amp;A929,$A$2:$A$1001,"&gt;="&amp;(A929-설정!$B$2),$J$2:$J$1001,"&gt;=0"))</f>
        <v/>
      </c>
      <c r="N929" s="18" t="str">
        <f aca="false">IF(K929="","",IF(L929=0,"",ROUND((J929-K929)/L929,2)))</f>
        <v/>
      </c>
      <c r="O929" s="19" t="str">
        <f aca="false">IF(J929="","",IF(MIN(F929,G929)&lt;=설정!$B$5,"예",""))</f>
        <v/>
      </c>
      <c r="P929" s="19" t="str">
        <f aca="false">IF(J929="","",IF(M929&lt;설정!$B$3,"baseline 수집 중",IF(N929="","정상",IF(N929&lt;=설정!$B$4,"낮음","정상"))))</f>
        <v/>
      </c>
      <c r="Q929" s="20"/>
      <c r="R929" s="18" t="str">
        <f aca="false">IF(J929="","",J929^2)</f>
        <v/>
      </c>
    </row>
    <row r="930" customFormat="false" ht="15" hidden="false" customHeight="false" outlineLevel="0" collapsed="false">
      <c r="A930" s="16"/>
      <c r="B930" s="17"/>
      <c r="C930" s="17"/>
      <c r="D930" s="17"/>
      <c r="E930" s="17"/>
      <c r="F930" s="17"/>
      <c r="G930" s="17"/>
      <c r="H930" s="17"/>
      <c r="I930" s="17"/>
      <c r="J930" s="18" t="str">
        <f aca="false">IF(COUNT(E930:I930)&lt;5,"",SUM(E930:I930))</f>
        <v/>
      </c>
      <c r="K930" s="18" t="str">
        <f aca="false">IF(J930="","",IF(M930&lt;설정!$B$3,"",ROUND(AVERAGEIFS($J$2:$J$1001,$B$2:$B$1001,B930,$A$2:$A$1001,"&lt;"&amp;A930,$A$2:$A$1001,"&gt;="&amp;(A930-설정!$B$2)),2)))</f>
        <v/>
      </c>
      <c r="L930" s="18" t="str">
        <f aca="false">IF(K930="","",ROUND(SQRT(MAX(0,(SUMIFS($R$2:$R$1001,$B$2:$B$1001,B930,$A$2:$A$1001,"&lt;"&amp;A930,$A$2:$A$1001,"&gt;="&amp;(A930-설정!$B$2))-M930*AVERAGEIFS($J$2:$J$1001,$B$2:$B$1001,B930,$A$2:$A$1001,"&lt;"&amp;A930,$A$2:$A$1001,"&gt;="&amp;(A930-설정!$B$2))^2)/(M930-1))),2))</f>
        <v/>
      </c>
      <c r="M930" s="18" t="str">
        <f aca="false">IF(J930="","",COUNTIFS($B$2:$B$1001,B930,$A$2:$A$1001,"&lt;"&amp;A930,$A$2:$A$1001,"&gt;="&amp;(A930-설정!$B$2),$J$2:$J$1001,"&gt;=0"))</f>
        <v/>
      </c>
      <c r="N930" s="18" t="str">
        <f aca="false">IF(K930="","",IF(L930=0,"",ROUND((J930-K930)/L930,2)))</f>
        <v/>
      </c>
      <c r="O930" s="19" t="str">
        <f aca="false">IF(J930="","",IF(MIN(F930,G930)&lt;=설정!$B$5,"예",""))</f>
        <v/>
      </c>
      <c r="P930" s="19" t="str">
        <f aca="false">IF(J930="","",IF(M930&lt;설정!$B$3,"baseline 수집 중",IF(N930="","정상",IF(N930&lt;=설정!$B$4,"낮음","정상"))))</f>
        <v/>
      </c>
      <c r="Q930" s="20"/>
      <c r="R930" s="18" t="str">
        <f aca="false">IF(J930="","",J930^2)</f>
        <v/>
      </c>
    </row>
    <row r="931" customFormat="false" ht="15" hidden="false" customHeight="false" outlineLevel="0" collapsed="false">
      <c r="A931" s="16"/>
      <c r="B931" s="17"/>
      <c r="C931" s="17"/>
      <c r="D931" s="17"/>
      <c r="E931" s="17"/>
      <c r="F931" s="17"/>
      <c r="G931" s="17"/>
      <c r="H931" s="17"/>
      <c r="I931" s="17"/>
      <c r="J931" s="18" t="str">
        <f aca="false">IF(COUNT(E931:I931)&lt;5,"",SUM(E931:I931))</f>
        <v/>
      </c>
      <c r="K931" s="18" t="str">
        <f aca="false">IF(J931="","",IF(M931&lt;설정!$B$3,"",ROUND(AVERAGEIFS($J$2:$J$1001,$B$2:$B$1001,B931,$A$2:$A$1001,"&lt;"&amp;A931,$A$2:$A$1001,"&gt;="&amp;(A931-설정!$B$2)),2)))</f>
        <v/>
      </c>
      <c r="L931" s="18" t="str">
        <f aca="false">IF(K931="","",ROUND(SQRT(MAX(0,(SUMIFS($R$2:$R$1001,$B$2:$B$1001,B931,$A$2:$A$1001,"&lt;"&amp;A931,$A$2:$A$1001,"&gt;="&amp;(A931-설정!$B$2))-M931*AVERAGEIFS($J$2:$J$1001,$B$2:$B$1001,B931,$A$2:$A$1001,"&lt;"&amp;A931,$A$2:$A$1001,"&gt;="&amp;(A931-설정!$B$2))^2)/(M931-1))),2))</f>
        <v/>
      </c>
      <c r="M931" s="18" t="str">
        <f aca="false">IF(J931="","",COUNTIFS($B$2:$B$1001,B931,$A$2:$A$1001,"&lt;"&amp;A931,$A$2:$A$1001,"&gt;="&amp;(A931-설정!$B$2),$J$2:$J$1001,"&gt;=0"))</f>
        <v/>
      </c>
      <c r="N931" s="18" t="str">
        <f aca="false">IF(K931="","",IF(L931=0,"",ROUND((J931-K931)/L931,2)))</f>
        <v/>
      </c>
      <c r="O931" s="19" t="str">
        <f aca="false">IF(J931="","",IF(MIN(F931,G931)&lt;=설정!$B$5,"예",""))</f>
        <v/>
      </c>
      <c r="P931" s="19" t="str">
        <f aca="false">IF(J931="","",IF(M931&lt;설정!$B$3,"baseline 수집 중",IF(N931="","정상",IF(N931&lt;=설정!$B$4,"낮음","정상"))))</f>
        <v/>
      </c>
      <c r="Q931" s="20"/>
      <c r="R931" s="18" t="str">
        <f aca="false">IF(J931="","",J931^2)</f>
        <v/>
      </c>
    </row>
    <row r="932" customFormat="false" ht="15" hidden="false" customHeight="false" outlineLevel="0" collapsed="false">
      <c r="A932" s="16"/>
      <c r="B932" s="17"/>
      <c r="C932" s="17"/>
      <c r="D932" s="17"/>
      <c r="E932" s="17"/>
      <c r="F932" s="17"/>
      <c r="G932" s="17"/>
      <c r="H932" s="17"/>
      <c r="I932" s="17"/>
      <c r="J932" s="18" t="str">
        <f aca="false">IF(COUNT(E932:I932)&lt;5,"",SUM(E932:I932))</f>
        <v/>
      </c>
      <c r="K932" s="18" t="str">
        <f aca="false">IF(J932="","",IF(M932&lt;설정!$B$3,"",ROUND(AVERAGEIFS($J$2:$J$1001,$B$2:$B$1001,B932,$A$2:$A$1001,"&lt;"&amp;A932,$A$2:$A$1001,"&gt;="&amp;(A932-설정!$B$2)),2)))</f>
        <v/>
      </c>
      <c r="L932" s="18" t="str">
        <f aca="false">IF(K932="","",ROUND(SQRT(MAX(0,(SUMIFS($R$2:$R$1001,$B$2:$B$1001,B932,$A$2:$A$1001,"&lt;"&amp;A932,$A$2:$A$1001,"&gt;="&amp;(A932-설정!$B$2))-M932*AVERAGEIFS($J$2:$J$1001,$B$2:$B$1001,B932,$A$2:$A$1001,"&lt;"&amp;A932,$A$2:$A$1001,"&gt;="&amp;(A932-설정!$B$2))^2)/(M932-1))),2))</f>
        <v/>
      </c>
      <c r="M932" s="18" t="str">
        <f aca="false">IF(J932="","",COUNTIFS($B$2:$B$1001,B932,$A$2:$A$1001,"&lt;"&amp;A932,$A$2:$A$1001,"&gt;="&amp;(A932-설정!$B$2),$J$2:$J$1001,"&gt;=0"))</f>
        <v/>
      </c>
      <c r="N932" s="18" t="str">
        <f aca="false">IF(K932="","",IF(L932=0,"",ROUND((J932-K932)/L932,2)))</f>
        <v/>
      </c>
      <c r="O932" s="19" t="str">
        <f aca="false">IF(J932="","",IF(MIN(F932,G932)&lt;=설정!$B$5,"예",""))</f>
        <v/>
      </c>
      <c r="P932" s="19" t="str">
        <f aca="false">IF(J932="","",IF(M932&lt;설정!$B$3,"baseline 수집 중",IF(N932="","정상",IF(N932&lt;=설정!$B$4,"낮음","정상"))))</f>
        <v/>
      </c>
      <c r="Q932" s="20"/>
      <c r="R932" s="18" t="str">
        <f aca="false">IF(J932="","",J932^2)</f>
        <v/>
      </c>
    </row>
    <row r="933" customFormat="false" ht="15" hidden="false" customHeight="false" outlineLevel="0" collapsed="false">
      <c r="A933" s="16"/>
      <c r="B933" s="17"/>
      <c r="C933" s="17"/>
      <c r="D933" s="17"/>
      <c r="E933" s="17"/>
      <c r="F933" s="17"/>
      <c r="G933" s="17"/>
      <c r="H933" s="17"/>
      <c r="I933" s="17"/>
      <c r="J933" s="18" t="str">
        <f aca="false">IF(COUNT(E933:I933)&lt;5,"",SUM(E933:I933))</f>
        <v/>
      </c>
      <c r="K933" s="18" t="str">
        <f aca="false">IF(J933="","",IF(M933&lt;설정!$B$3,"",ROUND(AVERAGEIFS($J$2:$J$1001,$B$2:$B$1001,B933,$A$2:$A$1001,"&lt;"&amp;A933,$A$2:$A$1001,"&gt;="&amp;(A933-설정!$B$2)),2)))</f>
        <v/>
      </c>
      <c r="L933" s="18" t="str">
        <f aca="false">IF(K933="","",ROUND(SQRT(MAX(0,(SUMIFS($R$2:$R$1001,$B$2:$B$1001,B933,$A$2:$A$1001,"&lt;"&amp;A933,$A$2:$A$1001,"&gt;="&amp;(A933-설정!$B$2))-M933*AVERAGEIFS($J$2:$J$1001,$B$2:$B$1001,B933,$A$2:$A$1001,"&lt;"&amp;A933,$A$2:$A$1001,"&gt;="&amp;(A933-설정!$B$2))^2)/(M933-1))),2))</f>
        <v/>
      </c>
      <c r="M933" s="18" t="str">
        <f aca="false">IF(J933="","",COUNTIFS($B$2:$B$1001,B933,$A$2:$A$1001,"&lt;"&amp;A933,$A$2:$A$1001,"&gt;="&amp;(A933-설정!$B$2),$J$2:$J$1001,"&gt;=0"))</f>
        <v/>
      </c>
      <c r="N933" s="18" t="str">
        <f aca="false">IF(K933="","",IF(L933=0,"",ROUND((J933-K933)/L933,2)))</f>
        <v/>
      </c>
      <c r="O933" s="19" t="str">
        <f aca="false">IF(J933="","",IF(MIN(F933,G933)&lt;=설정!$B$5,"예",""))</f>
        <v/>
      </c>
      <c r="P933" s="19" t="str">
        <f aca="false">IF(J933="","",IF(M933&lt;설정!$B$3,"baseline 수집 중",IF(N933="","정상",IF(N933&lt;=설정!$B$4,"낮음","정상"))))</f>
        <v/>
      </c>
      <c r="Q933" s="20"/>
      <c r="R933" s="18" t="str">
        <f aca="false">IF(J933="","",J933^2)</f>
        <v/>
      </c>
    </row>
    <row r="934" customFormat="false" ht="15" hidden="false" customHeight="false" outlineLevel="0" collapsed="false">
      <c r="A934" s="16"/>
      <c r="B934" s="17"/>
      <c r="C934" s="17"/>
      <c r="D934" s="17"/>
      <c r="E934" s="17"/>
      <c r="F934" s="17"/>
      <c r="G934" s="17"/>
      <c r="H934" s="17"/>
      <c r="I934" s="17"/>
      <c r="J934" s="18" t="str">
        <f aca="false">IF(COUNT(E934:I934)&lt;5,"",SUM(E934:I934))</f>
        <v/>
      </c>
      <c r="K934" s="18" t="str">
        <f aca="false">IF(J934="","",IF(M934&lt;설정!$B$3,"",ROUND(AVERAGEIFS($J$2:$J$1001,$B$2:$B$1001,B934,$A$2:$A$1001,"&lt;"&amp;A934,$A$2:$A$1001,"&gt;="&amp;(A934-설정!$B$2)),2)))</f>
        <v/>
      </c>
      <c r="L934" s="18" t="str">
        <f aca="false">IF(K934="","",ROUND(SQRT(MAX(0,(SUMIFS($R$2:$R$1001,$B$2:$B$1001,B934,$A$2:$A$1001,"&lt;"&amp;A934,$A$2:$A$1001,"&gt;="&amp;(A934-설정!$B$2))-M934*AVERAGEIFS($J$2:$J$1001,$B$2:$B$1001,B934,$A$2:$A$1001,"&lt;"&amp;A934,$A$2:$A$1001,"&gt;="&amp;(A934-설정!$B$2))^2)/(M934-1))),2))</f>
        <v/>
      </c>
      <c r="M934" s="18" t="str">
        <f aca="false">IF(J934="","",COUNTIFS($B$2:$B$1001,B934,$A$2:$A$1001,"&lt;"&amp;A934,$A$2:$A$1001,"&gt;="&amp;(A934-설정!$B$2),$J$2:$J$1001,"&gt;=0"))</f>
        <v/>
      </c>
      <c r="N934" s="18" t="str">
        <f aca="false">IF(K934="","",IF(L934=0,"",ROUND((J934-K934)/L934,2)))</f>
        <v/>
      </c>
      <c r="O934" s="19" t="str">
        <f aca="false">IF(J934="","",IF(MIN(F934,G934)&lt;=설정!$B$5,"예",""))</f>
        <v/>
      </c>
      <c r="P934" s="19" t="str">
        <f aca="false">IF(J934="","",IF(M934&lt;설정!$B$3,"baseline 수집 중",IF(N934="","정상",IF(N934&lt;=설정!$B$4,"낮음","정상"))))</f>
        <v/>
      </c>
      <c r="Q934" s="20"/>
      <c r="R934" s="18" t="str">
        <f aca="false">IF(J934="","",J934^2)</f>
        <v/>
      </c>
    </row>
    <row r="935" customFormat="false" ht="15" hidden="false" customHeight="false" outlineLevel="0" collapsed="false">
      <c r="A935" s="16"/>
      <c r="B935" s="17"/>
      <c r="C935" s="17"/>
      <c r="D935" s="17"/>
      <c r="E935" s="17"/>
      <c r="F935" s="17"/>
      <c r="G935" s="17"/>
      <c r="H935" s="17"/>
      <c r="I935" s="17"/>
      <c r="J935" s="18" t="str">
        <f aca="false">IF(COUNT(E935:I935)&lt;5,"",SUM(E935:I935))</f>
        <v/>
      </c>
      <c r="K935" s="18" t="str">
        <f aca="false">IF(J935="","",IF(M935&lt;설정!$B$3,"",ROUND(AVERAGEIFS($J$2:$J$1001,$B$2:$B$1001,B935,$A$2:$A$1001,"&lt;"&amp;A935,$A$2:$A$1001,"&gt;="&amp;(A935-설정!$B$2)),2)))</f>
        <v/>
      </c>
      <c r="L935" s="18" t="str">
        <f aca="false">IF(K935="","",ROUND(SQRT(MAX(0,(SUMIFS($R$2:$R$1001,$B$2:$B$1001,B935,$A$2:$A$1001,"&lt;"&amp;A935,$A$2:$A$1001,"&gt;="&amp;(A935-설정!$B$2))-M935*AVERAGEIFS($J$2:$J$1001,$B$2:$B$1001,B935,$A$2:$A$1001,"&lt;"&amp;A935,$A$2:$A$1001,"&gt;="&amp;(A935-설정!$B$2))^2)/(M935-1))),2))</f>
        <v/>
      </c>
      <c r="M935" s="18" t="str">
        <f aca="false">IF(J935="","",COUNTIFS($B$2:$B$1001,B935,$A$2:$A$1001,"&lt;"&amp;A935,$A$2:$A$1001,"&gt;="&amp;(A935-설정!$B$2),$J$2:$J$1001,"&gt;=0"))</f>
        <v/>
      </c>
      <c r="N935" s="18" t="str">
        <f aca="false">IF(K935="","",IF(L935=0,"",ROUND((J935-K935)/L935,2)))</f>
        <v/>
      </c>
      <c r="O935" s="19" t="str">
        <f aca="false">IF(J935="","",IF(MIN(F935,G935)&lt;=설정!$B$5,"예",""))</f>
        <v/>
      </c>
      <c r="P935" s="19" t="str">
        <f aca="false">IF(J935="","",IF(M935&lt;설정!$B$3,"baseline 수집 중",IF(N935="","정상",IF(N935&lt;=설정!$B$4,"낮음","정상"))))</f>
        <v/>
      </c>
      <c r="Q935" s="20"/>
      <c r="R935" s="18" t="str">
        <f aca="false">IF(J935="","",J935^2)</f>
        <v/>
      </c>
    </row>
    <row r="936" customFormat="false" ht="15" hidden="false" customHeight="false" outlineLevel="0" collapsed="false">
      <c r="A936" s="16"/>
      <c r="B936" s="17"/>
      <c r="C936" s="17"/>
      <c r="D936" s="17"/>
      <c r="E936" s="17"/>
      <c r="F936" s="17"/>
      <c r="G936" s="17"/>
      <c r="H936" s="17"/>
      <c r="I936" s="17"/>
      <c r="J936" s="18" t="str">
        <f aca="false">IF(COUNT(E936:I936)&lt;5,"",SUM(E936:I936))</f>
        <v/>
      </c>
      <c r="K936" s="18" t="str">
        <f aca="false">IF(J936="","",IF(M936&lt;설정!$B$3,"",ROUND(AVERAGEIFS($J$2:$J$1001,$B$2:$B$1001,B936,$A$2:$A$1001,"&lt;"&amp;A936,$A$2:$A$1001,"&gt;="&amp;(A936-설정!$B$2)),2)))</f>
        <v/>
      </c>
      <c r="L936" s="18" t="str">
        <f aca="false">IF(K936="","",ROUND(SQRT(MAX(0,(SUMIFS($R$2:$R$1001,$B$2:$B$1001,B936,$A$2:$A$1001,"&lt;"&amp;A936,$A$2:$A$1001,"&gt;="&amp;(A936-설정!$B$2))-M936*AVERAGEIFS($J$2:$J$1001,$B$2:$B$1001,B936,$A$2:$A$1001,"&lt;"&amp;A936,$A$2:$A$1001,"&gt;="&amp;(A936-설정!$B$2))^2)/(M936-1))),2))</f>
        <v/>
      </c>
      <c r="M936" s="18" t="str">
        <f aca="false">IF(J936="","",COUNTIFS($B$2:$B$1001,B936,$A$2:$A$1001,"&lt;"&amp;A936,$A$2:$A$1001,"&gt;="&amp;(A936-설정!$B$2),$J$2:$J$1001,"&gt;=0"))</f>
        <v/>
      </c>
      <c r="N936" s="18" t="str">
        <f aca="false">IF(K936="","",IF(L936=0,"",ROUND((J936-K936)/L936,2)))</f>
        <v/>
      </c>
      <c r="O936" s="19" t="str">
        <f aca="false">IF(J936="","",IF(MIN(F936,G936)&lt;=설정!$B$5,"예",""))</f>
        <v/>
      </c>
      <c r="P936" s="19" t="str">
        <f aca="false">IF(J936="","",IF(M936&lt;설정!$B$3,"baseline 수집 중",IF(N936="","정상",IF(N936&lt;=설정!$B$4,"낮음","정상"))))</f>
        <v/>
      </c>
      <c r="Q936" s="20"/>
      <c r="R936" s="18" t="str">
        <f aca="false">IF(J936="","",J936^2)</f>
        <v/>
      </c>
    </row>
    <row r="937" customFormat="false" ht="15" hidden="false" customHeight="false" outlineLevel="0" collapsed="false">
      <c r="A937" s="16"/>
      <c r="B937" s="17"/>
      <c r="C937" s="17"/>
      <c r="D937" s="17"/>
      <c r="E937" s="17"/>
      <c r="F937" s="17"/>
      <c r="G937" s="17"/>
      <c r="H937" s="17"/>
      <c r="I937" s="17"/>
      <c r="J937" s="18" t="str">
        <f aca="false">IF(COUNT(E937:I937)&lt;5,"",SUM(E937:I937))</f>
        <v/>
      </c>
      <c r="K937" s="18" t="str">
        <f aca="false">IF(J937="","",IF(M937&lt;설정!$B$3,"",ROUND(AVERAGEIFS($J$2:$J$1001,$B$2:$B$1001,B937,$A$2:$A$1001,"&lt;"&amp;A937,$A$2:$A$1001,"&gt;="&amp;(A937-설정!$B$2)),2)))</f>
        <v/>
      </c>
      <c r="L937" s="18" t="str">
        <f aca="false">IF(K937="","",ROUND(SQRT(MAX(0,(SUMIFS($R$2:$R$1001,$B$2:$B$1001,B937,$A$2:$A$1001,"&lt;"&amp;A937,$A$2:$A$1001,"&gt;="&amp;(A937-설정!$B$2))-M937*AVERAGEIFS($J$2:$J$1001,$B$2:$B$1001,B937,$A$2:$A$1001,"&lt;"&amp;A937,$A$2:$A$1001,"&gt;="&amp;(A937-설정!$B$2))^2)/(M937-1))),2))</f>
        <v/>
      </c>
      <c r="M937" s="18" t="str">
        <f aca="false">IF(J937="","",COUNTIFS($B$2:$B$1001,B937,$A$2:$A$1001,"&lt;"&amp;A937,$A$2:$A$1001,"&gt;="&amp;(A937-설정!$B$2),$J$2:$J$1001,"&gt;=0"))</f>
        <v/>
      </c>
      <c r="N937" s="18" t="str">
        <f aca="false">IF(K937="","",IF(L937=0,"",ROUND((J937-K937)/L937,2)))</f>
        <v/>
      </c>
      <c r="O937" s="19" t="str">
        <f aca="false">IF(J937="","",IF(MIN(F937,G937)&lt;=설정!$B$5,"예",""))</f>
        <v/>
      </c>
      <c r="P937" s="19" t="str">
        <f aca="false">IF(J937="","",IF(M937&lt;설정!$B$3,"baseline 수집 중",IF(N937="","정상",IF(N937&lt;=설정!$B$4,"낮음","정상"))))</f>
        <v/>
      </c>
      <c r="Q937" s="20"/>
      <c r="R937" s="18" t="str">
        <f aca="false">IF(J937="","",J937^2)</f>
        <v/>
      </c>
    </row>
    <row r="938" customFormat="false" ht="15" hidden="false" customHeight="false" outlineLevel="0" collapsed="false">
      <c r="A938" s="16"/>
      <c r="B938" s="17"/>
      <c r="C938" s="17"/>
      <c r="D938" s="17"/>
      <c r="E938" s="17"/>
      <c r="F938" s="17"/>
      <c r="G938" s="17"/>
      <c r="H938" s="17"/>
      <c r="I938" s="17"/>
      <c r="J938" s="18" t="str">
        <f aca="false">IF(COUNT(E938:I938)&lt;5,"",SUM(E938:I938))</f>
        <v/>
      </c>
      <c r="K938" s="18" t="str">
        <f aca="false">IF(J938="","",IF(M938&lt;설정!$B$3,"",ROUND(AVERAGEIFS($J$2:$J$1001,$B$2:$B$1001,B938,$A$2:$A$1001,"&lt;"&amp;A938,$A$2:$A$1001,"&gt;="&amp;(A938-설정!$B$2)),2)))</f>
        <v/>
      </c>
      <c r="L938" s="18" t="str">
        <f aca="false">IF(K938="","",ROUND(SQRT(MAX(0,(SUMIFS($R$2:$R$1001,$B$2:$B$1001,B938,$A$2:$A$1001,"&lt;"&amp;A938,$A$2:$A$1001,"&gt;="&amp;(A938-설정!$B$2))-M938*AVERAGEIFS($J$2:$J$1001,$B$2:$B$1001,B938,$A$2:$A$1001,"&lt;"&amp;A938,$A$2:$A$1001,"&gt;="&amp;(A938-설정!$B$2))^2)/(M938-1))),2))</f>
        <v/>
      </c>
      <c r="M938" s="18" t="str">
        <f aca="false">IF(J938="","",COUNTIFS($B$2:$B$1001,B938,$A$2:$A$1001,"&lt;"&amp;A938,$A$2:$A$1001,"&gt;="&amp;(A938-설정!$B$2),$J$2:$J$1001,"&gt;=0"))</f>
        <v/>
      </c>
      <c r="N938" s="18" t="str">
        <f aca="false">IF(K938="","",IF(L938=0,"",ROUND((J938-K938)/L938,2)))</f>
        <v/>
      </c>
      <c r="O938" s="19" t="str">
        <f aca="false">IF(J938="","",IF(MIN(F938,G938)&lt;=설정!$B$5,"예",""))</f>
        <v/>
      </c>
      <c r="P938" s="19" t="str">
        <f aca="false">IF(J938="","",IF(M938&lt;설정!$B$3,"baseline 수집 중",IF(N938="","정상",IF(N938&lt;=설정!$B$4,"낮음","정상"))))</f>
        <v/>
      </c>
      <c r="Q938" s="20"/>
      <c r="R938" s="18" t="str">
        <f aca="false">IF(J938="","",J938^2)</f>
        <v/>
      </c>
    </row>
    <row r="939" customFormat="false" ht="15" hidden="false" customHeight="false" outlineLevel="0" collapsed="false">
      <c r="A939" s="16"/>
      <c r="B939" s="17"/>
      <c r="C939" s="17"/>
      <c r="D939" s="17"/>
      <c r="E939" s="17"/>
      <c r="F939" s="17"/>
      <c r="G939" s="17"/>
      <c r="H939" s="17"/>
      <c r="I939" s="17"/>
      <c r="J939" s="18" t="str">
        <f aca="false">IF(COUNT(E939:I939)&lt;5,"",SUM(E939:I939))</f>
        <v/>
      </c>
      <c r="K939" s="18" t="str">
        <f aca="false">IF(J939="","",IF(M939&lt;설정!$B$3,"",ROUND(AVERAGEIFS($J$2:$J$1001,$B$2:$B$1001,B939,$A$2:$A$1001,"&lt;"&amp;A939,$A$2:$A$1001,"&gt;="&amp;(A939-설정!$B$2)),2)))</f>
        <v/>
      </c>
      <c r="L939" s="18" t="str">
        <f aca="false">IF(K939="","",ROUND(SQRT(MAX(0,(SUMIFS($R$2:$R$1001,$B$2:$B$1001,B939,$A$2:$A$1001,"&lt;"&amp;A939,$A$2:$A$1001,"&gt;="&amp;(A939-설정!$B$2))-M939*AVERAGEIFS($J$2:$J$1001,$B$2:$B$1001,B939,$A$2:$A$1001,"&lt;"&amp;A939,$A$2:$A$1001,"&gt;="&amp;(A939-설정!$B$2))^2)/(M939-1))),2))</f>
        <v/>
      </c>
      <c r="M939" s="18" t="str">
        <f aca="false">IF(J939="","",COUNTIFS($B$2:$B$1001,B939,$A$2:$A$1001,"&lt;"&amp;A939,$A$2:$A$1001,"&gt;="&amp;(A939-설정!$B$2),$J$2:$J$1001,"&gt;=0"))</f>
        <v/>
      </c>
      <c r="N939" s="18" t="str">
        <f aca="false">IF(K939="","",IF(L939=0,"",ROUND((J939-K939)/L939,2)))</f>
        <v/>
      </c>
      <c r="O939" s="19" t="str">
        <f aca="false">IF(J939="","",IF(MIN(F939,G939)&lt;=설정!$B$5,"예",""))</f>
        <v/>
      </c>
      <c r="P939" s="19" t="str">
        <f aca="false">IF(J939="","",IF(M939&lt;설정!$B$3,"baseline 수집 중",IF(N939="","정상",IF(N939&lt;=설정!$B$4,"낮음","정상"))))</f>
        <v/>
      </c>
      <c r="Q939" s="20"/>
      <c r="R939" s="18" t="str">
        <f aca="false">IF(J939="","",J939^2)</f>
        <v/>
      </c>
    </row>
    <row r="940" customFormat="false" ht="15" hidden="false" customHeight="false" outlineLevel="0" collapsed="false">
      <c r="A940" s="16"/>
      <c r="B940" s="17"/>
      <c r="C940" s="17"/>
      <c r="D940" s="17"/>
      <c r="E940" s="17"/>
      <c r="F940" s="17"/>
      <c r="G940" s="17"/>
      <c r="H940" s="17"/>
      <c r="I940" s="17"/>
      <c r="J940" s="18" t="str">
        <f aca="false">IF(COUNT(E940:I940)&lt;5,"",SUM(E940:I940))</f>
        <v/>
      </c>
      <c r="K940" s="18" t="str">
        <f aca="false">IF(J940="","",IF(M940&lt;설정!$B$3,"",ROUND(AVERAGEIFS($J$2:$J$1001,$B$2:$B$1001,B940,$A$2:$A$1001,"&lt;"&amp;A940,$A$2:$A$1001,"&gt;="&amp;(A940-설정!$B$2)),2)))</f>
        <v/>
      </c>
      <c r="L940" s="18" t="str">
        <f aca="false">IF(K940="","",ROUND(SQRT(MAX(0,(SUMIFS($R$2:$R$1001,$B$2:$B$1001,B940,$A$2:$A$1001,"&lt;"&amp;A940,$A$2:$A$1001,"&gt;="&amp;(A940-설정!$B$2))-M940*AVERAGEIFS($J$2:$J$1001,$B$2:$B$1001,B940,$A$2:$A$1001,"&lt;"&amp;A940,$A$2:$A$1001,"&gt;="&amp;(A940-설정!$B$2))^2)/(M940-1))),2))</f>
        <v/>
      </c>
      <c r="M940" s="18" t="str">
        <f aca="false">IF(J940="","",COUNTIFS($B$2:$B$1001,B940,$A$2:$A$1001,"&lt;"&amp;A940,$A$2:$A$1001,"&gt;="&amp;(A940-설정!$B$2),$J$2:$J$1001,"&gt;=0"))</f>
        <v/>
      </c>
      <c r="N940" s="18" t="str">
        <f aca="false">IF(K940="","",IF(L940=0,"",ROUND((J940-K940)/L940,2)))</f>
        <v/>
      </c>
      <c r="O940" s="19" t="str">
        <f aca="false">IF(J940="","",IF(MIN(F940,G940)&lt;=설정!$B$5,"예",""))</f>
        <v/>
      </c>
      <c r="P940" s="19" t="str">
        <f aca="false">IF(J940="","",IF(M940&lt;설정!$B$3,"baseline 수집 중",IF(N940="","정상",IF(N940&lt;=설정!$B$4,"낮음","정상"))))</f>
        <v/>
      </c>
      <c r="Q940" s="20"/>
      <c r="R940" s="18" t="str">
        <f aca="false">IF(J940="","",J940^2)</f>
        <v/>
      </c>
    </row>
    <row r="941" customFormat="false" ht="15" hidden="false" customHeight="false" outlineLevel="0" collapsed="false">
      <c r="A941" s="16"/>
      <c r="B941" s="17"/>
      <c r="C941" s="17"/>
      <c r="D941" s="17"/>
      <c r="E941" s="17"/>
      <c r="F941" s="17"/>
      <c r="G941" s="17"/>
      <c r="H941" s="17"/>
      <c r="I941" s="17"/>
      <c r="J941" s="18" t="str">
        <f aca="false">IF(COUNT(E941:I941)&lt;5,"",SUM(E941:I941))</f>
        <v/>
      </c>
      <c r="K941" s="18" t="str">
        <f aca="false">IF(J941="","",IF(M941&lt;설정!$B$3,"",ROUND(AVERAGEIFS($J$2:$J$1001,$B$2:$B$1001,B941,$A$2:$A$1001,"&lt;"&amp;A941,$A$2:$A$1001,"&gt;="&amp;(A941-설정!$B$2)),2)))</f>
        <v/>
      </c>
      <c r="L941" s="18" t="str">
        <f aca="false">IF(K941="","",ROUND(SQRT(MAX(0,(SUMIFS($R$2:$R$1001,$B$2:$B$1001,B941,$A$2:$A$1001,"&lt;"&amp;A941,$A$2:$A$1001,"&gt;="&amp;(A941-설정!$B$2))-M941*AVERAGEIFS($J$2:$J$1001,$B$2:$B$1001,B941,$A$2:$A$1001,"&lt;"&amp;A941,$A$2:$A$1001,"&gt;="&amp;(A941-설정!$B$2))^2)/(M941-1))),2))</f>
        <v/>
      </c>
      <c r="M941" s="18" t="str">
        <f aca="false">IF(J941="","",COUNTIFS($B$2:$B$1001,B941,$A$2:$A$1001,"&lt;"&amp;A941,$A$2:$A$1001,"&gt;="&amp;(A941-설정!$B$2),$J$2:$J$1001,"&gt;=0"))</f>
        <v/>
      </c>
      <c r="N941" s="18" t="str">
        <f aca="false">IF(K941="","",IF(L941=0,"",ROUND((J941-K941)/L941,2)))</f>
        <v/>
      </c>
      <c r="O941" s="19" t="str">
        <f aca="false">IF(J941="","",IF(MIN(F941,G941)&lt;=설정!$B$5,"예",""))</f>
        <v/>
      </c>
      <c r="P941" s="19" t="str">
        <f aca="false">IF(J941="","",IF(M941&lt;설정!$B$3,"baseline 수집 중",IF(N941="","정상",IF(N941&lt;=설정!$B$4,"낮음","정상"))))</f>
        <v/>
      </c>
      <c r="Q941" s="20"/>
      <c r="R941" s="18" t="str">
        <f aca="false">IF(J941="","",J941^2)</f>
        <v/>
      </c>
    </row>
    <row r="942" customFormat="false" ht="15" hidden="false" customHeight="false" outlineLevel="0" collapsed="false">
      <c r="A942" s="16"/>
      <c r="B942" s="17"/>
      <c r="C942" s="17"/>
      <c r="D942" s="17"/>
      <c r="E942" s="17"/>
      <c r="F942" s="17"/>
      <c r="G942" s="17"/>
      <c r="H942" s="17"/>
      <c r="I942" s="17"/>
      <c r="J942" s="18" t="str">
        <f aca="false">IF(COUNT(E942:I942)&lt;5,"",SUM(E942:I942))</f>
        <v/>
      </c>
      <c r="K942" s="18" t="str">
        <f aca="false">IF(J942="","",IF(M942&lt;설정!$B$3,"",ROUND(AVERAGEIFS($J$2:$J$1001,$B$2:$B$1001,B942,$A$2:$A$1001,"&lt;"&amp;A942,$A$2:$A$1001,"&gt;="&amp;(A942-설정!$B$2)),2)))</f>
        <v/>
      </c>
      <c r="L942" s="18" t="str">
        <f aca="false">IF(K942="","",ROUND(SQRT(MAX(0,(SUMIFS($R$2:$R$1001,$B$2:$B$1001,B942,$A$2:$A$1001,"&lt;"&amp;A942,$A$2:$A$1001,"&gt;="&amp;(A942-설정!$B$2))-M942*AVERAGEIFS($J$2:$J$1001,$B$2:$B$1001,B942,$A$2:$A$1001,"&lt;"&amp;A942,$A$2:$A$1001,"&gt;="&amp;(A942-설정!$B$2))^2)/(M942-1))),2))</f>
        <v/>
      </c>
      <c r="M942" s="18" t="str">
        <f aca="false">IF(J942="","",COUNTIFS($B$2:$B$1001,B942,$A$2:$A$1001,"&lt;"&amp;A942,$A$2:$A$1001,"&gt;="&amp;(A942-설정!$B$2),$J$2:$J$1001,"&gt;=0"))</f>
        <v/>
      </c>
      <c r="N942" s="18" t="str">
        <f aca="false">IF(K942="","",IF(L942=0,"",ROUND((J942-K942)/L942,2)))</f>
        <v/>
      </c>
      <c r="O942" s="19" t="str">
        <f aca="false">IF(J942="","",IF(MIN(F942,G942)&lt;=설정!$B$5,"예",""))</f>
        <v/>
      </c>
      <c r="P942" s="19" t="str">
        <f aca="false">IF(J942="","",IF(M942&lt;설정!$B$3,"baseline 수집 중",IF(N942="","정상",IF(N942&lt;=설정!$B$4,"낮음","정상"))))</f>
        <v/>
      </c>
      <c r="Q942" s="20"/>
      <c r="R942" s="18" t="str">
        <f aca="false">IF(J942="","",J942^2)</f>
        <v/>
      </c>
    </row>
    <row r="943" customFormat="false" ht="15" hidden="false" customHeight="false" outlineLevel="0" collapsed="false">
      <c r="A943" s="16"/>
      <c r="B943" s="17"/>
      <c r="C943" s="17"/>
      <c r="D943" s="17"/>
      <c r="E943" s="17"/>
      <c r="F943" s="17"/>
      <c r="G943" s="17"/>
      <c r="H943" s="17"/>
      <c r="I943" s="17"/>
      <c r="J943" s="18" t="str">
        <f aca="false">IF(COUNT(E943:I943)&lt;5,"",SUM(E943:I943))</f>
        <v/>
      </c>
      <c r="K943" s="18" t="str">
        <f aca="false">IF(J943="","",IF(M943&lt;설정!$B$3,"",ROUND(AVERAGEIFS($J$2:$J$1001,$B$2:$B$1001,B943,$A$2:$A$1001,"&lt;"&amp;A943,$A$2:$A$1001,"&gt;="&amp;(A943-설정!$B$2)),2)))</f>
        <v/>
      </c>
      <c r="L943" s="18" t="str">
        <f aca="false">IF(K943="","",ROUND(SQRT(MAX(0,(SUMIFS($R$2:$R$1001,$B$2:$B$1001,B943,$A$2:$A$1001,"&lt;"&amp;A943,$A$2:$A$1001,"&gt;="&amp;(A943-설정!$B$2))-M943*AVERAGEIFS($J$2:$J$1001,$B$2:$B$1001,B943,$A$2:$A$1001,"&lt;"&amp;A943,$A$2:$A$1001,"&gt;="&amp;(A943-설정!$B$2))^2)/(M943-1))),2))</f>
        <v/>
      </c>
      <c r="M943" s="18" t="str">
        <f aca="false">IF(J943="","",COUNTIFS($B$2:$B$1001,B943,$A$2:$A$1001,"&lt;"&amp;A943,$A$2:$A$1001,"&gt;="&amp;(A943-설정!$B$2),$J$2:$J$1001,"&gt;=0"))</f>
        <v/>
      </c>
      <c r="N943" s="18" t="str">
        <f aca="false">IF(K943="","",IF(L943=0,"",ROUND((J943-K943)/L943,2)))</f>
        <v/>
      </c>
      <c r="O943" s="19" t="str">
        <f aca="false">IF(J943="","",IF(MIN(F943,G943)&lt;=설정!$B$5,"예",""))</f>
        <v/>
      </c>
      <c r="P943" s="19" t="str">
        <f aca="false">IF(J943="","",IF(M943&lt;설정!$B$3,"baseline 수집 중",IF(N943="","정상",IF(N943&lt;=설정!$B$4,"낮음","정상"))))</f>
        <v/>
      </c>
      <c r="Q943" s="20"/>
      <c r="R943" s="18" t="str">
        <f aca="false">IF(J943="","",J943^2)</f>
        <v/>
      </c>
    </row>
    <row r="944" customFormat="false" ht="15" hidden="false" customHeight="false" outlineLevel="0" collapsed="false">
      <c r="A944" s="16"/>
      <c r="B944" s="17"/>
      <c r="C944" s="17"/>
      <c r="D944" s="17"/>
      <c r="E944" s="17"/>
      <c r="F944" s="17"/>
      <c r="G944" s="17"/>
      <c r="H944" s="17"/>
      <c r="I944" s="17"/>
      <c r="J944" s="18" t="str">
        <f aca="false">IF(COUNT(E944:I944)&lt;5,"",SUM(E944:I944))</f>
        <v/>
      </c>
      <c r="K944" s="18" t="str">
        <f aca="false">IF(J944="","",IF(M944&lt;설정!$B$3,"",ROUND(AVERAGEIFS($J$2:$J$1001,$B$2:$B$1001,B944,$A$2:$A$1001,"&lt;"&amp;A944,$A$2:$A$1001,"&gt;="&amp;(A944-설정!$B$2)),2)))</f>
        <v/>
      </c>
      <c r="L944" s="18" t="str">
        <f aca="false">IF(K944="","",ROUND(SQRT(MAX(0,(SUMIFS($R$2:$R$1001,$B$2:$B$1001,B944,$A$2:$A$1001,"&lt;"&amp;A944,$A$2:$A$1001,"&gt;="&amp;(A944-설정!$B$2))-M944*AVERAGEIFS($J$2:$J$1001,$B$2:$B$1001,B944,$A$2:$A$1001,"&lt;"&amp;A944,$A$2:$A$1001,"&gt;="&amp;(A944-설정!$B$2))^2)/(M944-1))),2))</f>
        <v/>
      </c>
      <c r="M944" s="18" t="str">
        <f aca="false">IF(J944="","",COUNTIFS($B$2:$B$1001,B944,$A$2:$A$1001,"&lt;"&amp;A944,$A$2:$A$1001,"&gt;="&amp;(A944-설정!$B$2),$J$2:$J$1001,"&gt;=0"))</f>
        <v/>
      </c>
      <c r="N944" s="18" t="str">
        <f aca="false">IF(K944="","",IF(L944=0,"",ROUND((J944-K944)/L944,2)))</f>
        <v/>
      </c>
      <c r="O944" s="19" t="str">
        <f aca="false">IF(J944="","",IF(MIN(F944,G944)&lt;=설정!$B$5,"예",""))</f>
        <v/>
      </c>
      <c r="P944" s="19" t="str">
        <f aca="false">IF(J944="","",IF(M944&lt;설정!$B$3,"baseline 수집 중",IF(N944="","정상",IF(N944&lt;=설정!$B$4,"낮음","정상"))))</f>
        <v/>
      </c>
      <c r="Q944" s="20"/>
      <c r="R944" s="18" t="str">
        <f aca="false">IF(J944="","",J944^2)</f>
        <v/>
      </c>
    </row>
    <row r="945" customFormat="false" ht="15" hidden="false" customHeight="false" outlineLevel="0" collapsed="false">
      <c r="A945" s="16"/>
      <c r="B945" s="17"/>
      <c r="C945" s="17"/>
      <c r="D945" s="17"/>
      <c r="E945" s="17"/>
      <c r="F945" s="17"/>
      <c r="G945" s="17"/>
      <c r="H945" s="17"/>
      <c r="I945" s="17"/>
      <c r="J945" s="18" t="str">
        <f aca="false">IF(COUNT(E945:I945)&lt;5,"",SUM(E945:I945))</f>
        <v/>
      </c>
      <c r="K945" s="18" t="str">
        <f aca="false">IF(J945="","",IF(M945&lt;설정!$B$3,"",ROUND(AVERAGEIFS($J$2:$J$1001,$B$2:$B$1001,B945,$A$2:$A$1001,"&lt;"&amp;A945,$A$2:$A$1001,"&gt;="&amp;(A945-설정!$B$2)),2)))</f>
        <v/>
      </c>
      <c r="L945" s="18" t="str">
        <f aca="false">IF(K945="","",ROUND(SQRT(MAX(0,(SUMIFS($R$2:$R$1001,$B$2:$B$1001,B945,$A$2:$A$1001,"&lt;"&amp;A945,$A$2:$A$1001,"&gt;="&amp;(A945-설정!$B$2))-M945*AVERAGEIFS($J$2:$J$1001,$B$2:$B$1001,B945,$A$2:$A$1001,"&lt;"&amp;A945,$A$2:$A$1001,"&gt;="&amp;(A945-설정!$B$2))^2)/(M945-1))),2))</f>
        <v/>
      </c>
      <c r="M945" s="18" t="str">
        <f aca="false">IF(J945="","",COUNTIFS($B$2:$B$1001,B945,$A$2:$A$1001,"&lt;"&amp;A945,$A$2:$A$1001,"&gt;="&amp;(A945-설정!$B$2),$J$2:$J$1001,"&gt;=0"))</f>
        <v/>
      </c>
      <c r="N945" s="18" t="str">
        <f aca="false">IF(K945="","",IF(L945=0,"",ROUND((J945-K945)/L945,2)))</f>
        <v/>
      </c>
      <c r="O945" s="19" t="str">
        <f aca="false">IF(J945="","",IF(MIN(F945,G945)&lt;=설정!$B$5,"예",""))</f>
        <v/>
      </c>
      <c r="P945" s="19" t="str">
        <f aca="false">IF(J945="","",IF(M945&lt;설정!$B$3,"baseline 수집 중",IF(N945="","정상",IF(N945&lt;=설정!$B$4,"낮음","정상"))))</f>
        <v/>
      </c>
      <c r="Q945" s="20"/>
      <c r="R945" s="18" t="str">
        <f aca="false">IF(J945="","",J945^2)</f>
        <v/>
      </c>
    </row>
    <row r="946" customFormat="false" ht="15" hidden="false" customHeight="false" outlineLevel="0" collapsed="false">
      <c r="A946" s="16"/>
      <c r="B946" s="17"/>
      <c r="C946" s="17"/>
      <c r="D946" s="17"/>
      <c r="E946" s="17"/>
      <c r="F946" s="17"/>
      <c r="G946" s="17"/>
      <c r="H946" s="17"/>
      <c r="I946" s="17"/>
      <c r="J946" s="18" t="str">
        <f aca="false">IF(COUNT(E946:I946)&lt;5,"",SUM(E946:I946))</f>
        <v/>
      </c>
      <c r="K946" s="18" t="str">
        <f aca="false">IF(J946="","",IF(M946&lt;설정!$B$3,"",ROUND(AVERAGEIFS($J$2:$J$1001,$B$2:$B$1001,B946,$A$2:$A$1001,"&lt;"&amp;A946,$A$2:$A$1001,"&gt;="&amp;(A946-설정!$B$2)),2)))</f>
        <v/>
      </c>
      <c r="L946" s="18" t="str">
        <f aca="false">IF(K946="","",ROUND(SQRT(MAX(0,(SUMIFS($R$2:$R$1001,$B$2:$B$1001,B946,$A$2:$A$1001,"&lt;"&amp;A946,$A$2:$A$1001,"&gt;="&amp;(A946-설정!$B$2))-M946*AVERAGEIFS($J$2:$J$1001,$B$2:$B$1001,B946,$A$2:$A$1001,"&lt;"&amp;A946,$A$2:$A$1001,"&gt;="&amp;(A946-설정!$B$2))^2)/(M946-1))),2))</f>
        <v/>
      </c>
      <c r="M946" s="18" t="str">
        <f aca="false">IF(J946="","",COUNTIFS($B$2:$B$1001,B946,$A$2:$A$1001,"&lt;"&amp;A946,$A$2:$A$1001,"&gt;="&amp;(A946-설정!$B$2),$J$2:$J$1001,"&gt;=0"))</f>
        <v/>
      </c>
      <c r="N946" s="18" t="str">
        <f aca="false">IF(K946="","",IF(L946=0,"",ROUND((J946-K946)/L946,2)))</f>
        <v/>
      </c>
      <c r="O946" s="19" t="str">
        <f aca="false">IF(J946="","",IF(MIN(F946,G946)&lt;=설정!$B$5,"예",""))</f>
        <v/>
      </c>
      <c r="P946" s="19" t="str">
        <f aca="false">IF(J946="","",IF(M946&lt;설정!$B$3,"baseline 수집 중",IF(N946="","정상",IF(N946&lt;=설정!$B$4,"낮음","정상"))))</f>
        <v/>
      </c>
      <c r="Q946" s="20"/>
      <c r="R946" s="18" t="str">
        <f aca="false">IF(J946="","",J946^2)</f>
        <v/>
      </c>
    </row>
    <row r="947" customFormat="false" ht="15" hidden="false" customHeight="false" outlineLevel="0" collapsed="false">
      <c r="A947" s="16"/>
      <c r="B947" s="17"/>
      <c r="C947" s="17"/>
      <c r="D947" s="17"/>
      <c r="E947" s="17"/>
      <c r="F947" s="17"/>
      <c r="G947" s="17"/>
      <c r="H947" s="17"/>
      <c r="I947" s="17"/>
      <c r="J947" s="18" t="str">
        <f aca="false">IF(COUNT(E947:I947)&lt;5,"",SUM(E947:I947))</f>
        <v/>
      </c>
      <c r="K947" s="18" t="str">
        <f aca="false">IF(J947="","",IF(M947&lt;설정!$B$3,"",ROUND(AVERAGEIFS($J$2:$J$1001,$B$2:$B$1001,B947,$A$2:$A$1001,"&lt;"&amp;A947,$A$2:$A$1001,"&gt;="&amp;(A947-설정!$B$2)),2)))</f>
        <v/>
      </c>
      <c r="L947" s="18" t="str">
        <f aca="false">IF(K947="","",ROUND(SQRT(MAX(0,(SUMIFS($R$2:$R$1001,$B$2:$B$1001,B947,$A$2:$A$1001,"&lt;"&amp;A947,$A$2:$A$1001,"&gt;="&amp;(A947-설정!$B$2))-M947*AVERAGEIFS($J$2:$J$1001,$B$2:$B$1001,B947,$A$2:$A$1001,"&lt;"&amp;A947,$A$2:$A$1001,"&gt;="&amp;(A947-설정!$B$2))^2)/(M947-1))),2))</f>
        <v/>
      </c>
      <c r="M947" s="18" t="str">
        <f aca="false">IF(J947="","",COUNTIFS($B$2:$B$1001,B947,$A$2:$A$1001,"&lt;"&amp;A947,$A$2:$A$1001,"&gt;="&amp;(A947-설정!$B$2),$J$2:$J$1001,"&gt;=0"))</f>
        <v/>
      </c>
      <c r="N947" s="18" t="str">
        <f aca="false">IF(K947="","",IF(L947=0,"",ROUND((J947-K947)/L947,2)))</f>
        <v/>
      </c>
      <c r="O947" s="19" t="str">
        <f aca="false">IF(J947="","",IF(MIN(F947,G947)&lt;=설정!$B$5,"예",""))</f>
        <v/>
      </c>
      <c r="P947" s="19" t="str">
        <f aca="false">IF(J947="","",IF(M947&lt;설정!$B$3,"baseline 수집 중",IF(N947="","정상",IF(N947&lt;=설정!$B$4,"낮음","정상"))))</f>
        <v/>
      </c>
      <c r="Q947" s="20"/>
      <c r="R947" s="18" t="str">
        <f aca="false">IF(J947="","",J947^2)</f>
        <v/>
      </c>
    </row>
    <row r="948" customFormat="false" ht="15" hidden="false" customHeight="false" outlineLevel="0" collapsed="false">
      <c r="A948" s="16"/>
      <c r="B948" s="17"/>
      <c r="C948" s="17"/>
      <c r="D948" s="17"/>
      <c r="E948" s="17"/>
      <c r="F948" s="17"/>
      <c r="G948" s="17"/>
      <c r="H948" s="17"/>
      <c r="I948" s="17"/>
      <c r="J948" s="18" t="str">
        <f aca="false">IF(COUNT(E948:I948)&lt;5,"",SUM(E948:I948))</f>
        <v/>
      </c>
      <c r="K948" s="18" t="str">
        <f aca="false">IF(J948="","",IF(M948&lt;설정!$B$3,"",ROUND(AVERAGEIFS($J$2:$J$1001,$B$2:$B$1001,B948,$A$2:$A$1001,"&lt;"&amp;A948,$A$2:$A$1001,"&gt;="&amp;(A948-설정!$B$2)),2)))</f>
        <v/>
      </c>
      <c r="L948" s="18" t="str">
        <f aca="false">IF(K948="","",ROUND(SQRT(MAX(0,(SUMIFS($R$2:$R$1001,$B$2:$B$1001,B948,$A$2:$A$1001,"&lt;"&amp;A948,$A$2:$A$1001,"&gt;="&amp;(A948-설정!$B$2))-M948*AVERAGEIFS($J$2:$J$1001,$B$2:$B$1001,B948,$A$2:$A$1001,"&lt;"&amp;A948,$A$2:$A$1001,"&gt;="&amp;(A948-설정!$B$2))^2)/(M948-1))),2))</f>
        <v/>
      </c>
      <c r="M948" s="18" t="str">
        <f aca="false">IF(J948="","",COUNTIFS($B$2:$B$1001,B948,$A$2:$A$1001,"&lt;"&amp;A948,$A$2:$A$1001,"&gt;="&amp;(A948-설정!$B$2),$J$2:$J$1001,"&gt;=0"))</f>
        <v/>
      </c>
      <c r="N948" s="18" t="str">
        <f aca="false">IF(K948="","",IF(L948=0,"",ROUND((J948-K948)/L948,2)))</f>
        <v/>
      </c>
      <c r="O948" s="19" t="str">
        <f aca="false">IF(J948="","",IF(MIN(F948,G948)&lt;=설정!$B$5,"예",""))</f>
        <v/>
      </c>
      <c r="P948" s="19" t="str">
        <f aca="false">IF(J948="","",IF(M948&lt;설정!$B$3,"baseline 수집 중",IF(N948="","정상",IF(N948&lt;=설정!$B$4,"낮음","정상"))))</f>
        <v/>
      </c>
      <c r="Q948" s="20"/>
      <c r="R948" s="18" t="str">
        <f aca="false">IF(J948="","",J948^2)</f>
        <v/>
      </c>
    </row>
    <row r="949" customFormat="false" ht="15" hidden="false" customHeight="false" outlineLevel="0" collapsed="false">
      <c r="A949" s="16"/>
      <c r="B949" s="17"/>
      <c r="C949" s="17"/>
      <c r="D949" s="17"/>
      <c r="E949" s="17"/>
      <c r="F949" s="17"/>
      <c r="G949" s="17"/>
      <c r="H949" s="17"/>
      <c r="I949" s="17"/>
      <c r="J949" s="18" t="str">
        <f aca="false">IF(COUNT(E949:I949)&lt;5,"",SUM(E949:I949))</f>
        <v/>
      </c>
      <c r="K949" s="18" t="str">
        <f aca="false">IF(J949="","",IF(M949&lt;설정!$B$3,"",ROUND(AVERAGEIFS($J$2:$J$1001,$B$2:$B$1001,B949,$A$2:$A$1001,"&lt;"&amp;A949,$A$2:$A$1001,"&gt;="&amp;(A949-설정!$B$2)),2)))</f>
        <v/>
      </c>
      <c r="L949" s="18" t="str">
        <f aca="false">IF(K949="","",ROUND(SQRT(MAX(0,(SUMIFS($R$2:$R$1001,$B$2:$B$1001,B949,$A$2:$A$1001,"&lt;"&amp;A949,$A$2:$A$1001,"&gt;="&amp;(A949-설정!$B$2))-M949*AVERAGEIFS($J$2:$J$1001,$B$2:$B$1001,B949,$A$2:$A$1001,"&lt;"&amp;A949,$A$2:$A$1001,"&gt;="&amp;(A949-설정!$B$2))^2)/(M949-1))),2))</f>
        <v/>
      </c>
      <c r="M949" s="18" t="str">
        <f aca="false">IF(J949="","",COUNTIFS($B$2:$B$1001,B949,$A$2:$A$1001,"&lt;"&amp;A949,$A$2:$A$1001,"&gt;="&amp;(A949-설정!$B$2),$J$2:$J$1001,"&gt;=0"))</f>
        <v/>
      </c>
      <c r="N949" s="18" t="str">
        <f aca="false">IF(K949="","",IF(L949=0,"",ROUND((J949-K949)/L949,2)))</f>
        <v/>
      </c>
      <c r="O949" s="19" t="str">
        <f aca="false">IF(J949="","",IF(MIN(F949,G949)&lt;=설정!$B$5,"예",""))</f>
        <v/>
      </c>
      <c r="P949" s="19" t="str">
        <f aca="false">IF(J949="","",IF(M949&lt;설정!$B$3,"baseline 수집 중",IF(N949="","정상",IF(N949&lt;=설정!$B$4,"낮음","정상"))))</f>
        <v/>
      </c>
      <c r="Q949" s="20"/>
      <c r="R949" s="18" t="str">
        <f aca="false">IF(J949="","",J949^2)</f>
        <v/>
      </c>
    </row>
    <row r="950" customFormat="false" ht="15" hidden="false" customHeight="false" outlineLevel="0" collapsed="false">
      <c r="A950" s="16"/>
      <c r="B950" s="17"/>
      <c r="C950" s="17"/>
      <c r="D950" s="17"/>
      <c r="E950" s="17"/>
      <c r="F950" s="17"/>
      <c r="G950" s="17"/>
      <c r="H950" s="17"/>
      <c r="I950" s="17"/>
      <c r="J950" s="18" t="str">
        <f aca="false">IF(COUNT(E950:I950)&lt;5,"",SUM(E950:I950))</f>
        <v/>
      </c>
      <c r="K950" s="18" t="str">
        <f aca="false">IF(J950="","",IF(M950&lt;설정!$B$3,"",ROUND(AVERAGEIFS($J$2:$J$1001,$B$2:$B$1001,B950,$A$2:$A$1001,"&lt;"&amp;A950,$A$2:$A$1001,"&gt;="&amp;(A950-설정!$B$2)),2)))</f>
        <v/>
      </c>
      <c r="L950" s="18" t="str">
        <f aca="false">IF(K950="","",ROUND(SQRT(MAX(0,(SUMIFS($R$2:$R$1001,$B$2:$B$1001,B950,$A$2:$A$1001,"&lt;"&amp;A950,$A$2:$A$1001,"&gt;="&amp;(A950-설정!$B$2))-M950*AVERAGEIFS($J$2:$J$1001,$B$2:$B$1001,B950,$A$2:$A$1001,"&lt;"&amp;A950,$A$2:$A$1001,"&gt;="&amp;(A950-설정!$B$2))^2)/(M950-1))),2))</f>
        <v/>
      </c>
      <c r="M950" s="18" t="str">
        <f aca="false">IF(J950="","",COUNTIFS($B$2:$B$1001,B950,$A$2:$A$1001,"&lt;"&amp;A950,$A$2:$A$1001,"&gt;="&amp;(A950-설정!$B$2),$J$2:$J$1001,"&gt;=0"))</f>
        <v/>
      </c>
      <c r="N950" s="18" t="str">
        <f aca="false">IF(K950="","",IF(L950=0,"",ROUND((J950-K950)/L950,2)))</f>
        <v/>
      </c>
      <c r="O950" s="19" t="str">
        <f aca="false">IF(J950="","",IF(MIN(F950,G950)&lt;=설정!$B$5,"예",""))</f>
        <v/>
      </c>
      <c r="P950" s="19" t="str">
        <f aca="false">IF(J950="","",IF(M950&lt;설정!$B$3,"baseline 수집 중",IF(N950="","정상",IF(N950&lt;=설정!$B$4,"낮음","정상"))))</f>
        <v/>
      </c>
      <c r="Q950" s="20"/>
      <c r="R950" s="18" t="str">
        <f aca="false">IF(J950="","",J950^2)</f>
        <v/>
      </c>
    </row>
    <row r="951" customFormat="false" ht="15" hidden="false" customHeight="false" outlineLevel="0" collapsed="false">
      <c r="A951" s="16"/>
      <c r="B951" s="17"/>
      <c r="C951" s="17"/>
      <c r="D951" s="17"/>
      <c r="E951" s="17"/>
      <c r="F951" s="17"/>
      <c r="G951" s="17"/>
      <c r="H951" s="17"/>
      <c r="I951" s="17"/>
      <c r="J951" s="18" t="str">
        <f aca="false">IF(COUNT(E951:I951)&lt;5,"",SUM(E951:I951))</f>
        <v/>
      </c>
      <c r="K951" s="18" t="str">
        <f aca="false">IF(J951="","",IF(M951&lt;설정!$B$3,"",ROUND(AVERAGEIFS($J$2:$J$1001,$B$2:$B$1001,B951,$A$2:$A$1001,"&lt;"&amp;A951,$A$2:$A$1001,"&gt;="&amp;(A951-설정!$B$2)),2)))</f>
        <v/>
      </c>
      <c r="L951" s="18" t="str">
        <f aca="false">IF(K951="","",ROUND(SQRT(MAX(0,(SUMIFS($R$2:$R$1001,$B$2:$B$1001,B951,$A$2:$A$1001,"&lt;"&amp;A951,$A$2:$A$1001,"&gt;="&amp;(A951-설정!$B$2))-M951*AVERAGEIFS($J$2:$J$1001,$B$2:$B$1001,B951,$A$2:$A$1001,"&lt;"&amp;A951,$A$2:$A$1001,"&gt;="&amp;(A951-설정!$B$2))^2)/(M951-1))),2))</f>
        <v/>
      </c>
      <c r="M951" s="18" t="str">
        <f aca="false">IF(J951="","",COUNTIFS($B$2:$B$1001,B951,$A$2:$A$1001,"&lt;"&amp;A951,$A$2:$A$1001,"&gt;="&amp;(A951-설정!$B$2),$J$2:$J$1001,"&gt;=0"))</f>
        <v/>
      </c>
      <c r="N951" s="18" t="str">
        <f aca="false">IF(K951="","",IF(L951=0,"",ROUND((J951-K951)/L951,2)))</f>
        <v/>
      </c>
      <c r="O951" s="19" t="str">
        <f aca="false">IF(J951="","",IF(MIN(F951,G951)&lt;=설정!$B$5,"예",""))</f>
        <v/>
      </c>
      <c r="P951" s="19" t="str">
        <f aca="false">IF(J951="","",IF(M951&lt;설정!$B$3,"baseline 수집 중",IF(N951="","정상",IF(N951&lt;=설정!$B$4,"낮음","정상"))))</f>
        <v/>
      </c>
      <c r="Q951" s="20"/>
      <c r="R951" s="18" t="str">
        <f aca="false">IF(J951="","",J951^2)</f>
        <v/>
      </c>
    </row>
    <row r="952" customFormat="false" ht="15" hidden="false" customHeight="false" outlineLevel="0" collapsed="false">
      <c r="A952" s="16"/>
      <c r="B952" s="17"/>
      <c r="C952" s="17"/>
      <c r="D952" s="17"/>
      <c r="E952" s="17"/>
      <c r="F952" s="17"/>
      <c r="G952" s="17"/>
      <c r="H952" s="17"/>
      <c r="I952" s="17"/>
      <c r="J952" s="18" t="str">
        <f aca="false">IF(COUNT(E952:I952)&lt;5,"",SUM(E952:I952))</f>
        <v/>
      </c>
      <c r="K952" s="18" t="str">
        <f aca="false">IF(J952="","",IF(M952&lt;설정!$B$3,"",ROUND(AVERAGEIFS($J$2:$J$1001,$B$2:$B$1001,B952,$A$2:$A$1001,"&lt;"&amp;A952,$A$2:$A$1001,"&gt;="&amp;(A952-설정!$B$2)),2)))</f>
        <v/>
      </c>
      <c r="L952" s="18" t="str">
        <f aca="false">IF(K952="","",ROUND(SQRT(MAX(0,(SUMIFS($R$2:$R$1001,$B$2:$B$1001,B952,$A$2:$A$1001,"&lt;"&amp;A952,$A$2:$A$1001,"&gt;="&amp;(A952-설정!$B$2))-M952*AVERAGEIFS($J$2:$J$1001,$B$2:$B$1001,B952,$A$2:$A$1001,"&lt;"&amp;A952,$A$2:$A$1001,"&gt;="&amp;(A952-설정!$B$2))^2)/(M952-1))),2))</f>
        <v/>
      </c>
      <c r="M952" s="18" t="str">
        <f aca="false">IF(J952="","",COUNTIFS($B$2:$B$1001,B952,$A$2:$A$1001,"&lt;"&amp;A952,$A$2:$A$1001,"&gt;="&amp;(A952-설정!$B$2),$J$2:$J$1001,"&gt;=0"))</f>
        <v/>
      </c>
      <c r="N952" s="18" t="str">
        <f aca="false">IF(K952="","",IF(L952=0,"",ROUND((J952-K952)/L952,2)))</f>
        <v/>
      </c>
      <c r="O952" s="19" t="str">
        <f aca="false">IF(J952="","",IF(MIN(F952,G952)&lt;=설정!$B$5,"예",""))</f>
        <v/>
      </c>
      <c r="P952" s="19" t="str">
        <f aca="false">IF(J952="","",IF(M952&lt;설정!$B$3,"baseline 수집 중",IF(N952="","정상",IF(N952&lt;=설정!$B$4,"낮음","정상"))))</f>
        <v/>
      </c>
      <c r="Q952" s="20"/>
      <c r="R952" s="18" t="str">
        <f aca="false">IF(J952="","",J952^2)</f>
        <v/>
      </c>
    </row>
    <row r="953" customFormat="false" ht="15" hidden="false" customHeight="false" outlineLevel="0" collapsed="false">
      <c r="A953" s="16"/>
      <c r="B953" s="17"/>
      <c r="C953" s="17"/>
      <c r="D953" s="17"/>
      <c r="E953" s="17"/>
      <c r="F953" s="17"/>
      <c r="G953" s="17"/>
      <c r="H953" s="17"/>
      <c r="I953" s="17"/>
      <c r="J953" s="18" t="str">
        <f aca="false">IF(COUNT(E953:I953)&lt;5,"",SUM(E953:I953))</f>
        <v/>
      </c>
      <c r="K953" s="18" t="str">
        <f aca="false">IF(J953="","",IF(M953&lt;설정!$B$3,"",ROUND(AVERAGEIFS($J$2:$J$1001,$B$2:$B$1001,B953,$A$2:$A$1001,"&lt;"&amp;A953,$A$2:$A$1001,"&gt;="&amp;(A953-설정!$B$2)),2)))</f>
        <v/>
      </c>
      <c r="L953" s="18" t="str">
        <f aca="false">IF(K953="","",ROUND(SQRT(MAX(0,(SUMIFS($R$2:$R$1001,$B$2:$B$1001,B953,$A$2:$A$1001,"&lt;"&amp;A953,$A$2:$A$1001,"&gt;="&amp;(A953-설정!$B$2))-M953*AVERAGEIFS($J$2:$J$1001,$B$2:$B$1001,B953,$A$2:$A$1001,"&lt;"&amp;A953,$A$2:$A$1001,"&gt;="&amp;(A953-설정!$B$2))^2)/(M953-1))),2))</f>
        <v/>
      </c>
      <c r="M953" s="18" t="str">
        <f aca="false">IF(J953="","",COUNTIFS($B$2:$B$1001,B953,$A$2:$A$1001,"&lt;"&amp;A953,$A$2:$A$1001,"&gt;="&amp;(A953-설정!$B$2),$J$2:$J$1001,"&gt;=0"))</f>
        <v/>
      </c>
      <c r="N953" s="18" t="str">
        <f aca="false">IF(K953="","",IF(L953=0,"",ROUND((J953-K953)/L953,2)))</f>
        <v/>
      </c>
      <c r="O953" s="19" t="str">
        <f aca="false">IF(J953="","",IF(MIN(F953,G953)&lt;=설정!$B$5,"예",""))</f>
        <v/>
      </c>
      <c r="P953" s="19" t="str">
        <f aca="false">IF(J953="","",IF(M953&lt;설정!$B$3,"baseline 수집 중",IF(N953="","정상",IF(N953&lt;=설정!$B$4,"낮음","정상"))))</f>
        <v/>
      </c>
      <c r="Q953" s="20"/>
      <c r="R953" s="18" t="str">
        <f aca="false">IF(J953="","",J953^2)</f>
        <v/>
      </c>
    </row>
    <row r="954" customFormat="false" ht="15" hidden="false" customHeight="false" outlineLevel="0" collapsed="false">
      <c r="A954" s="16"/>
      <c r="B954" s="17"/>
      <c r="C954" s="17"/>
      <c r="D954" s="17"/>
      <c r="E954" s="17"/>
      <c r="F954" s="17"/>
      <c r="G954" s="17"/>
      <c r="H954" s="17"/>
      <c r="I954" s="17"/>
      <c r="J954" s="18" t="str">
        <f aca="false">IF(COUNT(E954:I954)&lt;5,"",SUM(E954:I954))</f>
        <v/>
      </c>
      <c r="K954" s="18" t="str">
        <f aca="false">IF(J954="","",IF(M954&lt;설정!$B$3,"",ROUND(AVERAGEIFS($J$2:$J$1001,$B$2:$B$1001,B954,$A$2:$A$1001,"&lt;"&amp;A954,$A$2:$A$1001,"&gt;="&amp;(A954-설정!$B$2)),2)))</f>
        <v/>
      </c>
      <c r="L954" s="18" t="str">
        <f aca="false">IF(K954="","",ROUND(SQRT(MAX(0,(SUMIFS($R$2:$R$1001,$B$2:$B$1001,B954,$A$2:$A$1001,"&lt;"&amp;A954,$A$2:$A$1001,"&gt;="&amp;(A954-설정!$B$2))-M954*AVERAGEIFS($J$2:$J$1001,$B$2:$B$1001,B954,$A$2:$A$1001,"&lt;"&amp;A954,$A$2:$A$1001,"&gt;="&amp;(A954-설정!$B$2))^2)/(M954-1))),2))</f>
        <v/>
      </c>
      <c r="M954" s="18" t="str">
        <f aca="false">IF(J954="","",COUNTIFS($B$2:$B$1001,B954,$A$2:$A$1001,"&lt;"&amp;A954,$A$2:$A$1001,"&gt;="&amp;(A954-설정!$B$2),$J$2:$J$1001,"&gt;=0"))</f>
        <v/>
      </c>
      <c r="N954" s="18" t="str">
        <f aca="false">IF(K954="","",IF(L954=0,"",ROUND((J954-K954)/L954,2)))</f>
        <v/>
      </c>
      <c r="O954" s="19" t="str">
        <f aca="false">IF(J954="","",IF(MIN(F954,G954)&lt;=설정!$B$5,"예",""))</f>
        <v/>
      </c>
      <c r="P954" s="19" t="str">
        <f aca="false">IF(J954="","",IF(M954&lt;설정!$B$3,"baseline 수집 중",IF(N954="","정상",IF(N954&lt;=설정!$B$4,"낮음","정상"))))</f>
        <v/>
      </c>
      <c r="Q954" s="20"/>
      <c r="R954" s="18" t="str">
        <f aca="false">IF(J954="","",J954^2)</f>
        <v/>
      </c>
    </row>
    <row r="955" customFormat="false" ht="15" hidden="false" customHeight="false" outlineLevel="0" collapsed="false">
      <c r="A955" s="16"/>
      <c r="B955" s="17"/>
      <c r="C955" s="17"/>
      <c r="D955" s="17"/>
      <c r="E955" s="17"/>
      <c r="F955" s="17"/>
      <c r="G955" s="17"/>
      <c r="H955" s="17"/>
      <c r="I955" s="17"/>
      <c r="J955" s="18" t="str">
        <f aca="false">IF(COUNT(E955:I955)&lt;5,"",SUM(E955:I955))</f>
        <v/>
      </c>
      <c r="K955" s="18" t="str">
        <f aca="false">IF(J955="","",IF(M955&lt;설정!$B$3,"",ROUND(AVERAGEIFS($J$2:$J$1001,$B$2:$B$1001,B955,$A$2:$A$1001,"&lt;"&amp;A955,$A$2:$A$1001,"&gt;="&amp;(A955-설정!$B$2)),2)))</f>
        <v/>
      </c>
      <c r="L955" s="18" t="str">
        <f aca="false">IF(K955="","",ROUND(SQRT(MAX(0,(SUMIFS($R$2:$R$1001,$B$2:$B$1001,B955,$A$2:$A$1001,"&lt;"&amp;A955,$A$2:$A$1001,"&gt;="&amp;(A955-설정!$B$2))-M955*AVERAGEIFS($J$2:$J$1001,$B$2:$B$1001,B955,$A$2:$A$1001,"&lt;"&amp;A955,$A$2:$A$1001,"&gt;="&amp;(A955-설정!$B$2))^2)/(M955-1))),2))</f>
        <v/>
      </c>
      <c r="M955" s="18" t="str">
        <f aca="false">IF(J955="","",COUNTIFS($B$2:$B$1001,B955,$A$2:$A$1001,"&lt;"&amp;A955,$A$2:$A$1001,"&gt;="&amp;(A955-설정!$B$2),$J$2:$J$1001,"&gt;=0"))</f>
        <v/>
      </c>
      <c r="N955" s="18" t="str">
        <f aca="false">IF(K955="","",IF(L955=0,"",ROUND((J955-K955)/L955,2)))</f>
        <v/>
      </c>
      <c r="O955" s="19" t="str">
        <f aca="false">IF(J955="","",IF(MIN(F955,G955)&lt;=설정!$B$5,"예",""))</f>
        <v/>
      </c>
      <c r="P955" s="19" t="str">
        <f aca="false">IF(J955="","",IF(M955&lt;설정!$B$3,"baseline 수집 중",IF(N955="","정상",IF(N955&lt;=설정!$B$4,"낮음","정상"))))</f>
        <v/>
      </c>
      <c r="Q955" s="20"/>
      <c r="R955" s="18" t="str">
        <f aca="false">IF(J955="","",J955^2)</f>
        <v/>
      </c>
    </row>
    <row r="956" customFormat="false" ht="15" hidden="false" customHeight="false" outlineLevel="0" collapsed="false">
      <c r="A956" s="16"/>
      <c r="B956" s="17"/>
      <c r="C956" s="17"/>
      <c r="D956" s="17"/>
      <c r="E956" s="17"/>
      <c r="F956" s="17"/>
      <c r="G956" s="17"/>
      <c r="H956" s="17"/>
      <c r="I956" s="17"/>
      <c r="J956" s="18" t="str">
        <f aca="false">IF(COUNT(E956:I956)&lt;5,"",SUM(E956:I956))</f>
        <v/>
      </c>
      <c r="K956" s="18" t="str">
        <f aca="false">IF(J956="","",IF(M956&lt;설정!$B$3,"",ROUND(AVERAGEIFS($J$2:$J$1001,$B$2:$B$1001,B956,$A$2:$A$1001,"&lt;"&amp;A956,$A$2:$A$1001,"&gt;="&amp;(A956-설정!$B$2)),2)))</f>
        <v/>
      </c>
      <c r="L956" s="18" t="str">
        <f aca="false">IF(K956="","",ROUND(SQRT(MAX(0,(SUMIFS($R$2:$R$1001,$B$2:$B$1001,B956,$A$2:$A$1001,"&lt;"&amp;A956,$A$2:$A$1001,"&gt;="&amp;(A956-설정!$B$2))-M956*AVERAGEIFS($J$2:$J$1001,$B$2:$B$1001,B956,$A$2:$A$1001,"&lt;"&amp;A956,$A$2:$A$1001,"&gt;="&amp;(A956-설정!$B$2))^2)/(M956-1))),2))</f>
        <v/>
      </c>
      <c r="M956" s="18" t="str">
        <f aca="false">IF(J956="","",COUNTIFS($B$2:$B$1001,B956,$A$2:$A$1001,"&lt;"&amp;A956,$A$2:$A$1001,"&gt;="&amp;(A956-설정!$B$2),$J$2:$J$1001,"&gt;=0"))</f>
        <v/>
      </c>
      <c r="N956" s="18" t="str">
        <f aca="false">IF(K956="","",IF(L956=0,"",ROUND((J956-K956)/L956,2)))</f>
        <v/>
      </c>
      <c r="O956" s="19" t="str">
        <f aca="false">IF(J956="","",IF(MIN(F956,G956)&lt;=설정!$B$5,"예",""))</f>
        <v/>
      </c>
      <c r="P956" s="19" t="str">
        <f aca="false">IF(J956="","",IF(M956&lt;설정!$B$3,"baseline 수집 중",IF(N956="","정상",IF(N956&lt;=설정!$B$4,"낮음","정상"))))</f>
        <v/>
      </c>
      <c r="Q956" s="20"/>
      <c r="R956" s="18" t="str">
        <f aca="false">IF(J956="","",J956^2)</f>
        <v/>
      </c>
    </row>
    <row r="957" customFormat="false" ht="15" hidden="false" customHeight="false" outlineLevel="0" collapsed="false">
      <c r="A957" s="16"/>
      <c r="B957" s="17"/>
      <c r="C957" s="17"/>
      <c r="D957" s="17"/>
      <c r="E957" s="17"/>
      <c r="F957" s="17"/>
      <c r="G957" s="17"/>
      <c r="H957" s="17"/>
      <c r="I957" s="17"/>
      <c r="J957" s="18" t="str">
        <f aca="false">IF(COUNT(E957:I957)&lt;5,"",SUM(E957:I957))</f>
        <v/>
      </c>
      <c r="K957" s="18" t="str">
        <f aca="false">IF(J957="","",IF(M957&lt;설정!$B$3,"",ROUND(AVERAGEIFS($J$2:$J$1001,$B$2:$B$1001,B957,$A$2:$A$1001,"&lt;"&amp;A957,$A$2:$A$1001,"&gt;="&amp;(A957-설정!$B$2)),2)))</f>
        <v/>
      </c>
      <c r="L957" s="18" t="str">
        <f aca="false">IF(K957="","",ROUND(SQRT(MAX(0,(SUMIFS($R$2:$R$1001,$B$2:$B$1001,B957,$A$2:$A$1001,"&lt;"&amp;A957,$A$2:$A$1001,"&gt;="&amp;(A957-설정!$B$2))-M957*AVERAGEIFS($J$2:$J$1001,$B$2:$B$1001,B957,$A$2:$A$1001,"&lt;"&amp;A957,$A$2:$A$1001,"&gt;="&amp;(A957-설정!$B$2))^2)/(M957-1))),2))</f>
        <v/>
      </c>
      <c r="M957" s="18" t="str">
        <f aca="false">IF(J957="","",COUNTIFS($B$2:$B$1001,B957,$A$2:$A$1001,"&lt;"&amp;A957,$A$2:$A$1001,"&gt;="&amp;(A957-설정!$B$2),$J$2:$J$1001,"&gt;=0"))</f>
        <v/>
      </c>
      <c r="N957" s="18" t="str">
        <f aca="false">IF(K957="","",IF(L957=0,"",ROUND((J957-K957)/L957,2)))</f>
        <v/>
      </c>
      <c r="O957" s="19" t="str">
        <f aca="false">IF(J957="","",IF(MIN(F957,G957)&lt;=설정!$B$5,"예",""))</f>
        <v/>
      </c>
      <c r="P957" s="19" t="str">
        <f aca="false">IF(J957="","",IF(M957&lt;설정!$B$3,"baseline 수집 중",IF(N957="","정상",IF(N957&lt;=설정!$B$4,"낮음","정상"))))</f>
        <v/>
      </c>
      <c r="Q957" s="20"/>
      <c r="R957" s="18" t="str">
        <f aca="false">IF(J957="","",J957^2)</f>
        <v/>
      </c>
    </row>
    <row r="958" customFormat="false" ht="15" hidden="false" customHeight="false" outlineLevel="0" collapsed="false">
      <c r="A958" s="16"/>
      <c r="B958" s="17"/>
      <c r="C958" s="17"/>
      <c r="D958" s="17"/>
      <c r="E958" s="17"/>
      <c r="F958" s="17"/>
      <c r="G958" s="17"/>
      <c r="H958" s="17"/>
      <c r="I958" s="17"/>
      <c r="J958" s="18" t="str">
        <f aca="false">IF(COUNT(E958:I958)&lt;5,"",SUM(E958:I958))</f>
        <v/>
      </c>
      <c r="K958" s="18" t="str">
        <f aca="false">IF(J958="","",IF(M958&lt;설정!$B$3,"",ROUND(AVERAGEIFS($J$2:$J$1001,$B$2:$B$1001,B958,$A$2:$A$1001,"&lt;"&amp;A958,$A$2:$A$1001,"&gt;="&amp;(A958-설정!$B$2)),2)))</f>
        <v/>
      </c>
      <c r="L958" s="18" t="str">
        <f aca="false">IF(K958="","",ROUND(SQRT(MAX(0,(SUMIFS($R$2:$R$1001,$B$2:$B$1001,B958,$A$2:$A$1001,"&lt;"&amp;A958,$A$2:$A$1001,"&gt;="&amp;(A958-설정!$B$2))-M958*AVERAGEIFS($J$2:$J$1001,$B$2:$B$1001,B958,$A$2:$A$1001,"&lt;"&amp;A958,$A$2:$A$1001,"&gt;="&amp;(A958-설정!$B$2))^2)/(M958-1))),2))</f>
        <v/>
      </c>
      <c r="M958" s="18" t="str">
        <f aca="false">IF(J958="","",COUNTIFS($B$2:$B$1001,B958,$A$2:$A$1001,"&lt;"&amp;A958,$A$2:$A$1001,"&gt;="&amp;(A958-설정!$B$2),$J$2:$J$1001,"&gt;=0"))</f>
        <v/>
      </c>
      <c r="N958" s="18" t="str">
        <f aca="false">IF(K958="","",IF(L958=0,"",ROUND((J958-K958)/L958,2)))</f>
        <v/>
      </c>
      <c r="O958" s="19" t="str">
        <f aca="false">IF(J958="","",IF(MIN(F958,G958)&lt;=설정!$B$5,"예",""))</f>
        <v/>
      </c>
      <c r="P958" s="19" t="str">
        <f aca="false">IF(J958="","",IF(M958&lt;설정!$B$3,"baseline 수집 중",IF(N958="","정상",IF(N958&lt;=설정!$B$4,"낮음","정상"))))</f>
        <v/>
      </c>
      <c r="Q958" s="20"/>
      <c r="R958" s="18" t="str">
        <f aca="false">IF(J958="","",J958^2)</f>
        <v/>
      </c>
    </row>
    <row r="959" customFormat="false" ht="15" hidden="false" customHeight="false" outlineLevel="0" collapsed="false">
      <c r="A959" s="16"/>
      <c r="B959" s="17"/>
      <c r="C959" s="17"/>
      <c r="D959" s="17"/>
      <c r="E959" s="17"/>
      <c r="F959" s="17"/>
      <c r="G959" s="17"/>
      <c r="H959" s="17"/>
      <c r="I959" s="17"/>
      <c r="J959" s="18" t="str">
        <f aca="false">IF(COUNT(E959:I959)&lt;5,"",SUM(E959:I959))</f>
        <v/>
      </c>
      <c r="K959" s="18" t="str">
        <f aca="false">IF(J959="","",IF(M959&lt;설정!$B$3,"",ROUND(AVERAGEIFS($J$2:$J$1001,$B$2:$B$1001,B959,$A$2:$A$1001,"&lt;"&amp;A959,$A$2:$A$1001,"&gt;="&amp;(A959-설정!$B$2)),2)))</f>
        <v/>
      </c>
      <c r="L959" s="18" t="str">
        <f aca="false">IF(K959="","",ROUND(SQRT(MAX(0,(SUMIFS($R$2:$R$1001,$B$2:$B$1001,B959,$A$2:$A$1001,"&lt;"&amp;A959,$A$2:$A$1001,"&gt;="&amp;(A959-설정!$B$2))-M959*AVERAGEIFS($J$2:$J$1001,$B$2:$B$1001,B959,$A$2:$A$1001,"&lt;"&amp;A959,$A$2:$A$1001,"&gt;="&amp;(A959-설정!$B$2))^2)/(M959-1))),2))</f>
        <v/>
      </c>
      <c r="M959" s="18" t="str">
        <f aca="false">IF(J959="","",COUNTIFS($B$2:$B$1001,B959,$A$2:$A$1001,"&lt;"&amp;A959,$A$2:$A$1001,"&gt;="&amp;(A959-설정!$B$2),$J$2:$J$1001,"&gt;=0"))</f>
        <v/>
      </c>
      <c r="N959" s="18" t="str">
        <f aca="false">IF(K959="","",IF(L959=0,"",ROUND((J959-K959)/L959,2)))</f>
        <v/>
      </c>
      <c r="O959" s="19" t="str">
        <f aca="false">IF(J959="","",IF(MIN(F959,G959)&lt;=설정!$B$5,"예",""))</f>
        <v/>
      </c>
      <c r="P959" s="19" t="str">
        <f aca="false">IF(J959="","",IF(M959&lt;설정!$B$3,"baseline 수집 중",IF(N959="","정상",IF(N959&lt;=설정!$B$4,"낮음","정상"))))</f>
        <v/>
      </c>
      <c r="Q959" s="20"/>
      <c r="R959" s="18" t="str">
        <f aca="false">IF(J959="","",J959^2)</f>
        <v/>
      </c>
    </row>
    <row r="960" customFormat="false" ht="15" hidden="false" customHeight="false" outlineLevel="0" collapsed="false">
      <c r="A960" s="16"/>
      <c r="B960" s="17"/>
      <c r="C960" s="17"/>
      <c r="D960" s="17"/>
      <c r="E960" s="17"/>
      <c r="F960" s="17"/>
      <c r="G960" s="17"/>
      <c r="H960" s="17"/>
      <c r="I960" s="17"/>
      <c r="J960" s="18" t="str">
        <f aca="false">IF(COUNT(E960:I960)&lt;5,"",SUM(E960:I960))</f>
        <v/>
      </c>
      <c r="K960" s="18" t="str">
        <f aca="false">IF(J960="","",IF(M960&lt;설정!$B$3,"",ROUND(AVERAGEIFS($J$2:$J$1001,$B$2:$B$1001,B960,$A$2:$A$1001,"&lt;"&amp;A960,$A$2:$A$1001,"&gt;="&amp;(A960-설정!$B$2)),2)))</f>
        <v/>
      </c>
      <c r="L960" s="18" t="str">
        <f aca="false">IF(K960="","",ROUND(SQRT(MAX(0,(SUMIFS($R$2:$R$1001,$B$2:$B$1001,B960,$A$2:$A$1001,"&lt;"&amp;A960,$A$2:$A$1001,"&gt;="&amp;(A960-설정!$B$2))-M960*AVERAGEIFS($J$2:$J$1001,$B$2:$B$1001,B960,$A$2:$A$1001,"&lt;"&amp;A960,$A$2:$A$1001,"&gt;="&amp;(A960-설정!$B$2))^2)/(M960-1))),2))</f>
        <v/>
      </c>
      <c r="M960" s="18" t="str">
        <f aca="false">IF(J960="","",COUNTIFS($B$2:$B$1001,B960,$A$2:$A$1001,"&lt;"&amp;A960,$A$2:$A$1001,"&gt;="&amp;(A960-설정!$B$2),$J$2:$J$1001,"&gt;=0"))</f>
        <v/>
      </c>
      <c r="N960" s="18" t="str">
        <f aca="false">IF(K960="","",IF(L960=0,"",ROUND((J960-K960)/L960,2)))</f>
        <v/>
      </c>
      <c r="O960" s="19" t="str">
        <f aca="false">IF(J960="","",IF(MIN(F960,G960)&lt;=설정!$B$5,"예",""))</f>
        <v/>
      </c>
      <c r="P960" s="19" t="str">
        <f aca="false">IF(J960="","",IF(M960&lt;설정!$B$3,"baseline 수집 중",IF(N960="","정상",IF(N960&lt;=설정!$B$4,"낮음","정상"))))</f>
        <v/>
      </c>
      <c r="Q960" s="20"/>
      <c r="R960" s="18" t="str">
        <f aca="false">IF(J960="","",J960^2)</f>
        <v/>
      </c>
    </row>
    <row r="961" customFormat="false" ht="15" hidden="false" customHeight="false" outlineLevel="0" collapsed="false">
      <c r="A961" s="16"/>
      <c r="B961" s="17"/>
      <c r="C961" s="17"/>
      <c r="D961" s="17"/>
      <c r="E961" s="17"/>
      <c r="F961" s="17"/>
      <c r="G961" s="17"/>
      <c r="H961" s="17"/>
      <c r="I961" s="17"/>
      <c r="J961" s="18" t="str">
        <f aca="false">IF(COUNT(E961:I961)&lt;5,"",SUM(E961:I961))</f>
        <v/>
      </c>
      <c r="K961" s="18" t="str">
        <f aca="false">IF(J961="","",IF(M961&lt;설정!$B$3,"",ROUND(AVERAGEIFS($J$2:$J$1001,$B$2:$B$1001,B961,$A$2:$A$1001,"&lt;"&amp;A961,$A$2:$A$1001,"&gt;="&amp;(A961-설정!$B$2)),2)))</f>
        <v/>
      </c>
      <c r="L961" s="18" t="str">
        <f aca="false">IF(K961="","",ROUND(SQRT(MAX(0,(SUMIFS($R$2:$R$1001,$B$2:$B$1001,B961,$A$2:$A$1001,"&lt;"&amp;A961,$A$2:$A$1001,"&gt;="&amp;(A961-설정!$B$2))-M961*AVERAGEIFS($J$2:$J$1001,$B$2:$B$1001,B961,$A$2:$A$1001,"&lt;"&amp;A961,$A$2:$A$1001,"&gt;="&amp;(A961-설정!$B$2))^2)/(M961-1))),2))</f>
        <v/>
      </c>
      <c r="M961" s="18" t="str">
        <f aca="false">IF(J961="","",COUNTIFS($B$2:$B$1001,B961,$A$2:$A$1001,"&lt;"&amp;A961,$A$2:$A$1001,"&gt;="&amp;(A961-설정!$B$2),$J$2:$J$1001,"&gt;=0"))</f>
        <v/>
      </c>
      <c r="N961" s="18" t="str">
        <f aca="false">IF(K961="","",IF(L961=0,"",ROUND((J961-K961)/L961,2)))</f>
        <v/>
      </c>
      <c r="O961" s="19" t="str">
        <f aca="false">IF(J961="","",IF(MIN(F961,G961)&lt;=설정!$B$5,"예",""))</f>
        <v/>
      </c>
      <c r="P961" s="19" t="str">
        <f aca="false">IF(J961="","",IF(M961&lt;설정!$B$3,"baseline 수집 중",IF(N961="","정상",IF(N961&lt;=설정!$B$4,"낮음","정상"))))</f>
        <v/>
      </c>
      <c r="Q961" s="20"/>
      <c r="R961" s="18" t="str">
        <f aca="false">IF(J961="","",J961^2)</f>
        <v/>
      </c>
    </row>
    <row r="962" customFormat="false" ht="15" hidden="false" customHeight="false" outlineLevel="0" collapsed="false">
      <c r="A962" s="16"/>
      <c r="B962" s="17"/>
      <c r="C962" s="17"/>
      <c r="D962" s="17"/>
      <c r="E962" s="17"/>
      <c r="F962" s="17"/>
      <c r="G962" s="17"/>
      <c r="H962" s="17"/>
      <c r="I962" s="17"/>
      <c r="J962" s="18" t="str">
        <f aca="false">IF(COUNT(E962:I962)&lt;5,"",SUM(E962:I962))</f>
        <v/>
      </c>
      <c r="K962" s="18" t="str">
        <f aca="false">IF(J962="","",IF(M962&lt;설정!$B$3,"",ROUND(AVERAGEIFS($J$2:$J$1001,$B$2:$B$1001,B962,$A$2:$A$1001,"&lt;"&amp;A962,$A$2:$A$1001,"&gt;="&amp;(A962-설정!$B$2)),2)))</f>
        <v/>
      </c>
      <c r="L962" s="18" t="str">
        <f aca="false">IF(K962="","",ROUND(SQRT(MAX(0,(SUMIFS($R$2:$R$1001,$B$2:$B$1001,B962,$A$2:$A$1001,"&lt;"&amp;A962,$A$2:$A$1001,"&gt;="&amp;(A962-설정!$B$2))-M962*AVERAGEIFS($J$2:$J$1001,$B$2:$B$1001,B962,$A$2:$A$1001,"&lt;"&amp;A962,$A$2:$A$1001,"&gt;="&amp;(A962-설정!$B$2))^2)/(M962-1))),2))</f>
        <v/>
      </c>
      <c r="M962" s="18" t="str">
        <f aca="false">IF(J962="","",COUNTIFS($B$2:$B$1001,B962,$A$2:$A$1001,"&lt;"&amp;A962,$A$2:$A$1001,"&gt;="&amp;(A962-설정!$B$2),$J$2:$J$1001,"&gt;=0"))</f>
        <v/>
      </c>
      <c r="N962" s="18" t="str">
        <f aca="false">IF(K962="","",IF(L962=0,"",ROUND((J962-K962)/L962,2)))</f>
        <v/>
      </c>
      <c r="O962" s="19" t="str">
        <f aca="false">IF(J962="","",IF(MIN(F962,G962)&lt;=설정!$B$5,"예",""))</f>
        <v/>
      </c>
      <c r="P962" s="19" t="str">
        <f aca="false">IF(J962="","",IF(M962&lt;설정!$B$3,"baseline 수집 중",IF(N962="","정상",IF(N962&lt;=설정!$B$4,"낮음","정상"))))</f>
        <v/>
      </c>
      <c r="Q962" s="20"/>
      <c r="R962" s="18" t="str">
        <f aca="false">IF(J962="","",J962^2)</f>
        <v/>
      </c>
    </row>
    <row r="963" customFormat="false" ht="15" hidden="false" customHeight="false" outlineLevel="0" collapsed="false">
      <c r="A963" s="16"/>
      <c r="B963" s="17"/>
      <c r="C963" s="17"/>
      <c r="D963" s="17"/>
      <c r="E963" s="17"/>
      <c r="F963" s="17"/>
      <c r="G963" s="17"/>
      <c r="H963" s="17"/>
      <c r="I963" s="17"/>
      <c r="J963" s="18" t="str">
        <f aca="false">IF(COUNT(E963:I963)&lt;5,"",SUM(E963:I963))</f>
        <v/>
      </c>
      <c r="K963" s="18" t="str">
        <f aca="false">IF(J963="","",IF(M963&lt;설정!$B$3,"",ROUND(AVERAGEIFS($J$2:$J$1001,$B$2:$B$1001,B963,$A$2:$A$1001,"&lt;"&amp;A963,$A$2:$A$1001,"&gt;="&amp;(A963-설정!$B$2)),2)))</f>
        <v/>
      </c>
      <c r="L963" s="18" t="str">
        <f aca="false">IF(K963="","",ROUND(SQRT(MAX(0,(SUMIFS($R$2:$R$1001,$B$2:$B$1001,B963,$A$2:$A$1001,"&lt;"&amp;A963,$A$2:$A$1001,"&gt;="&amp;(A963-설정!$B$2))-M963*AVERAGEIFS($J$2:$J$1001,$B$2:$B$1001,B963,$A$2:$A$1001,"&lt;"&amp;A963,$A$2:$A$1001,"&gt;="&amp;(A963-설정!$B$2))^2)/(M963-1))),2))</f>
        <v/>
      </c>
      <c r="M963" s="18" t="str">
        <f aca="false">IF(J963="","",COUNTIFS($B$2:$B$1001,B963,$A$2:$A$1001,"&lt;"&amp;A963,$A$2:$A$1001,"&gt;="&amp;(A963-설정!$B$2),$J$2:$J$1001,"&gt;=0"))</f>
        <v/>
      </c>
      <c r="N963" s="18" t="str">
        <f aca="false">IF(K963="","",IF(L963=0,"",ROUND((J963-K963)/L963,2)))</f>
        <v/>
      </c>
      <c r="O963" s="19" t="str">
        <f aca="false">IF(J963="","",IF(MIN(F963,G963)&lt;=설정!$B$5,"예",""))</f>
        <v/>
      </c>
      <c r="P963" s="19" t="str">
        <f aca="false">IF(J963="","",IF(M963&lt;설정!$B$3,"baseline 수집 중",IF(N963="","정상",IF(N963&lt;=설정!$B$4,"낮음","정상"))))</f>
        <v/>
      </c>
      <c r="Q963" s="20"/>
      <c r="R963" s="18" t="str">
        <f aca="false">IF(J963="","",J963^2)</f>
        <v/>
      </c>
    </row>
    <row r="964" customFormat="false" ht="15" hidden="false" customHeight="false" outlineLevel="0" collapsed="false">
      <c r="A964" s="16"/>
      <c r="B964" s="17"/>
      <c r="C964" s="17"/>
      <c r="D964" s="17"/>
      <c r="E964" s="17"/>
      <c r="F964" s="17"/>
      <c r="G964" s="17"/>
      <c r="H964" s="17"/>
      <c r="I964" s="17"/>
      <c r="J964" s="18" t="str">
        <f aca="false">IF(COUNT(E964:I964)&lt;5,"",SUM(E964:I964))</f>
        <v/>
      </c>
      <c r="K964" s="18" t="str">
        <f aca="false">IF(J964="","",IF(M964&lt;설정!$B$3,"",ROUND(AVERAGEIFS($J$2:$J$1001,$B$2:$B$1001,B964,$A$2:$A$1001,"&lt;"&amp;A964,$A$2:$A$1001,"&gt;="&amp;(A964-설정!$B$2)),2)))</f>
        <v/>
      </c>
      <c r="L964" s="18" t="str">
        <f aca="false">IF(K964="","",ROUND(SQRT(MAX(0,(SUMIFS($R$2:$R$1001,$B$2:$B$1001,B964,$A$2:$A$1001,"&lt;"&amp;A964,$A$2:$A$1001,"&gt;="&amp;(A964-설정!$B$2))-M964*AVERAGEIFS($J$2:$J$1001,$B$2:$B$1001,B964,$A$2:$A$1001,"&lt;"&amp;A964,$A$2:$A$1001,"&gt;="&amp;(A964-설정!$B$2))^2)/(M964-1))),2))</f>
        <v/>
      </c>
      <c r="M964" s="18" t="str">
        <f aca="false">IF(J964="","",COUNTIFS($B$2:$B$1001,B964,$A$2:$A$1001,"&lt;"&amp;A964,$A$2:$A$1001,"&gt;="&amp;(A964-설정!$B$2),$J$2:$J$1001,"&gt;=0"))</f>
        <v/>
      </c>
      <c r="N964" s="18" t="str">
        <f aca="false">IF(K964="","",IF(L964=0,"",ROUND((J964-K964)/L964,2)))</f>
        <v/>
      </c>
      <c r="O964" s="19" t="str">
        <f aca="false">IF(J964="","",IF(MIN(F964,G964)&lt;=설정!$B$5,"예",""))</f>
        <v/>
      </c>
      <c r="P964" s="19" t="str">
        <f aca="false">IF(J964="","",IF(M964&lt;설정!$B$3,"baseline 수집 중",IF(N964="","정상",IF(N964&lt;=설정!$B$4,"낮음","정상"))))</f>
        <v/>
      </c>
      <c r="Q964" s="20"/>
      <c r="R964" s="18" t="str">
        <f aca="false">IF(J964="","",J964^2)</f>
        <v/>
      </c>
    </row>
    <row r="965" customFormat="false" ht="15" hidden="false" customHeight="false" outlineLevel="0" collapsed="false">
      <c r="A965" s="16"/>
      <c r="B965" s="17"/>
      <c r="C965" s="17"/>
      <c r="D965" s="17"/>
      <c r="E965" s="17"/>
      <c r="F965" s="17"/>
      <c r="G965" s="17"/>
      <c r="H965" s="17"/>
      <c r="I965" s="17"/>
      <c r="J965" s="18" t="str">
        <f aca="false">IF(COUNT(E965:I965)&lt;5,"",SUM(E965:I965))</f>
        <v/>
      </c>
      <c r="K965" s="18" t="str">
        <f aca="false">IF(J965="","",IF(M965&lt;설정!$B$3,"",ROUND(AVERAGEIFS($J$2:$J$1001,$B$2:$B$1001,B965,$A$2:$A$1001,"&lt;"&amp;A965,$A$2:$A$1001,"&gt;="&amp;(A965-설정!$B$2)),2)))</f>
        <v/>
      </c>
      <c r="L965" s="18" t="str">
        <f aca="false">IF(K965="","",ROUND(SQRT(MAX(0,(SUMIFS($R$2:$R$1001,$B$2:$B$1001,B965,$A$2:$A$1001,"&lt;"&amp;A965,$A$2:$A$1001,"&gt;="&amp;(A965-설정!$B$2))-M965*AVERAGEIFS($J$2:$J$1001,$B$2:$B$1001,B965,$A$2:$A$1001,"&lt;"&amp;A965,$A$2:$A$1001,"&gt;="&amp;(A965-설정!$B$2))^2)/(M965-1))),2))</f>
        <v/>
      </c>
      <c r="M965" s="18" t="str">
        <f aca="false">IF(J965="","",COUNTIFS($B$2:$B$1001,B965,$A$2:$A$1001,"&lt;"&amp;A965,$A$2:$A$1001,"&gt;="&amp;(A965-설정!$B$2),$J$2:$J$1001,"&gt;=0"))</f>
        <v/>
      </c>
      <c r="N965" s="18" t="str">
        <f aca="false">IF(K965="","",IF(L965=0,"",ROUND((J965-K965)/L965,2)))</f>
        <v/>
      </c>
      <c r="O965" s="19" t="str">
        <f aca="false">IF(J965="","",IF(MIN(F965,G965)&lt;=설정!$B$5,"예",""))</f>
        <v/>
      </c>
      <c r="P965" s="19" t="str">
        <f aca="false">IF(J965="","",IF(M965&lt;설정!$B$3,"baseline 수집 중",IF(N965="","정상",IF(N965&lt;=설정!$B$4,"낮음","정상"))))</f>
        <v/>
      </c>
      <c r="Q965" s="20"/>
      <c r="R965" s="18" t="str">
        <f aca="false">IF(J965="","",J965^2)</f>
        <v/>
      </c>
    </row>
    <row r="966" customFormat="false" ht="15" hidden="false" customHeight="false" outlineLevel="0" collapsed="false">
      <c r="A966" s="16"/>
      <c r="B966" s="17"/>
      <c r="C966" s="17"/>
      <c r="D966" s="17"/>
      <c r="E966" s="17"/>
      <c r="F966" s="17"/>
      <c r="G966" s="17"/>
      <c r="H966" s="17"/>
      <c r="I966" s="17"/>
      <c r="J966" s="18" t="str">
        <f aca="false">IF(COUNT(E966:I966)&lt;5,"",SUM(E966:I966))</f>
        <v/>
      </c>
      <c r="K966" s="18" t="str">
        <f aca="false">IF(J966="","",IF(M966&lt;설정!$B$3,"",ROUND(AVERAGEIFS($J$2:$J$1001,$B$2:$B$1001,B966,$A$2:$A$1001,"&lt;"&amp;A966,$A$2:$A$1001,"&gt;="&amp;(A966-설정!$B$2)),2)))</f>
        <v/>
      </c>
      <c r="L966" s="18" t="str">
        <f aca="false">IF(K966="","",ROUND(SQRT(MAX(0,(SUMIFS($R$2:$R$1001,$B$2:$B$1001,B966,$A$2:$A$1001,"&lt;"&amp;A966,$A$2:$A$1001,"&gt;="&amp;(A966-설정!$B$2))-M966*AVERAGEIFS($J$2:$J$1001,$B$2:$B$1001,B966,$A$2:$A$1001,"&lt;"&amp;A966,$A$2:$A$1001,"&gt;="&amp;(A966-설정!$B$2))^2)/(M966-1))),2))</f>
        <v/>
      </c>
      <c r="M966" s="18" t="str">
        <f aca="false">IF(J966="","",COUNTIFS($B$2:$B$1001,B966,$A$2:$A$1001,"&lt;"&amp;A966,$A$2:$A$1001,"&gt;="&amp;(A966-설정!$B$2),$J$2:$J$1001,"&gt;=0"))</f>
        <v/>
      </c>
      <c r="N966" s="18" t="str">
        <f aca="false">IF(K966="","",IF(L966=0,"",ROUND((J966-K966)/L966,2)))</f>
        <v/>
      </c>
      <c r="O966" s="19" t="str">
        <f aca="false">IF(J966="","",IF(MIN(F966,G966)&lt;=설정!$B$5,"예",""))</f>
        <v/>
      </c>
      <c r="P966" s="19" t="str">
        <f aca="false">IF(J966="","",IF(M966&lt;설정!$B$3,"baseline 수집 중",IF(N966="","정상",IF(N966&lt;=설정!$B$4,"낮음","정상"))))</f>
        <v/>
      </c>
      <c r="Q966" s="20"/>
      <c r="R966" s="18" t="str">
        <f aca="false">IF(J966="","",J966^2)</f>
        <v/>
      </c>
    </row>
    <row r="967" customFormat="false" ht="15" hidden="false" customHeight="false" outlineLevel="0" collapsed="false">
      <c r="A967" s="16"/>
      <c r="B967" s="17"/>
      <c r="C967" s="17"/>
      <c r="D967" s="17"/>
      <c r="E967" s="17"/>
      <c r="F967" s="17"/>
      <c r="G967" s="17"/>
      <c r="H967" s="17"/>
      <c r="I967" s="17"/>
      <c r="J967" s="18" t="str">
        <f aca="false">IF(COUNT(E967:I967)&lt;5,"",SUM(E967:I967))</f>
        <v/>
      </c>
      <c r="K967" s="18" t="str">
        <f aca="false">IF(J967="","",IF(M967&lt;설정!$B$3,"",ROUND(AVERAGEIFS($J$2:$J$1001,$B$2:$B$1001,B967,$A$2:$A$1001,"&lt;"&amp;A967,$A$2:$A$1001,"&gt;="&amp;(A967-설정!$B$2)),2)))</f>
        <v/>
      </c>
      <c r="L967" s="18" t="str">
        <f aca="false">IF(K967="","",ROUND(SQRT(MAX(0,(SUMIFS($R$2:$R$1001,$B$2:$B$1001,B967,$A$2:$A$1001,"&lt;"&amp;A967,$A$2:$A$1001,"&gt;="&amp;(A967-설정!$B$2))-M967*AVERAGEIFS($J$2:$J$1001,$B$2:$B$1001,B967,$A$2:$A$1001,"&lt;"&amp;A967,$A$2:$A$1001,"&gt;="&amp;(A967-설정!$B$2))^2)/(M967-1))),2))</f>
        <v/>
      </c>
      <c r="M967" s="18" t="str">
        <f aca="false">IF(J967="","",COUNTIFS($B$2:$B$1001,B967,$A$2:$A$1001,"&lt;"&amp;A967,$A$2:$A$1001,"&gt;="&amp;(A967-설정!$B$2),$J$2:$J$1001,"&gt;=0"))</f>
        <v/>
      </c>
      <c r="N967" s="18" t="str">
        <f aca="false">IF(K967="","",IF(L967=0,"",ROUND((J967-K967)/L967,2)))</f>
        <v/>
      </c>
      <c r="O967" s="19" t="str">
        <f aca="false">IF(J967="","",IF(MIN(F967,G967)&lt;=설정!$B$5,"예",""))</f>
        <v/>
      </c>
      <c r="P967" s="19" t="str">
        <f aca="false">IF(J967="","",IF(M967&lt;설정!$B$3,"baseline 수집 중",IF(N967="","정상",IF(N967&lt;=설정!$B$4,"낮음","정상"))))</f>
        <v/>
      </c>
      <c r="Q967" s="20"/>
      <c r="R967" s="18" t="str">
        <f aca="false">IF(J967="","",J967^2)</f>
        <v/>
      </c>
    </row>
    <row r="968" customFormat="false" ht="15" hidden="false" customHeight="false" outlineLevel="0" collapsed="false">
      <c r="A968" s="16"/>
      <c r="B968" s="17"/>
      <c r="C968" s="17"/>
      <c r="D968" s="17"/>
      <c r="E968" s="17"/>
      <c r="F968" s="17"/>
      <c r="G968" s="17"/>
      <c r="H968" s="17"/>
      <c r="I968" s="17"/>
      <c r="J968" s="18" t="str">
        <f aca="false">IF(COUNT(E968:I968)&lt;5,"",SUM(E968:I968))</f>
        <v/>
      </c>
      <c r="K968" s="18" t="str">
        <f aca="false">IF(J968="","",IF(M968&lt;설정!$B$3,"",ROUND(AVERAGEIFS($J$2:$J$1001,$B$2:$B$1001,B968,$A$2:$A$1001,"&lt;"&amp;A968,$A$2:$A$1001,"&gt;="&amp;(A968-설정!$B$2)),2)))</f>
        <v/>
      </c>
      <c r="L968" s="18" t="str">
        <f aca="false">IF(K968="","",ROUND(SQRT(MAX(0,(SUMIFS($R$2:$R$1001,$B$2:$B$1001,B968,$A$2:$A$1001,"&lt;"&amp;A968,$A$2:$A$1001,"&gt;="&amp;(A968-설정!$B$2))-M968*AVERAGEIFS($J$2:$J$1001,$B$2:$B$1001,B968,$A$2:$A$1001,"&lt;"&amp;A968,$A$2:$A$1001,"&gt;="&amp;(A968-설정!$B$2))^2)/(M968-1))),2))</f>
        <v/>
      </c>
      <c r="M968" s="18" t="str">
        <f aca="false">IF(J968="","",COUNTIFS($B$2:$B$1001,B968,$A$2:$A$1001,"&lt;"&amp;A968,$A$2:$A$1001,"&gt;="&amp;(A968-설정!$B$2),$J$2:$J$1001,"&gt;=0"))</f>
        <v/>
      </c>
      <c r="N968" s="18" t="str">
        <f aca="false">IF(K968="","",IF(L968=0,"",ROUND((J968-K968)/L968,2)))</f>
        <v/>
      </c>
      <c r="O968" s="19" t="str">
        <f aca="false">IF(J968="","",IF(MIN(F968,G968)&lt;=설정!$B$5,"예",""))</f>
        <v/>
      </c>
      <c r="P968" s="19" t="str">
        <f aca="false">IF(J968="","",IF(M968&lt;설정!$B$3,"baseline 수집 중",IF(N968="","정상",IF(N968&lt;=설정!$B$4,"낮음","정상"))))</f>
        <v/>
      </c>
      <c r="Q968" s="20"/>
      <c r="R968" s="18" t="str">
        <f aca="false">IF(J968="","",J968^2)</f>
        <v/>
      </c>
    </row>
    <row r="969" customFormat="false" ht="15" hidden="false" customHeight="false" outlineLevel="0" collapsed="false">
      <c r="A969" s="16"/>
      <c r="B969" s="17"/>
      <c r="C969" s="17"/>
      <c r="D969" s="17"/>
      <c r="E969" s="17"/>
      <c r="F969" s="17"/>
      <c r="G969" s="17"/>
      <c r="H969" s="17"/>
      <c r="I969" s="17"/>
      <c r="J969" s="18" t="str">
        <f aca="false">IF(COUNT(E969:I969)&lt;5,"",SUM(E969:I969))</f>
        <v/>
      </c>
      <c r="K969" s="18" t="str">
        <f aca="false">IF(J969="","",IF(M969&lt;설정!$B$3,"",ROUND(AVERAGEIFS($J$2:$J$1001,$B$2:$B$1001,B969,$A$2:$A$1001,"&lt;"&amp;A969,$A$2:$A$1001,"&gt;="&amp;(A969-설정!$B$2)),2)))</f>
        <v/>
      </c>
      <c r="L969" s="18" t="str">
        <f aca="false">IF(K969="","",ROUND(SQRT(MAX(0,(SUMIFS($R$2:$R$1001,$B$2:$B$1001,B969,$A$2:$A$1001,"&lt;"&amp;A969,$A$2:$A$1001,"&gt;="&amp;(A969-설정!$B$2))-M969*AVERAGEIFS($J$2:$J$1001,$B$2:$B$1001,B969,$A$2:$A$1001,"&lt;"&amp;A969,$A$2:$A$1001,"&gt;="&amp;(A969-설정!$B$2))^2)/(M969-1))),2))</f>
        <v/>
      </c>
      <c r="M969" s="18" t="str">
        <f aca="false">IF(J969="","",COUNTIFS($B$2:$B$1001,B969,$A$2:$A$1001,"&lt;"&amp;A969,$A$2:$A$1001,"&gt;="&amp;(A969-설정!$B$2),$J$2:$J$1001,"&gt;=0"))</f>
        <v/>
      </c>
      <c r="N969" s="18" t="str">
        <f aca="false">IF(K969="","",IF(L969=0,"",ROUND((J969-K969)/L969,2)))</f>
        <v/>
      </c>
      <c r="O969" s="19" t="str">
        <f aca="false">IF(J969="","",IF(MIN(F969,G969)&lt;=설정!$B$5,"예",""))</f>
        <v/>
      </c>
      <c r="P969" s="19" t="str">
        <f aca="false">IF(J969="","",IF(M969&lt;설정!$B$3,"baseline 수집 중",IF(N969="","정상",IF(N969&lt;=설정!$B$4,"낮음","정상"))))</f>
        <v/>
      </c>
      <c r="Q969" s="20"/>
      <c r="R969" s="18" t="str">
        <f aca="false">IF(J969="","",J969^2)</f>
        <v/>
      </c>
    </row>
    <row r="970" customFormat="false" ht="15" hidden="false" customHeight="false" outlineLevel="0" collapsed="false">
      <c r="A970" s="16"/>
      <c r="B970" s="17"/>
      <c r="C970" s="17"/>
      <c r="D970" s="17"/>
      <c r="E970" s="17"/>
      <c r="F970" s="17"/>
      <c r="G970" s="17"/>
      <c r="H970" s="17"/>
      <c r="I970" s="17"/>
      <c r="J970" s="18" t="str">
        <f aca="false">IF(COUNT(E970:I970)&lt;5,"",SUM(E970:I970))</f>
        <v/>
      </c>
      <c r="K970" s="18" t="str">
        <f aca="false">IF(J970="","",IF(M970&lt;설정!$B$3,"",ROUND(AVERAGEIFS($J$2:$J$1001,$B$2:$B$1001,B970,$A$2:$A$1001,"&lt;"&amp;A970,$A$2:$A$1001,"&gt;="&amp;(A970-설정!$B$2)),2)))</f>
        <v/>
      </c>
      <c r="L970" s="18" t="str">
        <f aca="false">IF(K970="","",ROUND(SQRT(MAX(0,(SUMIFS($R$2:$R$1001,$B$2:$B$1001,B970,$A$2:$A$1001,"&lt;"&amp;A970,$A$2:$A$1001,"&gt;="&amp;(A970-설정!$B$2))-M970*AVERAGEIFS($J$2:$J$1001,$B$2:$B$1001,B970,$A$2:$A$1001,"&lt;"&amp;A970,$A$2:$A$1001,"&gt;="&amp;(A970-설정!$B$2))^2)/(M970-1))),2))</f>
        <v/>
      </c>
      <c r="M970" s="18" t="str">
        <f aca="false">IF(J970="","",COUNTIFS($B$2:$B$1001,B970,$A$2:$A$1001,"&lt;"&amp;A970,$A$2:$A$1001,"&gt;="&amp;(A970-설정!$B$2),$J$2:$J$1001,"&gt;=0"))</f>
        <v/>
      </c>
      <c r="N970" s="18" t="str">
        <f aca="false">IF(K970="","",IF(L970=0,"",ROUND((J970-K970)/L970,2)))</f>
        <v/>
      </c>
      <c r="O970" s="19" t="str">
        <f aca="false">IF(J970="","",IF(MIN(F970,G970)&lt;=설정!$B$5,"예",""))</f>
        <v/>
      </c>
      <c r="P970" s="19" t="str">
        <f aca="false">IF(J970="","",IF(M970&lt;설정!$B$3,"baseline 수집 중",IF(N970="","정상",IF(N970&lt;=설정!$B$4,"낮음","정상"))))</f>
        <v/>
      </c>
      <c r="Q970" s="20"/>
      <c r="R970" s="18" t="str">
        <f aca="false">IF(J970="","",J970^2)</f>
        <v/>
      </c>
    </row>
    <row r="971" customFormat="false" ht="15" hidden="false" customHeight="false" outlineLevel="0" collapsed="false">
      <c r="A971" s="16"/>
      <c r="B971" s="17"/>
      <c r="C971" s="17"/>
      <c r="D971" s="17"/>
      <c r="E971" s="17"/>
      <c r="F971" s="17"/>
      <c r="G971" s="17"/>
      <c r="H971" s="17"/>
      <c r="I971" s="17"/>
      <c r="J971" s="18" t="str">
        <f aca="false">IF(COUNT(E971:I971)&lt;5,"",SUM(E971:I971))</f>
        <v/>
      </c>
      <c r="K971" s="18" t="str">
        <f aca="false">IF(J971="","",IF(M971&lt;설정!$B$3,"",ROUND(AVERAGEIFS($J$2:$J$1001,$B$2:$B$1001,B971,$A$2:$A$1001,"&lt;"&amp;A971,$A$2:$A$1001,"&gt;="&amp;(A971-설정!$B$2)),2)))</f>
        <v/>
      </c>
      <c r="L971" s="18" t="str">
        <f aca="false">IF(K971="","",ROUND(SQRT(MAX(0,(SUMIFS($R$2:$R$1001,$B$2:$B$1001,B971,$A$2:$A$1001,"&lt;"&amp;A971,$A$2:$A$1001,"&gt;="&amp;(A971-설정!$B$2))-M971*AVERAGEIFS($J$2:$J$1001,$B$2:$B$1001,B971,$A$2:$A$1001,"&lt;"&amp;A971,$A$2:$A$1001,"&gt;="&amp;(A971-설정!$B$2))^2)/(M971-1))),2))</f>
        <v/>
      </c>
      <c r="M971" s="18" t="str">
        <f aca="false">IF(J971="","",COUNTIFS($B$2:$B$1001,B971,$A$2:$A$1001,"&lt;"&amp;A971,$A$2:$A$1001,"&gt;="&amp;(A971-설정!$B$2),$J$2:$J$1001,"&gt;=0"))</f>
        <v/>
      </c>
      <c r="N971" s="18" t="str">
        <f aca="false">IF(K971="","",IF(L971=0,"",ROUND((J971-K971)/L971,2)))</f>
        <v/>
      </c>
      <c r="O971" s="19" t="str">
        <f aca="false">IF(J971="","",IF(MIN(F971,G971)&lt;=설정!$B$5,"예",""))</f>
        <v/>
      </c>
      <c r="P971" s="19" t="str">
        <f aca="false">IF(J971="","",IF(M971&lt;설정!$B$3,"baseline 수집 중",IF(N971="","정상",IF(N971&lt;=설정!$B$4,"낮음","정상"))))</f>
        <v/>
      </c>
      <c r="Q971" s="20"/>
      <c r="R971" s="18" t="str">
        <f aca="false">IF(J971="","",J971^2)</f>
        <v/>
      </c>
    </row>
    <row r="972" customFormat="false" ht="15" hidden="false" customHeight="false" outlineLevel="0" collapsed="false">
      <c r="A972" s="16"/>
      <c r="B972" s="17"/>
      <c r="C972" s="17"/>
      <c r="D972" s="17"/>
      <c r="E972" s="17"/>
      <c r="F972" s="17"/>
      <c r="G972" s="17"/>
      <c r="H972" s="17"/>
      <c r="I972" s="17"/>
      <c r="J972" s="18" t="str">
        <f aca="false">IF(COUNT(E972:I972)&lt;5,"",SUM(E972:I972))</f>
        <v/>
      </c>
      <c r="K972" s="18" t="str">
        <f aca="false">IF(J972="","",IF(M972&lt;설정!$B$3,"",ROUND(AVERAGEIFS($J$2:$J$1001,$B$2:$B$1001,B972,$A$2:$A$1001,"&lt;"&amp;A972,$A$2:$A$1001,"&gt;="&amp;(A972-설정!$B$2)),2)))</f>
        <v/>
      </c>
      <c r="L972" s="18" t="str">
        <f aca="false">IF(K972="","",ROUND(SQRT(MAX(0,(SUMIFS($R$2:$R$1001,$B$2:$B$1001,B972,$A$2:$A$1001,"&lt;"&amp;A972,$A$2:$A$1001,"&gt;="&amp;(A972-설정!$B$2))-M972*AVERAGEIFS($J$2:$J$1001,$B$2:$B$1001,B972,$A$2:$A$1001,"&lt;"&amp;A972,$A$2:$A$1001,"&gt;="&amp;(A972-설정!$B$2))^2)/(M972-1))),2))</f>
        <v/>
      </c>
      <c r="M972" s="18" t="str">
        <f aca="false">IF(J972="","",COUNTIFS($B$2:$B$1001,B972,$A$2:$A$1001,"&lt;"&amp;A972,$A$2:$A$1001,"&gt;="&amp;(A972-설정!$B$2),$J$2:$J$1001,"&gt;=0"))</f>
        <v/>
      </c>
      <c r="N972" s="18" t="str">
        <f aca="false">IF(K972="","",IF(L972=0,"",ROUND((J972-K972)/L972,2)))</f>
        <v/>
      </c>
      <c r="O972" s="19" t="str">
        <f aca="false">IF(J972="","",IF(MIN(F972,G972)&lt;=설정!$B$5,"예",""))</f>
        <v/>
      </c>
      <c r="P972" s="19" t="str">
        <f aca="false">IF(J972="","",IF(M972&lt;설정!$B$3,"baseline 수집 중",IF(N972="","정상",IF(N972&lt;=설정!$B$4,"낮음","정상"))))</f>
        <v/>
      </c>
      <c r="Q972" s="20"/>
      <c r="R972" s="18" t="str">
        <f aca="false">IF(J972="","",J972^2)</f>
        <v/>
      </c>
    </row>
    <row r="973" customFormat="false" ht="15" hidden="false" customHeight="false" outlineLevel="0" collapsed="false">
      <c r="A973" s="16"/>
      <c r="B973" s="17"/>
      <c r="C973" s="17"/>
      <c r="D973" s="17"/>
      <c r="E973" s="17"/>
      <c r="F973" s="17"/>
      <c r="G973" s="17"/>
      <c r="H973" s="17"/>
      <c r="I973" s="17"/>
      <c r="J973" s="18" t="str">
        <f aca="false">IF(COUNT(E973:I973)&lt;5,"",SUM(E973:I973))</f>
        <v/>
      </c>
      <c r="K973" s="18" t="str">
        <f aca="false">IF(J973="","",IF(M973&lt;설정!$B$3,"",ROUND(AVERAGEIFS($J$2:$J$1001,$B$2:$B$1001,B973,$A$2:$A$1001,"&lt;"&amp;A973,$A$2:$A$1001,"&gt;="&amp;(A973-설정!$B$2)),2)))</f>
        <v/>
      </c>
      <c r="L973" s="18" t="str">
        <f aca="false">IF(K973="","",ROUND(SQRT(MAX(0,(SUMIFS($R$2:$R$1001,$B$2:$B$1001,B973,$A$2:$A$1001,"&lt;"&amp;A973,$A$2:$A$1001,"&gt;="&amp;(A973-설정!$B$2))-M973*AVERAGEIFS($J$2:$J$1001,$B$2:$B$1001,B973,$A$2:$A$1001,"&lt;"&amp;A973,$A$2:$A$1001,"&gt;="&amp;(A973-설정!$B$2))^2)/(M973-1))),2))</f>
        <v/>
      </c>
      <c r="M973" s="18" t="str">
        <f aca="false">IF(J973="","",COUNTIFS($B$2:$B$1001,B973,$A$2:$A$1001,"&lt;"&amp;A973,$A$2:$A$1001,"&gt;="&amp;(A973-설정!$B$2),$J$2:$J$1001,"&gt;=0"))</f>
        <v/>
      </c>
      <c r="N973" s="18" t="str">
        <f aca="false">IF(K973="","",IF(L973=0,"",ROUND((J973-K973)/L973,2)))</f>
        <v/>
      </c>
      <c r="O973" s="19" t="str">
        <f aca="false">IF(J973="","",IF(MIN(F973,G973)&lt;=설정!$B$5,"예",""))</f>
        <v/>
      </c>
      <c r="P973" s="19" t="str">
        <f aca="false">IF(J973="","",IF(M973&lt;설정!$B$3,"baseline 수집 중",IF(N973="","정상",IF(N973&lt;=설정!$B$4,"낮음","정상"))))</f>
        <v/>
      </c>
      <c r="Q973" s="20"/>
      <c r="R973" s="18" t="str">
        <f aca="false">IF(J973="","",J973^2)</f>
        <v/>
      </c>
    </row>
    <row r="974" customFormat="false" ht="15" hidden="false" customHeight="false" outlineLevel="0" collapsed="false">
      <c r="A974" s="16"/>
      <c r="B974" s="17"/>
      <c r="C974" s="17"/>
      <c r="D974" s="17"/>
      <c r="E974" s="17"/>
      <c r="F974" s="17"/>
      <c r="G974" s="17"/>
      <c r="H974" s="17"/>
      <c r="I974" s="17"/>
      <c r="J974" s="18" t="str">
        <f aca="false">IF(COUNT(E974:I974)&lt;5,"",SUM(E974:I974))</f>
        <v/>
      </c>
      <c r="K974" s="18" t="str">
        <f aca="false">IF(J974="","",IF(M974&lt;설정!$B$3,"",ROUND(AVERAGEIFS($J$2:$J$1001,$B$2:$B$1001,B974,$A$2:$A$1001,"&lt;"&amp;A974,$A$2:$A$1001,"&gt;="&amp;(A974-설정!$B$2)),2)))</f>
        <v/>
      </c>
      <c r="L974" s="18" t="str">
        <f aca="false">IF(K974="","",ROUND(SQRT(MAX(0,(SUMIFS($R$2:$R$1001,$B$2:$B$1001,B974,$A$2:$A$1001,"&lt;"&amp;A974,$A$2:$A$1001,"&gt;="&amp;(A974-설정!$B$2))-M974*AVERAGEIFS($J$2:$J$1001,$B$2:$B$1001,B974,$A$2:$A$1001,"&lt;"&amp;A974,$A$2:$A$1001,"&gt;="&amp;(A974-설정!$B$2))^2)/(M974-1))),2))</f>
        <v/>
      </c>
      <c r="M974" s="18" t="str">
        <f aca="false">IF(J974="","",COUNTIFS($B$2:$B$1001,B974,$A$2:$A$1001,"&lt;"&amp;A974,$A$2:$A$1001,"&gt;="&amp;(A974-설정!$B$2),$J$2:$J$1001,"&gt;=0"))</f>
        <v/>
      </c>
      <c r="N974" s="18" t="str">
        <f aca="false">IF(K974="","",IF(L974=0,"",ROUND((J974-K974)/L974,2)))</f>
        <v/>
      </c>
      <c r="O974" s="19" t="str">
        <f aca="false">IF(J974="","",IF(MIN(F974,G974)&lt;=설정!$B$5,"예",""))</f>
        <v/>
      </c>
      <c r="P974" s="19" t="str">
        <f aca="false">IF(J974="","",IF(M974&lt;설정!$B$3,"baseline 수집 중",IF(N974="","정상",IF(N974&lt;=설정!$B$4,"낮음","정상"))))</f>
        <v/>
      </c>
      <c r="Q974" s="20"/>
      <c r="R974" s="18" t="str">
        <f aca="false">IF(J974="","",J974^2)</f>
        <v/>
      </c>
    </row>
    <row r="975" customFormat="false" ht="15" hidden="false" customHeight="false" outlineLevel="0" collapsed="false">
      <c r="A975" s="16"/>
      <c r="B975" s="17"/>
      <c r="C975" s="17"/>
      <c r="D975" s="17"/>
      <c r="E975" s="17"/>
      <c r="F975" s="17"/>
      <c r="G975" s="17"/>
      <c r="H975" s="17"/>
      <c r="I975" s="17"/>
      <c r="J975" s="18" t="str">
        <f aca="false">IF(COUNT(E975:I975)&lt;5,"",SUM(E975:I975))</f>
        <v/>
      </c>
      <c r="K975" s="18" t="str">
        <f aca="false">IF(J975="","",IF(M975&lt;설정!$B$3,"",ROUND(AVERAGEIFS($J$2:$J$1001,$B$2:$B$1001,B975,$A$2:$A$1001,"&lt;"&amp;A975,$A$2:$A$1001,"&gt;="&amp;(A975-설정!$B$2)),2)))</f>
        <v/>
      </c>
      <c r="L975" s="18" t="str">
        <f aca="false">IF(K975="","",ROUND(SQRT(MAX(0,(SUMIFS($R$2:$R$1001,$B$2:$B$1001,B975,$A$2:$A$1001,"&lt;"&amp;A975,$A$2:$A$1001,"&gt;="&amp;(A975-설정!$B$2))-M975*AVERAGEIFS($J$2:$J$1001,$B$2:$B$1001,B975,$A$2:$A$1001,"&lt;"&amp;A975,$A$2:$A$1001,"&gt;="&amp;(A975-설정!$B$2))^2)/(M975-1))),2))</f>
        <v/>
      </c>
      <c r="M975" s="18" t="str">
        <f aca="false">IF(J975="","",COUNTIFS($B$2:$B$1001,B975,$A$2:$A$1001,"&lt;"&amp;A975,$A$2:$A$1001,"&gt;="&amp;(A975-설정!$B$2),$J$2:$J$1001,"&gt;=0"))</f>
        <v/>
      </c>
      <c r="N975" s="18" t="str">
        <f aca="false">IF(K975="","",IF(L975=0,"",ROUND((J975-K975)/L975,2)))</f>
        <v/>
      </c>
      <c r="O975" s="19" t="str">
        <f aca="false">IF(J975="","",IF(MIN(F975,G975)&lt;=설정!$B$5,"예",""))</f>
        <v/>
      </c>
      <c r="P975" s="19" t="str">
        <f aca="false">IF(J975="","",IF(M975&lt;설정!$B$3,"baseline 수집 중",IF(N975="","정상",IF(N975&lt;=설정!$B$4,"낮음","정상"))))</f>
        <v/>
      </c>
      <c r="Q975" s="20"/>
      <c r="R975" s="18" t="str">
        <f aca="false">IF(J975="","",J975^2)</f>
        <v/>
      </c>
    </row>
    <row r="976" customFormat="false" ht="15" hidden="false" customHeight="false" outlineLevel="0" collapsed="false">
      <c r="A976" s="16"/>
      <c r="B976" s="17"/>
      <c r="C976" s="17"/>
      <c r="D976" s="17"/>
      <c r="E976" s="17"/>
      <c r="F976" s="17"/>
      <c r="G976" s="17"/>
      <c r="H976" s="17"/>
      <c r="I976" s="17"/>
      <c r="J976" s="18" t="str">
        <f aca="false">IF(COUNT(E976:I976)&lt;5,"",SUM(E976:I976))</f>
        <v/>
      </c>
      <c r="K976" s="18" t="str">
        <f aca="false">IF(J976="","",IF(M976&lt;설정!$B$3,"",ROUND(AVERAGEIFS($J$2:$J$1001,$B$2:$B$1001,B976,$A$2:$A$1001,"&lt;"&amp;A976,$A$2:$A$1001,"&gt;="&amp;(A976-설정!$B$2)),2)))</f>
        <v/>
      </c>
      <c r="L976" s="18" t="str">
        <f aca="false">IF(K976="","",ROUND(SQRT(MAX(0,(SUMIFS($R$2:$R$1001,$B$2:$B$1001,B976,$A$2:$A$1001,"&lt;"&amp;A976,$A$2:$A$1001,"&gt;="&amp;(A976-설정!$B$2))-M976*AVERAGEIFS($J$2:$J$1001,$B$2:$B$1001,B976,$A$2:$A$1001,"&lt;"&amp;A976,$A$2:$A$1001,"&gt;="&amp;(A976-설정!$B$2))^2)/(M976-1))),2))</f>
        <v/>
      </c>
      <c r="M976" s="18" t="str">
        <f aca="false">IF(J976="","",COUNTIFS($B$2:$B$1001,B976,$A$2:$A$1001,"&lt;"&amp;A976,$A$2:$A$1001,"&gt;="&amp;(A976-설정!$B$2),$J$2:$J$1001,"&gt;=0"))</f>
        <v/>
      </c>
      <c r="N976" s="18" t="str">
        <f aca="false">IF(K976="","",IF(L976=0,"",ROUND((J976-K976)/L976,2)))</f>
        <v/>
      </c>
      <c r="O976" s="19" t="str">
        <f aca="false">IF(J976="","",IF(MIN(F976,G976)&lt;=설정!$B$5,"예",""))</f>
        <v/>
      </c>
      <c r="P976" s="19" t="str">
        <f aca="false">IF(J976="","",IF(M976&lt;설정!$B$3,"baseline 수집 중",IF(N976="","정상",IF(N976&lt;=설정!$B$4,"낮음","정상"))))</f>
        <v/>
      </c>
      <c r="Q976" s="20"/>
      <c r="R976" s="18" t="str">
        <f aca="false">IF(J976="","",J976^2)</f>
        <v/>
      </c>
    </row>
    <row r="977" customFormat="false" ht="15" hidden="false" customHeight="false" outlineLevel="0" collapsed="false">
      <c r="A977" s="16"/>
      <c r="B977" s="17"/>
      <c r="C977" s="17"/>
      <c r="D977" s="17"/>
      <c r="E977" s="17"/>
      <c r="F977" s="17"/>
      <c r="G977" s="17"/>
      <c r="H977" s="17"/>
      <c r="I977" s="17"/>
      <c r="J977" s="18" t="str">
        <f aca="false">IF(COUNT(E977:I977)&lt;5,"",SUM(E977:I977))</f>
        <v/>
      </c>
      <c r="K977" s="18" t="str">
        <f aca="false">IF(J977="","",IF(M977&lt;설정!$B$3,"",ROUND(AVERAGEIFS($J$2:$J$1001,$B$2:$B$1001,B977,$A$2:$A$1001,"&lt;"&amp;A977,$A$2:$A$1001,"&gt;="&amp;(A977-설정!$B$2)),2)))</f>
        <v/>
      </c>
      <c r="L977" s="18" t="str">
        <f aca="false">IF(K977="","",ROUND(SQRT(MAX(0,(SUMIFS($R$2:$R$1001,$B$2:$B$1001,B977,$A$2:$A$1001,"&lt;"&amp;A977,$A$2:$A$1001,"&gt;="&amp;(A977-설정!$B$2))-M977*AVERAGEIFS($J$2:$J$1001,$B$2:$B$1001,B977,$A$2:$A$1001,"&lt;"&amp;A977,$A$2:$A$1001,"&gt;="&amp;(A977-설정!$B$2))^2)/(M977-1))),2))</f>
        <v/>
      </c>
      <c r="M977" s="18" t="str">
        <f aca="false">IF(J977="","",COUNTIFS($B$2:$B$1001,B977,$A$2:$A$1001,"&lt;"&amp;A977,$A$2:$A$1001,"&gt;="&amp;(A977-설정!$B$2),$J$2:$J$1001,"&gt;=0"))</f>
        <v/>
      </c>
      <c r="N977" s="18" t="str">
        <f aca="false">IF(K977="","",IF(L977=0,"",ROUND((J977-K977)/L977,2)))</f>
        <v/>
      </c>
      <c r="O977" s="19" t="str">
        <f aca="false">IF(J977="","",IF(MIN(F977,G977)&lt;=설정!$B$5,"예",""))</f>
        <v/>
      </c>
      <c r="P977" s="19" t="str">
        <f aca="false">IF(J977="","",IF(M977&lt;설정!$B$3,"baseline 수집 중",IF(N977="","정상",IF(N977&lt;=설정!$B$4,"낮음","정상"))))</f>
        <v/>
      </c>
      <c r="Q977" s="20"/>
      <c r="R977" s="18" t="str">
        <f aca="false">IF(J977="","",J977^2)</f>
        <v/>
      </c>
    </row>
    <row r="978" customFormat="false" ht="15" hidden="false" customHeight="false" outlineLevel="0" collapsed="false">
      <c r="A978" s="16"/>
      <c r="B978" s="17"/>
      <c r="C978" s="17"/>
      <c r="D978" s="17"/>
      <c r="E978" s="17"/>
      <c r="F978" s="17"/>
      <c r="G978" s="17"/>
      <c r="H978" s="17"/>
      <c r="I978" s="17"/>
      <c r="J978" s="18" t="str">
        <f aca="false">IF(COUNT(E978:I978)&lt;5,"",SUM(E978:I978))</f>
        <v/>
      </c>
      <c r="K978" s="18" t="str">
        <f aca="false">IF(J978="","",IF(M978&lt;설정!$B$3,"",ROUND(AVERAGEIFS($J$2:$J$1001,$B$2:$B$1001,B978,$A$2:$A$1001,"&lt;"&amp;A978,$A$2:$A$1001,"&gt;="&amp;(A978-설정!$B$2)),2)))</f>
        <v/>
      </c>
      <c r="L978" s="18" t="str">
        <f aca="false">IF(K978="","",ROUND(SQRT(MAX(0,(SUMIFS($R$2:$R$1001,$B$2:$B$1001,B978,$A$2:$A$1001,"&lt;"&amp;A978,$A$2:$A$1001,"&gt;="&amp;(A978-설정!$B$2))-M978*AVERAGEIFS($J$2:$J$1001,$B$2:$B$1001,B978,$A$2:$A$1001,"&lt;"&amp;A978,$A$2:$A$1001,"&gt;="&amp;(A978-설정!$B$2))^2)/(M978-1))),2))</f>
        <v/>
      </c>
      <c r="M978" s="18" t="str">
        <f aca="false">IF(J978="","",COUNTIFS($B$2:$B$1001,B978,$A$2:$A$1001,"&lt;"&amp;A978,$A$2:$A$1001,"&gt;="&amp;(A978-설정!$B$2),$J$2:$J$1001,"&gt;=0"))</f>
        <v/>
      </c>
      <c r="N978" s="18" t="str">
        <f aca="false">IF(K978="","",IF(L978=0,"",ROUND((J978-K978)/L978,2)))</f>
        <v/>
      </c>
      <c r="O978" s="19" t="str">
        <f aca="false">IF(J978="","",IF(MIN(F978,G978)&lt;=설정!$B$5,"예",""))</f>
        <v/>
      </c>
      <c r="P978" s="19" t="str">
        <f aca="false">IF(J978="","",IF(M978&lt;설정!$B$3,"baseline 수집 중",IF(N978="","정상",IF(N978&lt;=설정!$B$4,"낮음","정상"))))</f>
        <v/>
      </c>
      <c r="Q978" s="20"/>
      <c r="R978" s="18" t="str">
        <f aca="false">IF(J978="","",J978^2)</f>
        <v/>
      </c>
    </row>
    <row r="979" customFormat="false" ht="15" hidden="false" customHeight="false" outlineLevel="0" collapsed="false">
      <c r="A979" s="16"/>
      <c r="B979" s="17"/>
      <c r="C979" s="17"/>
      <c r="D979" s="17"/>
      <c r="E979" s="17"/>
      <c r="F979" s="17"/>
      <c r="G979" s="17"/>
      <c r="H979" s="17"/>
      <c r="I979" s="17"/>
      <c r="J979" s="18" t="str">
        <f aca="false">IF(COUNT(E979:I979)&lt;5,"",SUM(E979:I979))</f>
        <v/>
      </c>
      <c r="K979" s="18" t="str">
        <f aca="false">IF(J979="","",IF(M979&lt;설정!$B$3,"",ROUND(AVERAGEIFS($J$2:$J$1001,$B$2:$B$1001,B979,$A$2:$A$1001,"&lt;"&amp;A979,$A$2:$A$1001,"&gt;="&amp;(A979-설정!$B$2)),2)))</f>
        <v/>
      </c>
      <c r="L979" s="18" t="str">
        <f aca="false">IF(K979="","",ROUND(SQRT(MAX(0,(SUMIFS($R$2:$R$1001,$B$2:$B$1001,B979,$A$2:$A$1001,"&lt;"&amp;A979,$A$2:$A$1001,"&gt;="&amp;(A979-설정!$B$2))-M979*AVERAGEIFS($J$2:$J$1001,$B$2:$B$1001,B979,$A$2:$A$1001,"&lt;"&amp;A979,$A$2:$A$1001,"&gt;="&amp;(A979-설정!$B$2))^2)/(M979-1))),2))</f>
        <v/>
      </c>
      <c r="M979" s="18" t="str">
        <f aca="false">IF(J979="","",COUNTIFS($B$2:$B$1001,B979,$A$2:$A$1001,"&lt;"&amp;A979,$A$2:$A$1001,"&gt;="&amp;(A979-설정!$B$2),$J$2:$J$1001,"&gt;=0"))</f>
        <v/>
      </c>
      <c r="N979" s="18" t="str">
        <f aca="false">IF(K979="","",IF(L979=0,"",ROUND((J979-K979)/L979,2)))</f>
        <v/>
      </c>
      <c r="O979" s="19" t="str">
        <f aca="false">IF(J979="","",IF(MIN(F979,G979)&lt;=설정!$B$5,"예",""))</f>
        <v/>
      </c>
      <c r="P979" s="19" t="str">
        <f aca="false">IF(J979="","",IF(M979&lt;설정!$B$3,"baseline 수집 중",IF(N979="","정상",IF(N979&lt;=설정!$B$4,"낮음","정상"))))</f>
        <v/>
      </c>
      <c r="Q979" s="20"/>
      <c r="R979" s="18" t="str">
        <f aca="false">IF(J979="","",J979^2)</f>
        <v/>
      </c>
    </row>
    <row r="980" customFormat="false" ht="15" hidden="false" customHeight="false" outlineLevel="0" collapsed="false">
      <c r="A980" s="16"/>
      <c r="B980" s="17"/>
      <c r="C980" s="17"/>
      <c r="D980" s="17"/>
      <c r="E980" s="17"/>
      <c r="F980" s="17"/>
      <c r="G980" s="17"/>
      <c r="H980" s="17"/>
      <c r="I980" s="17"/>
      <c r="J980" s="18" t="str">
        <f aca="false">IF(COUNT(E980:I980)&lt;5,"",SUM(E980:I980))</f>
        <v/>
      </c>
      <c r="K980" s="18" t="str">
        <f aca="false">IF(J980="","",IF(M980&lt;설정!$B$3,"",ROUND(AVERAGEIFS($J$2:$J$1001,$B$2:$B$1001,B980,$A$2:$A$1001,"&lt;"&amp;A980,$A$2:$A$1001,"&gt;="&amp;(A980-설정!$B$2)),2)))</f>
        <v/>
      </c>
      <c r="L980" s="18" t="str">
        <f aca="false">IF(K980="","",ROUND(SQRT(MAX(0,(SUMIFS($R$2:$R$1001,$B$2:$B$1001,B980,$A$2:$A$1001,"&lt;"&amp;A980,$A$2:$A$1001,"&gt;="&amp;(A980-설정!$B$2))-M980*AVERAGEIFS($J$2:$J$1001,$B$2:$B$1001,B980,$A$2:$A$1001,"&lt;"&amp;A980,$A$2:$A$1001,"&gt;="&amp;(A980-설정!$B$2))^2)/(M980-1))),2))</f>
        <v/>
      </c>
      <c r="M980" s="18" t="str">
        <f aca="false">IF(J980="","",COUNTIFS($B$2:$B$1001,B980,$A$2:$A$1001,"&lt;"&amp;A980,$A$2:$A$1001,"&gt;="&amp;(A980-설정!$B$2),$J$2:$J$1001,"&gt;=0"))</f>
        <v/>
      </c>
      <c r="N980" s="18" t="str">
        <f aca="false">IF(K980="","",IF(L980=0,"",ROUND((J980-K980)/L980,2)))</f>
        <v/>
      </c>
      <c r="O980" s="19" t="str">
        <f aca="false">IF(J980="","",IF(MIN(F980,G980)&lt;=설정!$B$5,"예",""))</f>
        <v/>
      </c>
      <c r="P980" s="19" t="str">
        <f aca="false">IF(J980="","",IF(M980&lt;설정!$B$3,"baseline 수집 중",IF(N980="","정상",IF(N980&lt;=설정!$B$4,"낮음","정상"))))</f>
        <v/>
      </c>
      <c r="Q980" s="20"/>
      <c r="R980" s="18" t="str">
        <f aca="false">IF(J980="","",J980^2)</f>
        <v/>
      </c>
    </row>
    <row r="981" customFormat="false" ht="15" hidden="false" customHeight="false" outlineLevel="0" collapsed="false">
      <c r="A981" s="16"/>
      <c r="B981" s="17"/>
      <c r="C981" s="17"/>
      <c r="D981" s="17"/>
      <c r="E981" s="17"/>
      <c r="F981" s="17"/>
      <c r="G981" s="17"/>
      <c r="H981" s="17"/>
      <c r="I981" s="17"/>
      <c r="J981" s="18" t="str">
        <f aca="false">IF(COUNT(E981:I981)&lt;5,"",SUM(E981:I981))</f>
        <v/>
      </c>
      <c r="K981" s="18" t="str">
        <f aca="false">IF(J981="","",IF(M981&lt;설정!$B$3,"",ROUND(AVERAGEIFS($J$2:$J$1001,$B$2:$B$1001,B981,$A$2:$A$1001,"&lt;"&amp;A981,$A$2:$A$1001,"&gt;="&amp;(A981-설정!$B$2)),2)))</f>
        <v/>
      </c>
      <c r="L981" s="18" t="str">
        <f aca="false">IF(K981="","",ROUND(SQRT(MAX(0,(SUMIFS($R$2:$R$1001,$B$2:$B$1001,B981,$A$2:$A$1001,"&lt;"&amp;A981,$A$2:$A$1001,"&gt;="&amp;(A981-설정!$B$2))-M981*AVERAGEIFS($J$2:$J$1001,$B$2:$B$1001,B981,$A$2:$A$1001,"&lt;"&amp;A981,$A$2:$A$1001,"&gt;="&amp;(A981-설정!$B$2))^2)/(M981-1))),2))</f>
        <v/>
      </c>
      <c r="M981" s="18" t="str">
        <f aca="false">IF(J981="","",COUNTIFS($B$2:$B$1001,B981,$A$2:$A$1001,"&lt;"&amp;A981,$A$2:$A$1001,"&gt;="&amp;(A981-설정!$B$2),$J$2:$J$1001,"&gt;=0"))</f>
        <v/>
      </c>
      <c r="N981" s="18" t="str">
        <f aca="false">IF(K981="","",IF(L981=0,"",ROUND((J981-K981)/L981,2)))</f>
        <v/>
      </c>
      <c r="O981" s="19" t="str">
        <f aca="false">IF(J981="","",IF(MIN(F981,G981)&lt;=설정!$B$5,"예",""))</f>
        <v/>
      </c>
      <c r="P981" s="19" t="str">
        <f aca="false">IF(J981="","",IF(M981&lt;설정!$B$3,"baseline 수집 중",IF(N981="","정상",IF(N981&lt;=설정!$B$4,"낮음","정상"))))</f>
        <v/>
      </c>
      <c r="Q981" s="20"/>
      <c r="R981" s="18" t="str">
        <f aca="false">IF(J981="","",J981^2)</f>
        <v/>
      </c>
    </row>
    <row r="982" customFormat="false" ht="15" hidden="false" customHeight="false" outlineLevel="0" collapsed="false">
      <c r="A982" s="16"/>
      <c r="B982" s="17"/>
      <c r="C982" s="17"/>
      <c r="D982" s="17"/>
      <c r="E982" s="17"/>
      <c r="F982" s="17"/>
      <c r="G982" s="17"/>
      <c r="H982" s="17"/>
      <c r="I982" s="17"/>
      <c r="J982" s="18" t="str">
        <f aca="false">IF(COUNT(E982:I982)&lt;5,"",SUM(E982:I982))</f>
        <v/>
      </c>
      <c r="K982" s="18" t="str">
        <f aca="false">IF(J982="","",IF(M982&lt;설정!$B$3,"",ROUND(AVERAGEIFS($J$2:$J$1001,$B$2:$B$1001,B982,$A$2:$A$1001,"&lt;"&amp;A982,$A$2:$A$1001,"&gt;="&amp;(A982-설정!$B$2)),2)))</f>
        <v/>
      </c>
      <c r="L982" s="18" t="str">
        <f aca="false">IF(K982="","",ROUND(SQRT(MAX(0,(SUMIFS($R$2:$R$1001,$B$2:$B$1001,B982,$A$2:$A$1001,"&lt;"&amp;A982,$A$2:$A$1001,"&gt;="&amp;(A982-설정!$B$2))-M982*AVERAGEIFS($J$2:$J$1001,$B$2:$B$1001,B982,$A$2:$A$1001,"&lt;"&amp;A982,$A$2:$A$1001,"&gt;="&amp;(A982-설정!$B$2))^2)/(M982-1))),2))</f>
        <v/>
      </c>
      <c r="M982" s="18" t="str">
        <f aca="false">IF(J982="","",COUNTIFS($B$2:$B$1001,B982,$A$2:$A$1001,"&lt;"&amp;A982,$A$2:$A$1001,"&gt;="&amp;(A982-설정!$B$2),$J$2:$J$1001,"&gt;=0"))</f>
        <v/>
      </c>
      <c r="N982" s="18" t="str">
        <f aca="false">IF(K982="","",IF(L982=0,"",ROUND((J982-K982)/L982,2)))</f>
        <v/>
      </c>
      <c r="O982" s="19" t="str">
        <f aca="false">IF(J982="","",IF(MIN(F982,G982)&lt;=설정!$B$5,"예",""))</f>
        <v/>
      </c>
      <c r="P982" s="19" t="str">
        <f aca="false">IF(J982="","",IF(M982&lt;설정!$B$3,"baseline 수집 중",IF(N982="","정상",IF(N982&lt;=설정!$B$4,"낮음","정상"))))</f>
        <v/>
      </c>
      <c r="Q982" s="20"/>
      <c r="R982" s="18" t="str">
        <f aca="false">IF(J982="","",J982^2)</f>
        <v/>
      </c>
    </row>
    <row r="983" customFormat="false" ht="15" hidden="false" customHeight="false" outlineLevel="0" collapsed="false">
      <c r="A983" s="16"/>
      <c r="B983" s="17"/>
      <c r="C983" s="17"/>
      <c r="D983" s="17"/>
      <c r="E983" s="17"/>
      <c r="F983" s="17"/>
      <c r="G983" s="17"/>
      <c r="H983" s="17"/>
      <c r="I983" s="17"/>
      <c r="J983" s="18" t="str">
        <f aca="false">IF(COUNT(E983:I983)&lt;5,"",SUM(E983:I983))</f>
        <v/>
      </c>
      <c r="K983" s="18" t="str">
        <f aca="false">IF(J983="","",IF(M983&lt;설정!$B$3,"",ROUND(AVERAGEIFS($J$2:$J$1001,$B$2:$B$1001,B983,$A$2:$A$1001,"&lt;"&amp;A983,$A$2:$A$1001,"&gt;="&amp;(A983-설정!$B$2)),2)))</f>
        <v/>
      </c>
      <c r="L983" s="18" t="str">
        <f aca="false">IF(K983="","",ROUND(SQRT(MAX(0,(SUMIFS($R$2:$R$1001,$B$2:$B$1001,B983,$A$2:$A$1001,"&lt;"&amp;A983,$A$2:$A$1001,"&gt;="&amp;(A983-설정!$B$2))-M983*AVERAGEIFS($J$2:$J$1001,$B$2:$B$1001,B983,$A$2:$A$1001,"&lt;"&amp;A983,$A$2:$A$1001,"&gt;="&amp;(A983-설정!$B$2))^2)/(M983-1))),2))</f>
        <v/>
      </c>
      <c r="M983" s="18" t="str">
        <f aca="false">IF(J983="","",COUNTIFS($B$2:$B$1001,B983,$A$2:$A$1001,"&lt;"&amp;A983,$A$2:$A$1001,"&gt;="&amp;(A983-설정!$B$2),$J$2:$J$1001,"&gt;=0"))</f>
        <v/>
      </c>
      <c r="N983" s="18" t="str">
        <f aca="false">IF(K983="","",IF(L983=0,"",ROUND((J983-K983)/L983,2)))</f>
        <v/>
      </c>
      <c r="O983" s="19" t="str">
        <f aca="false">IF(J983="","",IF(MIN(F983,G983)&lt;=설정!$B$5,"예",""))</f>
        <v/>
      </c>
      <c r="P983" s="19" t="str">
        <f aca="false">IF(J983="","",IF(M983&lt;설정!$B$3,"baseline 수집 중",IF(N983="","정상",IF(N983&lt;=설정!$B$4,"낮음","정상"))))</f>
        <v/>
      </c>
      <c r="Q983" s="20"/>
      <c r="R983" s="18" t="str">
        <f aca="false">IF(J983="","",J983^2)</f>
        <v/>
      </c>
    </row>
    <row r="984" customFormat="false" ht="15" hidden="false" customHeight="false" outlineLevel="0" collapsed="false">
      <c r="A984" s="16"/>
      <c r="B984" s="17"/>
      <c r="C984" s="17"/>
      <c r="D984" s="17"/>
      <c r="E984" s="17"/>
      <c r="F984" s="17"/>
      <c r="G984" s="17"/>
      <c r="H984" s="17"/>
      <c r="I984" s="17"/>
      <c r="J984" s="18" t="str">
        <f aca="false">IF(COUNT(E984:I984)&lt;5,"",SUM(E984:I984))</f>
        <v/>
      </c>
      <c r="K984" s="18" t="str">
        <f aca="false">IF(J984="","",IF(M984&lt;설정!$B$3,"",ROUND(AVERAGEIFS($J$2:$J$1001,$B$2:$B$1001,B984,$A$2:$A$1001,"&lt;"&amp;A984,$A$2:$A$1001,"&gt;="&amp;(A984-설정!$B$2)),2)))</f>
        <v/>
      </c>
      <c r="L984" s="18" t="str">
        <f aca="false">IF(K984="","",ROUND(SQRT(MAX(0,(SUMIFS($R$2:$R$1001,$B$2:$B$1001,B984,$A$2:$A$1001,"&lt;"&amp;A984,$A$2:$A$1001,"&gt;="&amp;(A984-설정!$B$2))-M984*AVERAGEIFS($J$2:$J$1001,$B$2:$B$1001,B984,$A$2:$A$1001,"&lt;"&amp;A984,$A$2:$A$1001,"&gt;="&amp;(A984-설정!$B$2))^2)/(M984-1))),2))</f>
        <v/>
      </c>
      <c r="M984" s="18" t="str">
        <f aca="false">IF(J984="","",COUNTIFS($B$2:$B$1001,B984,$A$2:$A$1001,"&lt;"&amp;A984,$A$2:$A$1001,"&gt;="&amp;(A984-설정!$B$2),$J$2:$J$1001,"&gt;=0"))</f>
        <v/>
      </c>
      <c r="N984" s="18" t="str">
        <f aca="false">IF(K984="","",IF(L984=0,"",ROUND((J984-K984)/L984,2)))</f>
        <v/>
      </c>
      <c r="O984" s="19" t="str">
        <f aca="false">IF(J984="","",IF(MIN(F984,G984)&lt;=설정!$B$5,"예",""))</f>
        <v/>
      </c>
      <c r="P984" s="19" t="str">
        <f aca="false">IF(J984="","",IF(M984&lt;설정!$B$3,"baseline 수집 중",IF(N984="","정상",IF(N984&lt;=설정!$B$4,"낮음","정상"))))</f>
        <v/>
      </c>
      <c r="Q984" s="20"/>
      <c r="R984" s="18" t="str">
        <f aca="false">IF(J984="","",J984^2)</f>
        <v/>
      </c>
    </row>
    <row r="985" customFormat="false" ht="15" hidden="false" customHeight="false" outlineLevel="0" collapsed="false">
      <c r="A985" s="16"/>
      <c r="B985" s="17"/>
      <c r="C985" s="17"/>
      <c r="D985" s="17"/>
      <c r="E985" s="17"/>
      <c r="F985" s="17"/>
      <c r="G985" s="17"/>
      <c r="H985" s="17"/>
      <c r="I985" s="17"/>
      <c r="J985" s="18" t="str">
        <f aca="false">IF(COUNT(E985:I985)&lt;5,"",SUM(E985:I985))</f>
        <v/>
      </c>
      <c r="K985" s="18" t="str">
        <f aca="false">IF(J985="","",IF(M985&lt;설정!$B$3,"",ROUND(AVERAGEIFS($J$2:$J$1001,$B$2:$B$1001,B985,$A$2:$A$1001,"&lt;"&amp;A985,$A$2:$A$1001,"&gt;="&amp;(A985-설정!$B$2)),2)))</f>
        <v/>
      </c>
      <c r="L985" s="18" t="str">
        <f aca="false">IF(K985="","",ROUND(SQRT(MAX(0,(SUMIFS($R$2:$R$1001,$B$2:$B$1001,B985,$A$2:$A$1001,"&lt;"&amp;A985,$A$2:$A$1001,"&gt;="&amp;(A985-설정!$B$2))-M985*AVERAGEIFS($J$2:$J$1001,$B$2:$B$1001,B985,$A$2:$A$1001,"&lt;"&amp;A985,$A$2:$A$1001,"&gt;="&amp;(A985-설정!$B$2))^2)/(M985-1))),2))</f>
        <v/>
      </c>
      <c r="M985" s="18" t="str">
        <f aca="false">IF(J985="","",COUNTIFS($B$2:$B$1001,B985,$A$2:$A$1001,"&lt;"&amp;A985,$A$2:$A$1001,"&gt;="&amp;(A985-설정!$B$2),$J$2:$J$1001,"&gt;=0"))</f>
        <v/>
      </c>
      <c r="N985" s="18" t="str">
        <f aca="false">IF(K985="","",IF(L985=0,"",ROUND((J985-K985)/L985,2)))</f>
        <v/>
      </c>
      <c r="O985" s="19" t="str">
        <f aca="false">IF(J985="","",IF(MIN(F985,G985)&lt;=설정!$B$5,"예",""))</f>
        <v/>
      </c>
      <c r="P985" s="19" t="str">
        <f aca="false">IF(J985="","",IF(M985&lt;설정!$B$3,"baseline 수집 중",IF(N985="","정상",IF(N985&lt;=설정!$B$4,"낮음","정상"))))</f>
        <v/>
      </c>
      <c r="Q985" s="20"/>
      <c r="R985" s="18" t="str">
        <f aca="false">IF(J985="","",J985^2)</f>
        <v/>
      </c>
    </row>
    <row r="986" customFormat="false" ht="15" hidden="false" customHeight="false" outlineLevel="0" collapsed="false">
      <c r="A986" s="16"/>
      <c r="B986" s="17"/>
      <c r="C986" s="17"/>
      <c r="D986" s="17"/>
      <c r="E986" s="17"/>
      <c r="F986" s="17"/>
      <c r="G986" s="17"/>
      <c r="H986" s="17"/>
      <c r="I986" s="17"/>
      <c r="J986" s="18" t="str">
        <f aca="false">IF(COUNT(E986:I986)&lt;5,"",SUM(E986:I986))</f>
        <v/>
      </c>
      <c r="K986" s="18" t="str">
        <f aca="false">IF(J986="","",IF(M986&lt;설정!$B$3,"",ROUND(AVERAGEIFS($J$2:$J$1001,$B$2:$B$1001,B986,$A$2:$A$1001,"&lt;"&amp;A986,$A$2:$A$1001,"&gt;="&amp;(A986-설정!$B$2)),2)))</f>
        <v/>
      </c>
      <c r="L986" s="18" t="str">
        <f aca="false">IF(K986="","",ROUND(SQRT(MAX(0,(SUMIFS($R$2:$R$1001,$B$2:$B$1001,B986,$A$2:$A$1001,"&lt;"&amp;A986,$A$2:$A$1001,"&gt;="&amp;(A986-설정!$B$2))-M986*AVERAGEIFS($J$2:$J$1001,$B$2:$B$1001,B986,$A$2:$A$1001,"&lt;"&amp;A986,$A$2:$A$1001,"&gt;="&amp;(A986-설정!$B$2))^2)/(M986-1))),2))</f>
        <v/>
      </c>
      <c r="M986" s="18" t="str">
        <f aca="false">IF(J986="","",COUNTIFS($B$2:$B$1001,B986,$A$2:$A$1001,"&lt;"&amp;A986,$A$2:$A$1001,"&gt;="&amp;(A986-설정!$B$2),$J$2:$J$1001,"&gt;=0"))</f>
        <v/>
      </c>
      <c r="N986" s="18" t="str">
        <f aca="false">IF(K986="","",IF(L986=0,"",ROUND((J986-K986)/L986,2)))</f>
        <v/>
      </c>
      <c r="O986" s="19" t="str">
        <f aca="false">IF(J986="","",IF(MIN(F986,G986)&lt;=설정!$B$5,"예",""))</f>
        <v/>
      </c>
      <c r="P986" s="19" t="str">
        <f aca="false">IF(J986="","",IF(M986&lt;설정!$B$3,"baseline 수집 중",IF(N986="","정상",IF(N986&lt;=설정!$B$4,"낮음","정상"))))</f>
        <v/>
      </c>
      <c r="Q986" s="20"/>
      <c r="R986" s="18" t="str">
        <f aca="false">IF(J986="","",J986^2)</f>
        <v/>
      </c>
    </row>
    <row r="987" customFormat="false" ht="15" hidden="false" customHeight="false" outlineLevel="0" collapsed="false">
      <c r="A987" s="16"/>
      <c r="B987" s="17"/>
      <c r="C987" s="17"/>
      <c r="D987" s="17"/>
      <c r="E987" s="17"/>
      <c r="F987" s="17"/>
      <c r="G987" s="17"/>
      <c r="H987" s="17"/>
      <c r="I987" s="17"/>
      <c r="J987" s="18" t="str">
        <f aca="false">IF(COUNT(E987:I987)&lt;5,"",SUM(E987:I987))</f>
        <v/>
      </c>
      <c r="K987" s="18" t="str">
        <f aca="false">IF(J987="","",IF(M987&lt;설정!$B$3,"",ROUND(AVERAGEIFS($J$2:$J$1001,$B$2:$B$1001,B987,$A$2:$A$1001,"&lt;"&amp;A987,$A$2:$A$1001,"&gt;="&amp;(A987-설정!$B$2)),2)))</f>
        <v/>
      </c>
      <c r="L987" s="18" t="str">
        <f aca="false">IF(K987="","",ROUND(SQRT(MAX(0,(SUMIFS($R$2:$R$1001,$B$2:$B$1001,B987,$A$2:$A$1001,"&lt;"&amp;A987,$A$2:$A$1001,"&gt;="&amp;(A987-설정!$B$2))-M987*AVERAGEIFS($J$2:$J$1001,$B$2:$B$1001,B987,$A$2:$A$1001,"&lt;"&amp;A987,$A$2:$A$1001,"&gt;="&amp;(A987-설정!$B$2))^2)/(M987-1))),2))</f>
        <v/>
      </c>
      <c r="M987" s="18" t="str">
        <f aca="false">IF(J987="","",COUNTIFS($B$2:$B$1001,B987,$A$2:$A$1001,"&lt;"&amp;A987,$A$2:$A$1001,"&gt;="&amp;(A987-설정!$B$2),$J$2:$J$1001,"&gt;=0"))</f>
        <v/>
      </c>
      <c r="N987" s="18" t="str">
        <f aca="false">IF(K987="","",IF(L987=0,"",ROUND((J987-K987)/L987,2)))</f>
        <v/>
      </c>
      <c r="O987" s="19" t="str">
        <f aca="false">IF(J987="","",IF(MIN(F987,G987)&lt;=설정!$B$5,"예",""))</f>
        <v/>
      </c>
      <c r="P987" s="19" t="str">
        <f aca="false">IF(J987="","",IF(M987&lt;설정!$B$3,"baseline 수집 중",IF(N987="","정상",IF(N987&lt;=설정!$B$4,"낮음","정상"))))</f>
        <v/>
      </c>
      <c r="Q987" s="20"/>
      <c r="R987" s="18" t="str">
        <f aca="false">IF(J987="","",J987^2)</f>
        <v/>
      </c>
    </row>
    <row r="988" customFormat="false" ht="15" hidden="false" customHeight="false" outlineLevel="0" collapsed="false">
      <c r="A988" s="16"/>
      <c r="B988" s="17"/>
      <c r="C988" s="17"/>
      <c r="D988" s="17"/>
      <c r="E988" s="17"/>
      <c r="F988" s="17"/>
      <c r="G988" s="17"/>
      <c r="H988" s="17"/>
      <c r="I988" s="17"/>
      <c r="J988" s="18" t="str">
        <f aca="false">IF(COUNT(E988:I988)&lt;5,"",SUM(E988:I988))</f>
        <v/>
      </c>
      <c r="K988" s="18" t="str">
        <f aca="false">IF(J988="","",IF(M988&lt;설정!$B$3,"",ROUND(AVERAGEIFS($J$2:$J$1001,$B$2:$B$1001,B988,$A$2:$A$1001,"&lt;"&amp;A988,$A$2:$A$1001,"&gt;="&amp;(A988-설정!$B$2)),2)))</f>
        <v/>
      </c>
      <c r="L988" s="18" t="str">
        <f aca="false">IF(K988="","",ROUND(SQRT(MAX(0,(SUMIFS($R$2:$R$1001,$B$2:$B$1001,B988,$A$2:$A$1001,"&lt;"&amp;A988,$A$2:$A$1001,"&gt;="&amp;(A988-설정!$B$2))-M988*AVERAGEIFS($J$2:$J$1001,$B$2:$B$1001,B988,$A$2:$A$1001,"&lt;"&amp;A988,$A$2:$A$1001,"&gt;="&amp;(A988-설정!$B$2))^2)/(M988-1))),2))</f>
        <v/>
      </c>
      <c r="M988" s="18" t="str">
        <f aca="false">IF(J988="","",COUNTIFS($B$2:$B$1001,B988,$A$2:$A$1001,"&lt;"&amp;A988,$A$2:$A$1001,"&gt;="&amp;(A988-설정!$B$2),$J$2:$J$1001,"&gt;=0"))</f>
        <v/>
      </c>
      <c r="N988" s="18" t="str">
        <f aca="false">IF(K988="","",IF(L988=0,"",ROUND((J988-K988)/L988,2)))</f>
        <v/>
      </c>
      <c r="O988" s="19" t="str">
        <f aca="false">IF(J988="","",IF(MIN(F988,G988)&lt;=설정!$B$5,"예",""))</f>
        <v/>
      </c>
      <c r="P988" s="19" t="str">
        <f aca="false">IF(J988="","",IF(M988&lt;설정!$B$3,"baseline 수집 중",IF(N988="","정상",IF(N988&lt;=설정!$B$4,"낮음","정상"))))</f>
        <v/>
      </c>
      <c r="Q988" s="20"/>
      <c r="R988" s="18" t="str">
        <f aca="false">IF(J988="","",J988^2)</f>
        <v/>
      </c>
    </row>
    <row r="989" customFormat="false" ht="15" hidden="false" customHeight="false" outlineLevel="0" collapsed="false">
      <c r="A989" s="16"/>
      <c r="B989" s="17"/>
      <c r="C989" s="17"/>
      <c r="D989" s="17"/>
      <c r="E989" s="17"/>
      <c r="F989" s="17"/>
      <c r="G989" s="17"/>
      <c r="H989" s="17"/>
      <c r="I989" s="17"/>
      <c r="J989" s="18" t="str">
        <f aca="false">IF(COUNT(E989:I989)&lt;5,"",SUM(E989:I989))</f>
        <v/>
      </c>
      <c r="K989" s="18" t="str">
        <f aca="false">IF(J989="","",IF(M989&lt;설정!$B$3,"",ROUND(AVERAGEIFS($J$2:$J$1001,$B$2:$B$1001,B989,$A$2:$A$1001,"&lt;"&amp;A989,$A$2:$A$1001,"&gt;="&amp;(A989-설정!$B$2)),2)))</f>
        <v/>
      </c>
      <c r="L989" s="18" t="str">
        <f aca="false">IF(K989="","",ROUND(SQRT(MAX(0,(SUMIFS($R$2:$R$1001,$B$2:$B$1001,B989,$A$2:$A$1001,"&lt;"&amp;A989,$A$2:$A$1001,"&gt;="&amp;(A989-설정!$B$2))-M989*AVERAGEIFS($J$2:$J$1001,$B$2:$B$1001,B989,$A$2:$A$1001,"&lt;"&amp;A989,$A$2:$A$1001,"&gt;="&amp;(A989-설정!$B$2))^2)/(M989-1))),2))</f>
        <v/>
      </c>
      <c r="M989" s="18" t="str">
        <f aca="false">IF(J989="","",COUNTIFS($B$2:$B$1001,B989,$A$2:$A$1001,"&lt;"&amp;A989,$A$2:$A$1001,"&gt;="&amp;(A989-설정!$B$2),$J$2:$J$1001,"&gt;=0"))</f>
        <v/>
      </c>
      <c r="N989" s="18" t="str">
        <f aca="false">IF(K989="","",IF(L989=0,"",ROUND((J989-K989)/L989,2)))</f>
        <v/>
      </c>
      <c r="O989" s="19" t="str">
        <f aca="false">IF(J989="","",IF(MIN(F989,G989)&lt;=설정!$B$5,"예",""))</f>
        <v/>
      </c>
      <c r="P989" s="19" t="str">
        <f aca="false">IF(J989="","",IF(M989&lt;설정!$B$3,"baseline 수집 중",IF(N989="","정상",IF(N989&lt;=설정!$B$4,"낮음","정상"))))</f>
        <v/>
      </c>
      <c r="Q989" s="20"/>
      <c r="R989" s="18" t="str">
        <f aca="false">IF(J989="","",J989^2)</f>
        <v/>
      </c>
    </row>
    <row r="990" customFormat="false" ht="15" hidden="false" customHeight="false" outlineLevel="0" collapsed="false">
      <c r="A990" s="16"/>
      <c r="B990" s="17"/>
      <c r="C990" s="17"/>
      <c r="D990" s="17"/>
      <c r="E990" s="17"/>
      <c r="F990" s="17"/>
      <c r="G990" s="17"/>
      <c r="H990" s="17"/>
      <c r="I990" s="17"/>
      <c r="J990" s="18" t="str">
        <f aca="false">IF(COUNT(E990:I990)&lt;5,"",SUM(E990:I990))</f>
        <v/>
      </c>
      <c r="K990" s="18" t="str">
        <f aca="false">IF(J990="","",IF(M990&lt;설정!$B$3,"",ROUND(AVERAGEIFS($J$2:$J$1001,$B$2:$B$1001,B990,$A$2:$A$1001,"&lt;"&amp;A990,$A$2:$A$1001,"&gt;="&amp;(A990-설정!$B$2)),2)))</f>
        <v/>
      </c>
      <c r="L990" s="18" t="str">
        <f aca="false">IF(K990="","",ROUND(SQRT(MAX(0,(SUMIFS($R$2:$R$1001,$B$2:$B$1001,B990,$A$2:$A$1001,"&lt;"&amp;A990,$A$2:$A$1001,"&gt;="&amp;(A990-설정!$B$2))-M990*AVERAGEIFS($J$2:$J$1001,$B$2:$B$1001,B990,$A$2:$A$1001,"&lt;"&amp;A990,$A$2:$A$1001,"&gt;="&amp;(A990-설정!$B$2))^2)/(M990-1))),2))</f>
        <v/>
      </c>
      <c r="M990" s="18" t="str">
        <f aca="false">IF(J990="","",COUNTIFS($B$2:$B$1001,B990,$A$2:$A$1001,"&lt;"&amp;A990,$A$2:$A$1001,"&gt;="&amp;(A990-설정!$B$2),$J$2:$J$1001,"&gt;=0"))</f>
        <v/>
      </c>
      <c r="N990" s="18" t="str">
        <f aca="false">IF(K990="","",IF(L990=0,"",ROUND((J990-K990)/L990,2)))</f>
        <v/>
      </c>
      <c r="O990" s="19" t="str">
        <f aca="false">IF(J990="","",IF(MIN(F990,G990)&lt;=설정!$B$5,"예",""))</f>
        <v/>
      </c>
      <c r="P990" s="19" t="str">
        <f aca="false">IF(J990="","",IF(M990&lt;설정!$B$3,"baseline 수집 중",IF(N990="","정상",IF(N990&lt;=설정!$B$4,"낮음","정상"))))</f>
        <v/>
      </c>
      <c r="Q990" s="20"/>
      <c r="R990" s="18" t="str">
        <f aca="false">IF(J990="","",J990^2)</f>
        <v/>
      </c>
    </row>
    <row r="991" customFormat="false" ht="15" hidden="false" customHeight="false" outlineLevel="0" collapsed="false">
      <c r="A991" s="16"/>
      <c r="B991" s="17"/>
      <c r="C991" s="17"/>
      <c r="D991" s="17"/>
      <c r="E991" s="17"/>
      <c r="F991" s="17"/>
      <c r="G991" s="17"/>
      <c r="H991" s="17"/>
      <c r="I991" s="17"/>
      <c r="J991" s="18" t="str">
        <f aca="false">IF(COUNT(E991:I991)&lt;5,"",SUM(E991:I991))</f>
        <v/>
      </c>
      <c r="K991" s="18" t="str">
        <f aca="false">IF(J991="","",IF(M991&lt;설정!$B$3,"",ROUND(AVERAGEIFS($J$2:$J$1001,$B$2:$B$1001,B991,$A$2:$A$1001,"&lt;"&amp;A991,$A$2:$A$1001,"&gt;="&amp;(A991-설정!$B$2)),2)))</f>
        <v/>
      </c>
      <c r="L991" s="18" t="str">
        <f aca="false">IF(K991="","",ROUND(SQRT(MAX(0,(SUMIFS($R$2:$R$1001,$B$2:$B$1001,B991,$A$2:$A$1001,"&lt;"&amp;A991,$A$2:$A$1001,"&gt;="&amp;(A991-설정!$B$2))-M991*AVERAGEIFS($J$2:$J$1001,$B$2:$B$1001,B991,$A$2:$A$1001,"&lt;"&amp;A991,$A$2:$A$1001,"&gt;="&amp;(A991-설정!$B$2))^2)/(M991-1))),2))</f>
        <v/>
      </c>
      <c r="M991" s="18" t="str">
        <f aca="false">IF(J991="","",COUNTIFS($B$2:$B$1001,B991,$A$2:$A$1001,"&lt;"&amp;A991,$A$2:$A$1001,"&gt;="&amp;(A991-설정!$B$2),$J$2:$J$1001,"&gt;=0"))</f>
        <v/>
      </c>
      <c r="N991" s="18" t="str">
        <f aca="false">IF(K991="","",IF(L991=0,"",ROUND((J991-K991)/L991,2)))</f>
        <v/>
      </c>
      <c r="O991" s="19" t="str">
        <f aca="false">IF(J991="","",IF(MIN(F991,G991)&lt;=설정!$B$5,"예",""))</f>
        <v/>
      </c>
      <c r="P991" s="19" t="str">
        <f aca="false">IF(J991="","",IF(M991&lt;설정!$B$3,"baseline 수집 중",IF(N991="","정상",IF(N991&lt;=설정!$B$4,"낮음","정상"))))</f>
        <v/>
      </c>
      <c r="Q991" s="20"/>
      <c r="R991" s="18" t="str">
        <f aca="false">IF(J991="","",J991^2)</f>
        <v/>
      </c>
    </row>
    <row r="992" customFormat="false" ht="15" hidden="false" customHeight="false" outlineLevel="0" collapsed="false">
      <c r="A992" s="16"/>
      <c r="B992" s="17"/>
      <c r="C992" s="17"/>
      <c r="D992" s="17"/>
      <c r="E992" s="17"/>
      <c r="F992" s="17"/>
      <c r="G992" s="17"/>
      <c r="H992" s="17"/>
      <c r="I992" s="17"/>
      <c r="J992" s="18" t="str">
        <f aca="false">IF(COUNT(E992:I992)&lt;5,"",SUM(E992:I992))</f>
        <v/>
      </c>
      <c r="K992" s="18" t="str">
        <f aca="false">IF(J992="","",IF(M992&lt;설정!$B$3,"",ROUND(AVERAGEIFS($J$2:$J$1001,$B$2:$B$1001,B992,$A$2:$A$1001,"&lt;"&amp;A992,$A$2:$A$1001,"&gt;="&amp;(A992-설정!$B$2)),2)))</f>
        <v/>
      </c>
      <c r="L992" s="18" t="str">
        <f aca="false">IF(K992="","",ROUND(SQRT(MAX(0,(SUMIFS($R$2:$R$1001,$B$2:$B$1001,B992,$A$2:$A$1001,"&lt;"&amp;A992,$A$2:$A$1001,"&gt;="&amp;(A992-설정!$B$2))-M992*AVERAGEIFS($J$2:$J$1001,$B$2:$B$1001,B992,$A$2:$A$1001,"&lt;"&amp;A992,$A$2:$A$1001,"&gt;="&amp;(A992-설정!$B$2))^2)/(M992-1))),2))</f>
        <v/>
      </c>
      <c r="M992" s="18" t="str">
        <f aca="false">IF(J992="","",COUNTIFS($B$2:$B$1001,B992,$A$2:$A$1001,"&lt;"&amp;A992,$A$2:$A$1001,"&gt;="&amp;(A992-설정!$B$2),$J$2:$J$1001,"&gt;=0"))</f>
        <v/>
      </c>
      <c r="N992" s="18" t="str">
        <f aca="false">IF(K992="","",IF(L992=0,"",ROUND((J992-K992)/L992,2)))</f>
        <v/>
      </c>
      <c r="O992" s="19" t="str">
        <f aca="false">IF(J992="","",IF(MIN(F992,G992)&lt;=설정!$B$5,"예",""))</f>
        <v/>
      </c>
      <c r="P992" s="19" t="str">
        <f aca="false">IF(J992="","",IF(M992&lt;설정!$B$3,"baseline 수집 중",IF(N992="","정상",IF(N992&lt;=설정!$B$4,"낮음","정상"))))</f>
        <v/>
      </c>
      <c r="Q992" s="20"/>
      <c r="R992" s="18" t="str">
        <f aca="false">IF(J992="","",J992^2)</f>
        <v/>
      </c>
    </row>
    <row r="993" customFormat="false" ht="15" hidden="false" customHeight="false" outlineLevel="0" collapsed="false">
      <c r="A993" s="16"/>
      <c r="B993" s="17"/>
      <c r="C993" s="17"/>
      <c r="D993" s="17"/>
      <c r="E993" s="17"/>
      <c r="F993" s="17"/>
      <c r="G993" s="17"/>
      <c r="H993" s="17"/>
      <c r="I993" s="17"/>
      <c r="J993" s="18" t="str">
        <f aca="false">IF(COUNT(E993:I993)&lt;5,"",SUM(E993:I993))</f>
        <v/>
      </c>
      <c r="K993" s="18" t="str">
        <f aca="false">IF(J993="","",IF(M993&lt;설정!$B$3,"",ROUND(AVERAGEIFS($J$2:$J$1001,$B$2:$B$1001,B993,$A$2:$A$1001,"&lt;"&amp;A993,$A$2:$A$1001,"&gt;="&amp;(A993-설정!$B$2)),2)))</f>
        <v/>
      </c>
      <c r="L993" s="18" t="str">
        <f aca="false">IF(K993="","",ROUND(SQRT(MAX(0,(SUMIFS($R$2:$R$1001,$B$2:$B$1001,B993,$A$2:$A$1001,"&lt;"&amp;A993,$A$2:$A$1001,"&gt;="&amp;(A993-설정!$B$2))-M993*AVERAGEIFS($J$2:$J$1001,$B$2:$B$1001,B993,$A$2:$A$1001,"&lt;"&amp;A993,$A$2:$A$1001,"&gt;="&amp;(A993-설정!$B$2))^2)/(M993-1))),2))</f>
        <v/>
      </c>
      <c r="M993" s="18" t="str">
        <f aca="false">IF(J993="","",COUNTIFS($B$2:$B$1001,B993,$A$2:$A$1001,"&lt;"&amp;A993,$A$2:$A$1001,"&gt;="&amp;(A993-설정!$B$2),$J$2:$J$1001,"&gt;=0"))</f>
        <v/>
      </c>
      <c r="N993" s="18" t="str">
        <f aca="false">IF(K993="","",IF(L993=0,"",ROUND((J993-K993)/L993,2)))</f>
        <v/>
      </c>
      <c r="O993" s="19" t="str">
        <f aca="false">IF(J993="","",IF(MIN(F993,G993)&lt;=설정!$B$5,"예",""))</f>
        <v/>
      </c>
      <c r="P993" s="19" t="str">
        <f aca="false">IF(J993="","",IF(M993&lt;설정!$B$3,"baseline 수집 중",IF(N993="","정상",IF(N993&lt;=설정!$B$4,"낮음","정상"))))</f>
        <v/>
      </c>
      <c r="Q993" s="20"/>
      <c r="R993" s="18" t="str">
        <f aca="false">IF(J993="","",J993^2)</f>
        <v/>
      </c>
    </row>
    <row r="994" customFormat="false" ht="15" hidden="false" customHeight="false" outlineLevel="0" collapsed="false">
      <c r="A994" s="16"/>
      <c r="B994" s="17"/>
      <c r="C994" s="17"/>
      <c r="D994" s="17"/>
      <c r="E994" s="17"/>
      <c r="F994" s="17"/>
      <c r="G994" s="17"/>
      <c r="H994" s="17"/>
      <c r="I994" s="17"/>
      <c r="J994" s="18" t="str">
        <f aca="false">IF(COUNT(E994:I994)&lt;5,"",SUM(E994:I994))</f>
        <v/>
      </c>
      <c r="K994" s="18" t="str">
        <f aca="false">IF(J994="","",IF(M994&lt;설정!$B$3,"",ROUND(AVERAGEIFS($J$2:$J$1001,$B$2:$B$1001,B994,$A$2:$A$1001,"&lt;"&amp;A994,$A$2:$A$1001,"&gt;="&amp;(A994-설정!$B$2)),2)))</f>
        <v/>
      </c>
      <c r="L994" s="18" t="str">
        <f aca="false">IF(K994="","",ROUND(SQRT(MAX(0,(SUMIFS($R$2:$R$1001,$B$2:$B$1001,B994,$A$2:$A$1001,"&lt;"&amp;A994,$A$2:$A$1001,"&gt;="&amp;(A994-설정!$B$2))-M994*AVERAGEIFS($J$2:$J$1001,$B$2:$B$1001,B994,$A$2:$A$1001,"&lt;"&amp;A994,$A$2:$A$1001,"&gt;="&amp;(A994-설정!$B$2))^2)/(M994-1))),2))</f>
        <v/>
      </c>
      <c r="M994" s="18" t="str">
        <f aca="false">IF(J994="","",COUNTIFS($B$2:$B$1001,B994,$A$2:$A$1001,"&lt;"&amp;A994,$A$2:$A$1001,"&gt;="&amp;(A994-설정!$B$2),$J$2:$J$1001,"&gt;=0"))</f>
        <v/>
      </c>
      <c r="N994" s="18" t="str">
        <f aca="false">IF(K994="","",IF(L994=0,"",ROUND((J994-K994)/L994,2)))</f>
        <v/>
      </c>
      <c r="O994" s="19" t="str">
        <f aca="false">IF(J994="","",IF(MIN(F994,G994)&lt;=설정!$B$5,"예",""))</f>
        <v/>
      </c>
      <c r="P994" s="19" t="str">
        <f aca="false">IF(J994="","",IF(M994&lt;설정!$B$3,"baseline 수집 중",IF(N994="","정상",IF(N994&lt;=설정!$B$4,"낮음","정상"))))</f>
        <v/>
      </c>
      <c r="Q994" s="20"/>
      <c r="R994" s="18" t="str">
        <f aca="false">IF(J994="","",J994^2)</f>
        <v/>
      </c>
    </row>
    <row r="995" customFormat="false" ht="15" hidden="false" customHeight="false" outlineLevel="0" collapsed="false">
      <c r="A995" s="16"/>
      <c r="B995" s="17"/>
      <c r="C995" s="17"/>
      <c r="D995" s="17"/>
      <c r="E995" s="17"/>
      <c r="F995" s="17"/>
      <c r="G995" s="17"/>
      <c r="H995" s="17"/>
      <c r="I995" s="17"/>
      <c r="J995" s="18" t="str">
        <f aca="false">IF(COUNT(E995:I995)&lt;5,"",SUM(E995:I995))</f>
        <v/>
      </c>
      <c r="K995" s="18" t="str">
        <f aca="false">IF(J995="","",IF(M995&lt;설정!$B$3,"",ROUND(AVERAGEIFS($J$2:$J$1001,$B$2:$B$1001,B995,$A$2:$A$1001,"&lt;"&amp;A995,$A$2:$A$1001,"&gt;="&amp;(A995-설정!$B$2)),2)))</f>
        <v/>
      </c>
      <c r="L995" s="18" t="str">
        <f aca="false">IF(K995="","",ROUND(SQRT(MAX(0,(SUMIFS($R$2:$R$1001,$B$2:$B$1001,B995,$A$2:$A$1001,"&lt;"&amp;A995,$A$2:$A$1001,"&gt;="&amp;(A995-설정!$B$2))-M995*AVERAGEIFS($J$2:$J$1001,$B$2:$B$1001,B995,$A$2:$A$1001,"&lt;"&amp;A995,$A$2:$A$1001,"&gt;="&amp;(A995-설정!$B$2))^2)/(M995-1))),2))</f>
        <v/>
      </c>
      <c r="M995" s="18" t="str">
        <f aca="false">IF(J995="","",COUNTIFS($B$2:$B$1001,B995,$A$2:$A$1001,"&lt;"&amp;A995,$A$2:$A$1001,"&gt;="&amp;(A995-설정!$B$2),$J$2:$J$1001,"&gt;=0"))</f>
        <v/>
      </c>
      <c r="N995" s="18" t="str">
        <f aca="false">IF(K995="","",IF(L995=0,"",ROUND((J995-K995)/L995,2)))</f>
        <v/>
      </c>
      <c r="O995" s="19" t="str">
        <f aca="false">IF(J995="","",IF(MIN(F995,G995)&lt;=설정!$B$5,"예",""))</f>
        <v/>
      </c>
      <c r="P995" s="19" t="str">
        <f aca="false">IF(J995="","",IF(M995&lt;설정!$B$3,"baseline 수집 중",IF(N995="","정상",IF(N995&lt;=설정!$B$4,"낮음","정상"))))</f>
        <v/>
      </c>
      <c r="Q995" s="20"/>
      <c r="R995" s="18" t="str">
        <f aca="false">IF(J995="","",J995^2)</f>
        <v/>
      </c>
    </row>
    <row r="996" customFormat="false" ht="15" hidden="false" customHeight="false" outlineLevel="0" collapsed="false">
      <c r="A996" s="16"/>
      <c r="B996" s="17"/>
      <c r="C996" s="17"/>
      <c r="D996" s="17"/>
      <c r="E996" s="17"/>
      <c r="F996" s="17"/>
      <c r="G996" s="17"/>
      <c r="H996" s="17"/>
      <c r="I996" s="17"/>
      <c r="J996" s="18" t="str">
        <f aca="false">IF(COUNT(E996:I996)&lt;5,"",SUM(E996:I996))</f>
        <v/>
      </c>
      <c r="K996" s="18" t="str">
        <f aca="false">IF(J996="","",IF(M996&lt;설정!$B$3,"",ROUND(AVERAGEIFS($J$2:$J$1001,$B$2:$B$1001,B996,$A$2:$A$1001,"&lt;"&amp;A996,$A$2:$A$1001,"&gt;="&amp;(A996-설정!$B$2)),2)))</f>
        <v/>
      </c>
      <c r="L996" s="18" t="str">
        <f aca="false">IF(K996="","",ROUND(SQRT(MAX(0,(SUMIFS($R$2:$R$1001,$B$2:$B$1001,B996,$A$2:$A$1001,"&lt;"&amp;A996,$A$2:$A$1001,"&gt;="&amp;(A996-설정!$B$2))-M996*AVERAGEIFS($J$2:$J$1001,$B$2:$B$1001,B996,$A$2:$A$1001,"&lt;"&amp;A996,$A$2:$A$1001,"&gt;="&amp;(A996-설정!$B$2))^2)/(M996-1))),2))</f>
        <v/>
      </c>
      <c r="M996" s="18" t="str">
        <f aca="false">IF(J996="","",COUNTIFS($B$2:$B$1001,B996,$A$2:$A$1001,"&lt;"&amp;A996,$A$2:$A$1001,"&gt;="&amp;(A996-설정!$B$2),$J$2:$J$1001,"&gt;=0"))</f>
        <v/>
      </c>
      <c r="N996" s="18" t="str">
        <f aca="false">IF(K996="","",IF(L996=0,"",ROUND((J996-K996)/L996,2)))</f>
        <v/>
      </c>
      <c r="O996" s="19" t="str">
        <f aca="false">IF(J996="","",IF(MIN(F996,G996)&lt;=설정!$B$5,"예",""))</f>
        <v/>
      </c>
      <c r="P996" s="19" t="str">
        <f aca="false">IF(J996="","",IF(M996&lt;설정!$B$3,"baseline 수집 중",IF(N996="","정상",IF(N996&lt;=설정!$B$4,"낮음","정상"))))</f>
        <v/>
      </c>
      <c r="Q996" s="20"/>
      <c r="R996" s="18" t="str">
        <f aca="false">IF(J996="","",J996^2)</f>
        <v/>
      </c>
    </row>
    <row r="997" customFormat="false" ht="15" hidden="false" customHeight="false" outlineLevel="0" collapsed="false">
      <c r="A997" s="16"/>
      <c r="B997" s="17"/>
      <c r="C997" s="17"/>
      <c r="D997" s="17"/>
      <c r="E997" s="17"/>
      <c r="F997" s="17"/>
      <c r="G997" s="17"/>
      <c r="H997" s="17"/>
      <c r="I997" s="17"/>
      <c r="J997" s="18" t="str">
        <f aca="false">IF(COUNT(E997:I997)&lt;5,"",SUM(E997:I997))</f>
        <v/>
      </c>
      <c r="K997" s="18" t="str">
        <f aca="false">IF(J997="","",IF(M997&lt;설정!$B$3,"",ROUND(AVERAGEIFS($J$2:$J$1001,$B$2:$B$1001,B997,$A$2:$A$1001,"&lt;"&amp;A997,$A$2:$A$1001,"&gt;="&amp;(A997-설정!$B$2)),2)))</f>
        <v/>
      </c>
      <c r="L997" s="18" t="str">
        <f aca="false">IF(K997="","",ROUND(SQRT(MAX(0,(SUMIFS($R$2:$R$1001,$B$2:$B$1001,B997,$A$2:$A$1001,"&lt;"&amp;A997,$A$2:$A$1001,"&gt;="&amp;(A997-설정!$B$2))-M997*AVERAGEIFS($J$2:$J$1001,$B$2:$B$1001,B997,$A$2:$A$1001,"&lt;"&amp;A997,$A$2:$A$1001,"&gt;="&amp;(A997-설정!$B$2))^2)/(M997-1))),2))</f>
        <v/>
      </c>
      <c r="M997" s="18" t="str">
        <f aca="false">IF(J997="","",COUNTIFS($B$2:$B$1001,B997,$A$2:$A$1001,"&lt;"&amp;A997,$A$2:$A$1001,"&gt;="&amp;(A997-설정!$B$2),$J$2:$J$1001,"&gt;=0"))</f>
        <v/>
      </c>
      <c r="N997" s="18" t="str">
        <f aca="false">IF(K997="","",IF(L997=0,"",ROUND((J997-K997)/L997,2)))</f>
        <v/>
      </c>
      <c r="O997" s="19" t="str">
        <f aca="false">IF(J997="","",IF(MIN(F997,G997)&lt;=설정!$B$5,"예",""))</f>
        <v/>
      </c>
      <c r="P997" s="19" t="str">
        <f aca="false">IF(J997="","",IF(M997&lt;설정!$B$3,"baseline 수집 중",IF(N997="","정상",IF(N997&lt;=설정!$B$4,"낮음","정상"))))</f>
        <v/>
      </c>
      <c r="Q997" s="20"/>
      <c r="R997" s="18" t="str">
        <f aca="false">IF(J997="","",J997^2)</f>
        <v/>
      </c>
    </row>
    <row r="998" customFormat="false" ht="15" hidden="false" customHeight="false" outlineLevel="0" collapsed="false">
      <c r="A998" s="16"/>
      <c r="B998" s="17"/>
      <c r="C998" s="17"/>
      <c r="D998" s="17"/>
      <c r="E998" s="17"/>
      <c r="F998" s="17"/>
      <c r="G998" s="17"/>
      <c r="H998" s="17"/>
      <c r="I998" s="17"/>
      <c r="J998" s="18" t="str">
        <f aca="false">IF(COUNT(E998:I998)&lt;5,"",SUM(E998:I998))</f>
        <v/>
      </c>
      <c r="K998" s="18" t="str">
        <f aca="false">IF(J998="","",IF(M998&lt;설정!$B$3,"",ROUND(AVERAGEIFS($J$2:$J$1001,$B$2:$B$1001,B998,$A$2:$A$1001,"&lt;"&amp;A998,$A$2:$A$1001,"&gt;="&amp;(A998-설정!$B$2)),2)))</f>
        <v/>
      </c>
      <c r="L998" s="18" t="str">
        <f aca="false">IF(K998="","",ROUND(SQRT(MAX(0,(SUMIFS($R$2:$R$1001,$B$2:$B$1001,B998,$A$2:$A$1001,"&lt;"&amp;A998,$A$2:$A$1001,"&gt;="&amp;(A998-설정!$B$2))-M998*AVERAGEIFS($J$2:$J$1001,$B$2:$B$1001,B998,$A$2:$A$1001,"&lt;"&amp;A998,$A$2:$A$1001,"&gt;="&amp;(A998-설정!$B$2))^2)/(M998-1))),2))</f>
        <v/>
      </c>
      <c r="M998" s="18" t="str">
        <f aca="false">IF(J998="","",COUNTIFS($B$2:$B$1001,B998,$A$2:$A$1001,"&lt;"&amp;A998,$A$2:$A$1001,"&gt;="&amp;(A998-설정!$B$2),$J$2:$J$1001,"&gt;=0"))</f>
        <v/>
      </c>
      <c r="N998" s="18" t="str">
        <f aca="false">IF(K998="","",IF(L998=0,"",ROUND((J998-K998)/L998,2)))</f>
        <v/>
      </c>
      <c r="O998" s="19" t="str">
        <f aca="false">IF(J998="","",IF(MIN(F998,G998)&lt;=설정!$B$5,"예",""))</f>
        <v/>
      </c>
      <c r="P998" s="19" t="str">
        <f aca="false">IF(J998="","",IF(M998&lt;설정!$B$3,"baseline 수집 중",IF(N998="","정상",IF(N998&lt;=설정!$B$4,"낮음","정상"))))</f>
        <v/>
      </c>
      <c r="Q998" s="20"/>
      <c r="R998" s="18" t="str">
        <f aca="false">IF(J998="","",J998^2)</f>
        <v/>
      </c>
    </row>
    <row r="999" customFormat="false" ht="15" hidden="false" customHeight="false" outlineLevel="0" collapsed="false">
      <c r="A999" s="16"/>
      <c r="B999" s="17"/>
      <c r="C999" s="17"/>
      <c r="D999" s="17"/>
      <c r="E999" s="17"/>
      <c r="F999" s="17"/>
      <c r="G999" s="17"/>
      <c r="H999" s="17"/>
      <c r="I999" s="17"/>
      <c r="J999" s="18" t="str">
        <f aca="false">IF(COUNT(E999:I999)&lt;5,"",SUM(E999:I999))</f>
        <v/>
      </c>
      <c r="K999" s="18" t="str">
        <f aca="false">IF(J999="","",IF(M999&lt;설정!$B$3,"",ROUND(AVERAGEIFS($J$2:$J$1001,$B$2:$B$1001,B999,$A$2:$A$1001,"&lt;"&amp;A999,$A$2:$A$1001,"&gt;="&amp;(A999-설정!$B$2)),2)))</f>
        <v/>
      </c>
      <c r="L999" s="18" t="str">
        <f aca="false">IF(K999="","",ROUND(SQRT(MAX(0,(SUMIFS($R$2:$R$1001,$B$2:$B$1001,B999,$A$2:$A$1001,"&lt;"&amp;A999,$A$2:$A$1001,"&gt;="&amp;(A999-설정!$B$2))-M999*AVERAGEIFS($J$2:$J$1001,$B$2:$B$1001,B999,$A$2:$A$1001,"&lt;"&amp;A999,$A$2:$A$1001,"&gt;="&amp;(A999-설정!$B$2))^2)/(M999-1))),2))</f>
        <v/>
      </c>
      <c r="M999" s="18" t="str">
        <f aca="false">IF(J999="","",COUNTIFS($B$2:$B$1001,B999,$A$2:$A$1001,"&lt;"&amp;A999,$A$2:$A$1001,"&gt;="&amp;(A999-설정!$B$2),$J$2:$J$1001,"&gt;=0"))</f>
        <v/>
      </c>
      <c r="N999" s="18" t="str">
        <f aca="false">IF(K999="","",IF(L999=0,"",ROUND((J999-K999)/L999,2)))</f>
        <v/>
      </c>
      <c r="O999" s="19" t="str">
        <f aca="false">IF(J999="","",IF(MIN(F999,G999)&lt;=설정!$B$5,"예",""))</f>
        <v/>
      </c>
      <c r="P999" s="19" t="str">
        <f aca="false">IF(J999="","",IF(M999&lt;설정!$B$3,"baseline 수집 중",IF(N999="","정상",IF(N999&lt;=설정!$B$4,"낮음","정상"))))</f>
        <v/>
      </c>
      <c r="Q999" s="20"/>
      <c r="R999" s="18" t="str">
        <f aca="false">IF(J999="","",J999^2)</f>
        <v/>
      </c>
    </row>
    <row r="1000" customFormat="false" ht="15" hidden="false" customHeight="false" outlineLevel="0" collapsed="false">
      <c r="A1000" s="16"/>
      <c r="B1000" s="17"/>
      <c r="C1000" s="17"/>
      <c r="D1000" s="17"/>
      <c r="E1000" s="17"/>
      <c r="F1000" s="17"/>
      <c r="G1000" s="17"/>
      <c r="H1000" s="17"/>
      <c r="I1000" s="17"/>
      <c r="J1000" s="18" t="str">
        <f aca="false">IF(COUNT(E1000:I1000)&lt;5,"",SUM(E1000:I1000))</f>
        <v/>
      </c>
      <c r="K1000" s="18" t="str">
        <f aca="false">IF(J1000="","",IF(M1000&lt;설정!$B$3,"",ROUND(AVERAGEIFS($J$2:$J$1001,$B$2:$B$1001,B1000,$A$2:$A$1001,"&lt;"&amp;A1000,$A$2:$A$1001,"&gt;="&amp;(A1000-설정!$B$2)),2)))</f>
        <v/>
      </c>
      <c r="L1000" s="18" t="str">
        <f aca="false">IF(K1000="","",ROUND(SQRT(MAX(0,(SUMIFS($R$2:$R$1001,$B$2:$B$1001,B1000,$A$2:$A$1001,"&lt;"&amp;A1000,$A$2:$A$1001,"&gt;="&amp;(A1000-설정!$B$2))-M1000*AVERAGEIFS($J$2:$J$1001,$B$2:$B$1001,B1000,$A$2:$A$1001,"&lt;"&amp;A1000,$A$2:$A$1001,"&gt;="&amp;(A1000-설정!$B$2))^2)/(M1000-1))),2))</f>
        <v/>
      </c>
      <c r="M1000" s="18" t="str">
        <f aca="false">IF(J1000="","",COUNTIFS($B$2:$B$1001,B1000,$A$2:$A$1001,"&lt;"&amp;A1000,$A$2:$A$1001,"&gt;="&amp;(A1000-설정!$B$2),$J$2:$J$1001,"&gt;=0"))</f>
        <v/>
      </c>
      <c r="N1000" s="18" t="str">
        <f aca="false">IF(K1000="","",IF(L1000=0,"",ROUND((J1000-K1000)/L1000,2)))</f>
        <v/>
      </c>
      <c r="O1000" s="19" t="str">
        <f aca="false">IF(J1000="","",IF(MIN(F1000,G1000)&lt;=설정!$B$5,"예",""))</f>
        <v/>
      </c>
      <c r="P1000" s="19" t="str">
        <f aca="false">IF(J1000="","",IF(M1000&lt;설정!$B$3,"baseline 수집 중",IF(N1000="","정상",IF(N1000&lt;=설정!$B$4,"낮음","정상"))))</f>
        <v/>
      </c>
      <c r="Q1000" s="20"/>
      <c r="R1000" s="18" t="str">
        <f aca="false">IF(J1000="","",J1000^2)</f>
        <v/>
      </c>
    </row>
    <row r="1001" customFormat="false" ht="15" hidden="false" customHeight="false" outlineLevel="0" collapsed="false">
      <c r="A1001" s="16"/>
      <c r="B1001" s="17"/>
      <c r="C1001" s="17"/>
      <c r="D1001" s="17"/>
      <c r="E1001" s="17"/>
      <c r="F1001" s="17"/>
      <c r="G1001" s="17"/>
      <c r="H1001" s="17"/>
      <c r="I1001" s="17"/>
      <c r="J1001" s="18" t="str">
        <f aca="false">IF(COUNT(E1001:I1001)&lt;5,"",SUM(E1001:I1001))</f>
        <v/>
      </c>
      <c r="K1001" s="18" t="str">
        <f aca="false">IF(J1001="","",IF(M1001&lt;설정!$B$3,"",ROUND(AVERAGEIFS($J$2:$J$1001,$B$2:$B$1001,B1001,$A$2:$A$1001,"&lt;"&amp;A1001,$A$2:$A$1001,"&gt;="&amp;(A1001-설정!$B$2)),2)))</f>
        <v/>
      </c>
      <c r="L1001" s="18" t="str">
        <f aca="false">IF(K1001="","",ROUND(SQRT(MAX(0,(SUMIFS($R$2:$R$1001,$B$2:$B$1001,B1001,$A$2:$A$1001,"&lt;"&amp;A1001,$A$2:$A$1001,"&gt;="&amp;(A1001-설정!$B$2))-M1001*AVERAGEIFS($J$2:$J$1001,$B$2:$B$1001,B1001,$A$2:$A$1001,"&lt;"&amp;A1001,$A$2:$A$1001,"&gt;="&amp;(A1001-설정!$B$2))^2)/(M1001-1))),2))</f>
        <v/>
      </c>
      <c r="M1001" s="18" t="str">
        <f aca="false">IF(J1001="","",COUNTIFS($B$2:$B$1001,B1001,$A$2:$A$1001,"&lt;"&amp;A1001,$A$2:$A$1001,"&gt;="&amp;(A1001-설정!$B$2),$J$2:$J$1001,"&gt;=0"))</f>
        <v/>
      </c>
      <c r="N1001" s="18" t="str">
        <f aca="false">IF(K1001="","",IF(L1001=0,"",ROUND((J1001-K1001)/L1001,2)))</f>
        <v/>
      </c>
      <c r="O1001" s="19" t="str">
        <f aca="false">IF(J1001="","",IF(MIN(F1001,G1001)&lt;=설정!$B$5,"예",""))</f>
        <v/>
      </c>
      <c r="P1001" s="19" t="str">
        <f aca="false">IF(J1001="","",IF(M1001&lt;설정!$B$3,"baseline 수집 중",IF(N1001="","정상",IF(N1001&lt;=설정!$B$4,"낮음","정상"))))</f>
        <v/>
      </c>
      <c r="Q1001" s="20"/>
      <c r="R1001" s="18" t="str">
        <f aca="false">IF(J1001="","",J1001^2)</f>
        <v/>
      </c>
    </row>
  </sheetData>
  <conditionalFormatting sqref="P2:P1001">
    <cfRule type="expression" priority="2" aboveAverage="0" equalAverage="0" bottom="0" percent="0" rank="0" text="" dxfId="0">
      <formula>$P2="낮음"</formula>
    </cfRule>
  </conditionalFormatting>
  <conditionalFormatting sqref="O2:O1001">
    <cfRule type="expression" priority="3" aboveAverage="0" equalAverage="0" bottom="0" percent="0" rank="0" text="" dxfId="1">
      <formula>$O2="예"</formula>
    </cfRule>
  </conditionalFormatting>
  <dataValidations count="4">
    <dataValidation allowBlank="false" error="1–5 사이 정수를 입력하세요." errorStyle="stop" operator="between" showDropDown="false" showErrorMessage="true" showInputMessage="false" sqref="E2:I1001" type="whole">
      <formula1>1</formula1>
      <formula2>5</formula2>
    </dataValidation>
    <dataValidation allowBlank="false" error="0–14 시간 사이로 입력하세요." errorStyle="stop" operator="between" showDropDown="false" showErrorMessage="true" showInputMessage="false" sqref="D2:D1001" type="decimal">
      <formula1>0</formula1>
      <formula2>14</formula2>
    </dataValidation>
    <dataValidation allowBlank="false" errorStyle="stop" operator="between" showDropDown="false" showErrorMessage="false" showInputMessage="false" sqref="B2:B1001" type="list">
      <formula1>선수!$A$2:$A$41</formula1>
      <formula2>0</formula2>
    </dataValidation>
    <dataValidation allowBlank="false" errorStyle="stop" operator="between" showDropDown="false" showErrorMessage="false" showInputMessage="false" sqref="C2:C1001" type="list">
      <formula1>"MD-5,MD-4,MD-3,MD-2,MD-1,MD,MD+1,MD+2,MD+3,OFF"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7" min="3" style="0" width="9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28"/>
  </cols>
  <sheetData>
    <row r="1" customFormat="false" ht="33.75" hidden="false" customHeight="true" outlineLevel="0" collapsed="false">
      <c r="A1" s="10" t="s">
        <v>40</v>
      </c>
      <c r="B1" s="10" t="s">
        <v>29</v>
      </c>
      <c r="C1" s="11" t="s">
        <v>41</v>
      </c>
      <c r="D1" s="11" t="s">
        <v>58</v>
      </c>
      <c r="E1" s="11" t="s">
        <v>59</v>
      </c>
      <c r="F1" s="11" t="s">
        <v>60</v>
      </c>
      <c r="G1" s="10" t="s">
        <v>61</v>
      </c>
      <c r="H1" s="10" t="s">
        <v>62</v>
      </c>
      <c r="I1" s="11" t="s">
        <v>63</v>
      </c>
      <c r="J1" s="11" t="s">
        <v>51</v>
      </c>
      <c r="K1" s="10" t="s">
        <v>64</v>
      </c>
      <c r="L1" s="10" t="s">
        <v>52</v>
      </c>
      <c r="M1" s="10" t="s">
        <v>53</v>
      </c>
    </row>
    <row r="2" customFormat="false" ht="15" hidden="false" customHeight="false" outlineLevel="0" collapsed="false">
      <c r="A2" s="16" t="n">
        <v>46286</v>
      </c>
      <c r="B2" s="17" t="s">
        <v>55</v>
      </c>
      <c r="C2" s="17" t="s">
        <v>56</v>
      </c>
      <c r="D2" s="17" t="n">
        <v>38.2</v>
      </c>
      <c r="E2" s="17" t="n">
        <v>39</v>
      </c>
      <c r="F2" s="17" t="n">
        <v>38.5</v>
      </c>
      <c r="G2" s="18" t="n">
        <f aca="false">IF(COUNT(D2:F2)=0,"",MAX(D2:F2))</f>
        <v>39</v>
      </c>
      <c r="H2" s="18" t="n">
        <f aca="false">IF(COUNT(D2:F2)=0,"",ROUND(AVERAGE(D2:F2),1))</f>
        <v>38.6</v>
      </c>
      <c r="I2" s="18" t="str">
        <f aca="false">IF(H2="","",IF(J2&lt;설정!$B$7,"",ROUND(AVERAGEIFS($H$2:$H$1001,$B$2:$B$1001,B2,$A$2:$A$1001,"&lt;"&amp;A2,$A$2:$A$1001,"&gt;="&amp;(A2-설정!$B$6)),1)))</f>
        <v/>
      </c>
      <c r="J2" s="18" t="n">
        <f aca="false">IF(H2="","",COUNTIFS($B$2:$B$1001,B2,$A$2:$A$1001,"&lt;"&amp;A2,$A$2:$A$1001,"&gt;="&amp;(A2-설정!$B$6),$H$2:$H$1001,"&gt;=0"))</f>
        <v>0</v>
      </c>
      <c r="K2" s="21" t="str">
        <f aca="false">IF(I2="","",H2/I2-1)</f>
        <v/>
      </c>
      <c r="L2" s="19" t="str">
        <f aca="false">IF(H2="","",IF(J2&lt;설정!$B$7,"baseline 수집 중",IF(K2&lt;=-설정!$B$8,"저하","정상")))</f>
        <v>baseline 수집 중</v>
      </c>
      <c r="M2" s="20" t="s">
        <v>57</v>
      </c>
    </row>
    <row r="3" customFormat="false" ht="15" hidden="false" customHeight="false" outlineLevel="0" collapsed="false">
      <c r="A3" s="16"/>
      <c r="B3" s="17"/>
      <c r="C3" s="17"/>
      <c r="D3" s="17"/>
      <c r="E3" s="17"/>
      <c r="F3" s="17"/>
      <c r="G3" s="18" t="str">
        <f aca="false">IF(COUNT(D3:F3)=0,"",MAX(D3:F3))</f>
        <v/>
      </c>
      <c r="H3" s="18" t="str">
        <f aca="false">IF(COUNT(D3:F3)=0,"",ROUND(AVERAGE(D3:F3),1))</f>
        <v/>
      </c>
      <c r="I3" s="18" t="str">
        <f aca="false">IF(H3="","",IF(J3&lt;설정!$B$7,"",ROUND(AVERAGEIFS($H$2:$H$1001,$B$2:$B$1001,B3,$A$2:$A$1001,"&lt;"&amp;A3,$A$2:$A$1001,"&gt;="&amp;(A3-설정!$B$6)),1)))</f>
        <v/>
      </c>
      <c r="J3" s="18" t="str">
        <f aca="false">IF(H3="","",COUNTIFS($B$2:$B$1001,B3,$A$2:$A$1001,"&lt;"&amp;A3,$A$2:$A$1001,"&gt;="&amp;(A3-설정!$B$6),$H$2:$H$1001,"&gt;=0"))</f>
        <v/>
      </c>
      <c r="K3" s="21" t="str">
        <f aca="false">IF(I3="","",H3/I3-1)</f>
        <v/>
      </c>
      <c r="L3" s="19" t="str">
        <f aca="false">IF(H3="","",IF(J3&lt;설정!$B$7,"baseline 수집 중",IF(K3&lt;=-설정!$B$8,"저하","정상")))</f>
        <v/>
      </c>
      <c r="M3" s="20"/>
    </row>
    <row r="4" customFormat="false" ht="15" hidden="false" customHeight="false" outlineLevel="0" collapsed="false">
      <c r="A4" s="16"/>
      <c r="B4" s="17"/>
      <c r="C4" s="17"/>
      <c r="D4" s="17"/>
      <c r="E4" s="17"/>
      <c r="F4" s="17"/>
      <c r="G4" s="18" t="str">
        <f aca="false">IF(COUNT(D4:F4)=0,"",MAX(D4:F4))</f>
        <v/>
      </c>
      <c r="H4" s="18" t="str">
        <f aca="false">IF(COUNT(D4:F4)=0,"",ROUND(AVERAGE(D4:F4),1))</f>
        <v/>
      </c>
      <c r="I4" s="18" t="str">
        <f aca="false">IF(H4="","",IF(J4&lt;설정!$B$7,"",ROUND(AVERAGEIFS($H$2:$H$1001,$B$2:$B$1001,B4,$A$2:$A$1001,"&lt;"&amp;A4,$A$2:$A$1001,"&gt;="&amp;(A4-설정!$B$6)),1)))</f>
        <v/>
      </c>
      <c r="J4" s="18" t="str">
        <f aca="false">IF(H4="","",COUNTIFS($B$2:$B$1001,B4,$A$2:$A$1001,"&lt;"&amp;A4,$A$2:$A$1001,"&gt;="&amp;(A4-설정!$B$6),$H$2:$H$1001,"&gt;=0"))</f>
        <v/>
      </c>
      <c r="K4" s="21" t="str">
        <f aca="false">IF(I4="","",H4/I4-1)</f>
        <v/>
      </c>
      <c r="L4" s="19" t="str">
        <f aca="false">IF(H4="","",IF(J4&lt;설정!$B$7,"baseline 수집 중",IF(K4&lt;=-설정!$B$8,"저하","정상")))</f>
        <v/>
      </c>
      <c r="M4" s="20"/>
    </row>
    <row r="5" customFormat="false" ht="15" hidden="false" customHeight="false" outlineLevel="0" collapsed="false">
      <c r="A5" s="16"/>
      <c r="B5" s="17"/>
      <c r="C5" s="17"/>
      <c r="D5" s="17"/>
      <c r="E5" s="17"/>
      <c r="F5" s="17"/>
      <c r="G5" s="18" t="str">
        <f aca="false">IF(COUNT(D5:F5)=0,"",MAX(D5:F5))</f>
        <v/>
      </c>
      <c r="H5" s="18" t="str">
        <f aca="false">IF(COUNT(D5:F5)=0,"",ROUND(AVERAGE(D5:F5),1))</f>
        <v/>
      </c>
      <c r="I5" s="18" t="str">
        <f aca="false">IF(H5="","",IF(J5&lt;설정!$B$7,"",ROUND(AVERAGEIFS($H$2:$H$1001,$B$2:$B$1001,B5,$A$2:$A$1001,"&lt;"&amp;A5,$A$2:$A$1001,"&gt;="&amp;(A5-설정!$B$6)),1)))</f>
        <v/>
      </c>
      <c r="J5" s="18" t="str">
        <f aca="false">IF(H5="","",COUNTIFS($B$2:$B$1001,B5,$A$2:$A$1001,"&lt;"&amp;A5,$A$2:$A$1001,"&gt;="&amp;(A5-설정!$B$6),$H$2:$H$1001,"&gt;=0"))</f>
        <v/>
      </c>
      <c r="K5" s="21" t="str">
        <f aca="false">IF(I5="","",H5/I5-1)</f>
        <v/>
      </c>
      <c r="L5" s="19" t="str">
        <f aca="false">IF(H5="","",IF(J5&lt;설정!$B$7,"baseline 수집 중",IF(K5&lt;=-설정!$B$8,"저하","정상")))</f>
        <v/>
      </c>
      <c r="M5" s="20"/>
    </row>
    <row r="6" customFormat="false" ht="15" hidden="false" customHeight="false" outlineLevel="0" collapsed="false">
      <c r="A6" s="16"/>
      <c r="B6" s="17"/>
      <c r="C6" s="17"/>
      <c r="D6" s="17"/>
      <c r="E6" s="17"/>
      <c r="F6" s="17"/>
      <c r="G6" s="18" t="str">
        <f aca="false">IF(COUNT(D6:F6)=0,"",MAX(D6:F6))</f>
        <v/>
      </c>
      <c r="H6" s="18" t="str">
        <f aca="false">IF(COUNT(D6:F6)=0,"",ROUND(AVERAGE(D6:F6),1))</f>
        <v/>
      </c>
      <c r="I6" s="18" t="str">
        <f aca="false">IF(H6="","",IF(J6&lt;설정!$B$7,"",ROUND(AVERAGEIFS($H$2:$H$1001,$B$2:$B$1001,B6,$A$2:$A$1001,"&lt;"&amp;A6,$A$2:$A$1001,"&gt;="&amp;(A6-설정!$B$6)),1)))</f>
        <v/>
      </c>
      <c r="J6" s="18" t="str">
        <f aca="false">IF(H6="","",COUNTIFS($B$2:$B$1001,B6,$A$2:$A$1001,"&lt;"&amp;A6,$A$2:$A$1001,"&gt;="&amp;(A6-설정!$B$6),$H$2:$H$1001,"&gt;=0"))</f>
        <v/>
      </c>
      <c r="K6" s="21" t="str">
        <f aca="false">IF(I6="","",H6/I6-1)</f>
        <v/>
      </c>
      <c r="L6" s="19" t="str">
        <f aca="false">IF(H6="","",IF(J6&lt;설정!$B$7,"baseline 수집 중",IF(K6&lt;=-설정!$B$8,"저하","정상")))</f>
        <v/>
      </c>
      <c r="M6" s="20"/>
    </row>
    <row r="7" customFormat="false" ht="15" hidden="false" customHeight="false" outlineLevel="0" collapsed="false">
      <c r="A7" s="16"/>
      <c r="B7" s="17"/>
      <c r="C7" s="17"/>
      <c r="D7" s="17"/>
      <c r="E7" s="17"/>
      <c r="F7" s="17"/>
      <c r="G7" s="18" t="str">
        <f aca="false">IF(COUNT(D7:F7)=0,"",MAX(D7:F7))</f>
        <v/>
      </c>
      <c r="H7" s="18" t="str">
        <f aca="false">IF(COUNT(D7:F7)=0,"",ROUND(AVERAGE(D7:F7),1))</f>
        <v/>
      </c>
      <c r="I7" s="18" t="str">
        <f aca="false">IF(H7="","",IF(J7&lt;설정!$B$7,"",ROUND(AVERAGEIFS($H$2:$H$1001,$B$2:$B$1001,B7,$A$2:$A$1001,"&lt;"&amp;A7,$A$2:$A$1001,"&gt;="&amp;(A7-설정!$B$6)),1)))</f>
        <v/>
      </c>
      <c r="J7" s="18" t="str">
        <f aca="false">IF(H7="","",COUNTIFS($B$2:$B$1001,B7,$A$2:$A$1001,"&lt;"&amp;A7,$A$2:$A$1001,"&gt;="&amp;(A7-설정!$B$6),$H$2:$H$1001,"&gt;=0"))</f>
        <v/>
      </c>
      <c r="K7" s="21" t="str">
        <f aca="false">IF(I7="","",H7/I7-1)</f>
        <v/>
      </c>
      <c r="L7" s="19" t="str">
        <f aca="false">IF(H7="","",IF(J7&lt;설정!$B$7,"baseline 수집 중",IF(K7&lt;=-설정!$B$8,"저하","정상")))</f>
        <v/>
      </c>
      <c r="M7" s="20"/>
    </row>
    <row r="8" customFormat="false" ht="15" hidden="false" customHeight="false" outlineLevel="0" collapsed="false">
      <c r="A8" s="16"/>
      <c r="B8" s="17"/>
      <c r="C8" s="17"/>
      <c r="D8" s="17"/>
      <c r="E8" s="17"/>
      <c r="F8" s="17"/>
      <c r="G8" s="18" t="str">
        <f aca="false">IF(COUNT(D8:F8)=0,"",MAX(D8:F8))</f>
        <v/>
      </c>
      <c r="H8" s="18" t="str">
        <f aca="false">IF(COUNT(D8:F8)=0,"",ROUND(AVERAGE(D8:F8),1))</f>
        <v/>
      </c>
      <c r="I8" s="18" t="str">
        <f aca="false">IF(H8="","",IF(J8&lt;설정!$B$7,"",ROUND(AVERAGEIFS($H$2:$H$1001,$B$2:$B$1001,B8,$A$2:$A$1001,"&lt;"&amp;A8,$A$2:$A$1001,"&gt;="&amp;(A8-설정!$B$6)),1)))</f>
        <v/>
      </c>
      <c r="J8" s="18" t="str">
        <f aca="false">IF(H8="","",COUNTIFS($B$2:$B$1001,B8,$A$2:$A$1001,"&lt;"&amp;A8,$A$2:$A$1001,"&gt;="&amp;(A8-설정!$B$6),$H$2:$H$1001,"&gt;=0"))</f>
        <v/>
      </c>
      <c r="K8" s="21" t="str">
        <f aca="false">IF(I8="","",H8/I8-1)</f>
        <v/>
      </c>
      <c r="L8" s="19" t="str">
        <f aca="false">IF(H8="","",IF(J8&lt;설정!$B$7,"baseline 수집 중",IF(K8&lt;=-설정!$B$8,"저하","정상")))</f>
        <v/>
      </c>
      <c r="M8" s="20"/>
    </row>
    <row r="9" customFormat="false" ht="15" hidden="false" customHeight="false" outlineLevel="0" collapsed="false">
      <c r="A9" s="16"/>
      <c r="B9" s="17"/>
      <c r="C9" s="17"/>
      <c r="D9" s="17"/>
      <c r="E9" s="17"/>
      <c r="F9" s="17"/>
      <c r="G9" s="18" t="str">
        <f aca="false">IF(COUNT(D9:F9)=0,"",MAX(D9:F9))</f>
        <v/>
      </c>
      <c r="H9" s="18" t="str">
        <f aca="false">IF(COUNT(D9:F9)=0,"",ROUND(AVERAGE(D9:F9),1))</f>
        <v/>
      </c>
      <c r="I9" s="18" t="str">
        <f aca="false">IF(H9="","",IF(J9&lt;설정!$B$7,"",ROUND(AVERAGEIFS($H$2:$H$1001,$B$2:$B$1001,B9,$A$2:$A$1001,"&lt;"&amp;A9,$A$2:$A$1001,"&gt;="&amp;(A9-설정!$B$6)),1)))</f>
        <v/>
      </c>
      <c r="J9" s="18" t="str">
        <f aca="false">IF(H9="","",COUNTIFS($B$2:$B$1001,B9,$A$2:$A$1001,"&lt;"&amp;A9,$A$2:$A$1001,"&gt;="&amp;(A9-설정!$B$6),$H$2:$H$1001,"&gt;=0"))</f>
        <v/>
      </c>
      <c r="K9" s="21" t="str">
        <f aca="false">IF(I9="","",H9/I9-1)</f>
        <v/>
      </c>
      <c r="L9" s="19" t="str">
        <f aca="false">IF(H9="","",IF(J9&lt;설정!$B$7,"baseline 수집 중",IF(K9&lt;=-설정!$B$8,"저하","정상")))</f>
        <v/>
      </c>
      <c r="M9" s="20"/>
    </row>
    <row r="10" customFormat="false" ht="15" hidden="false" customHeight="false" outlineLevel="0" collapsed="false">
      <c r="A10" s="16"/>
      <c r="B10" s="17"/>
      <c r="C10" s="17"/>
      <c r="D10" s="17"/>
      <c r="E10" s="17"/>
      <c r="F10" s="17"/>
      <c r="G10" s="18" t="str">
        <f aca="false">IF(COUNT(D10:F10)=0,"",MAX(D10:F10))</f>
        <v/>
      </c>
      <c r="H10" s="18" t="str">
        <f aca="false">IF(COUNT(D10:F10)=0,"",ROUND(AVERAGE(D10:F10),1))</f>
        <v/>
      </c>
      <c r="I10" s="18" t="str">
        <f aca="false">IF(H10="","",IF(J10&lt;설정!$B$7,"",ROUND(AVERAGEIFS($H$2:$H$1001,$B$2:$B$1001,B10,$A$2:$A$1001,"&lt;"&amp;A10,$A$2:$A$1001,"&gt;="&amp;(A10-설정!$B$6)),1)))</f>
        <v/>
      </c>
      <c r="J10" s="18" t="str">
        <f aca="false">IF(H10="","",COUNTIFS($B$2:$B$1001,B10,$A$2:$A$1001,"&lt;"&amp;A10,$A$2:$A$1001,"&gt;="&amp;(A10-설정!$B$6),$H$2:$H$1001,"&gt;=0"))</f>
        <v/>
      </c>
      <c r="K10" s="21" t="str">
        <f aca="false">IF(I10="","",H10/I10-1)</f>
        <v/>
      </c>
      <c r="L10" s="19" t="str">
        <f aca="false">IF(H10="","",IF(J10&lt;설정!$B$7,"baseline 수집 중",IF(K10&lt;=-설정!$B$8,"저하","정상")))</f>
        <v/>
      </c>
      <c r="M10" s="20"/>
    </row>
    <row r="11" customFormat="false" ht="15" hidden="false" customHeight="false" outlineLevel="0" collapsed="false">
      <c r="A11" s="16"/>
      <c r="B11" s="17"/>
      <c r="C11" s="17"/>
      <c r="D11" s="17"/>
      <c r="E11" s="17"/>
      <c r="F11" s="17"/>
      <c r="G11" s="18" t="str">
        <f aca="false">IF(COUNT(D11:F11)=0,"",MAX(D11:F11))</f>
        <v/>
      </c>
      <c r="H11" s="18" t="str">
        <f aca="false">IF(COUNT(D11:F11)=0,"",ROUND(AVERAGE(D11:F11),1))</f>
        <v/>
      </c>
      <c r="I11" s="18" t="str">
        <f aca="false">IF(H11="","",IF(J11&lt;설정!$B$7,"",ROUND(AVERAGEIFS($H$2:$H$1001,$B$2:$B$1001,B11,$A$2:$A$1001,"&lt;"&amp;A11,$A$2:$A$1001,"&gt;="&amp;(A11-설정!$B$6)),1)))</f>
        <v/>
      </c>
      <c r="J11" s="18" t="str">
        <f aca="false">IF(H11="","",COUNTIFS($B$2:$B$1001,B11,$A$2:$A$1001,"&lt;"&amp;A11,$A$2:$A$1001,"&gt;="&amp;(A11-설정!$B$6),$H$2:$H$1001,"&gt;=0"))</f>
        <v/>
      </c>
      <c r="K11" s="21" t="str">
        <f aca="false">IF(I11="","",H11/I11-1)</f>
        <v/>
      </c>
      <c r="L11" s="19" t="str">
        <f aca="false">IF(H11="","",IF(J11&lt;설정!$B$7,"baseline 수집 중",IF(K11&lt;=-설정!$B$8,"저하","정상")))</f>
        <v/>
      </c>
      <c r="M11" s="20"/>
    </row>
    <row r="12" customFormat="false" ht="15" hidden="false" customHeight="false" outlineLevel="0" collapsed="false">
      <c r="A12" s="16"/>
      <c r="B12" s="17"/>
      <c r="C12" s="17"/>
      <c r="D12" s="17"/>
      <c r="E12" s="17"/>
      <c r="F12" s="17"/>
      <c r="G12" s="18" t="str">
        <f aca="false">IF(COUNT(D12:F12)=0,"",MAX(D12:F12))</f>
        <v/>
      </c>
      <c r="H12" s="18" t="str">
        <f aca="false">IF(COUNT(D12:F12)=0,"",ROUND(AVERAGE(D12:F12),1))</f>
        <v/>
      </c>
      <c r="I12" s="18" t="str">
        <f aca="false">IF(H12="","",IF(J12&lt;설정!$B$7,"",ROUND(AVERAGEIFS($H$2:$H$1001,$B$2:$B$1001,B12,$A$2:$A$1001,"&lt;"&amp;A12,$A$2:$A$1001,"&gt;="&amp;(A12-설정!$B$6)),1)))</f>
        <v/>
      </c>
      <c r="J12" s="18" t="str">
        <f aca="false">IF(H12="","",COUNTIFS($B$2:$B$1001,B12,$A$2:$A$1001,"&lt;"&amp;A12,$A$2:$A$1001,"&gt;="&amp;(A12-설정!$B$6),$H$2:$H$1001,"&gt;=0"))</f>
        <v/>
      </c>
      <c r="K12" s="21" t="str">
        <f aca="false">IF(I12="","",H12/I12-1)</f>
        <v/>
      </c>
      <c r="L12" s="19" t="str">
        <f aca="false">IF(H12="","",IF(J12&lt;설정!$B$7,"baseline 수집 중",IF(K12&lt;=-설정!$B$8,"저하","정상")))</f>
        <v/>
      </c>
      <c r="M12" s="20"/>
    </row>
    <row r="13" customFormat="false" ht="15" hidden="false" customHeight="false" outlineLevel="0" collapsed="false">
      <c r="A13" s="16"/>
      <c r="B13" s="17"/>
      <c r="C13" s="17"/>
      <c r="D13" s="17"/>
      <c r="E13" s="17"/>
      <c r="F13" s="17"/>
      <c r="G13" s="18" t="str">
        <f aca="false">IF(COUNT(D13:F13)=0,"",MAX(D13:F13))</f>
        <v/>
      </c>
      <c r="H13" s="18" t="str">
        <f aca="false">IF(COUNT(D13:F13)=0,"",ROUND(AVERAGE(D13:F13),1))</f>
        <v/>
      </c>
      <c r="I13" s="18" t="str">
        <f aca="false">IF(H13="","",IF(J13&lt;설정!$B$7,"",ROUND(AVERAGEIFS($H$2:$H$1001,$B$2:$B$1001,B13,$A$2:$A$1001,"&lt;"&amp;A13,$A$2:$A$1001,"&gt;="&amp;(A13-설정!$B$6)),1)))</f>
        <v/>
      </c>
      <c r="J13" s="18" t="str">
        <f aca="false">IF(H13="","",COUNTIFS($B$2:$B$1001,B13,$A$2:$A$1001,"&lt;"&amp;A13,$A$2:$A$1001,"&gt;="&amp;(A13-설정!$B$6),$H$2:$H$1001,"&gt;=0"))</f>
        <v/>
      </c>
      <c r="K13" s="21" t="str">
        <f aca="false">IF(I13="","",H13/I13-1)</f>
        <v/>
      </c>
      <c r="L13" s="19" t="str">
        <f aca="false">IF(H13="","",IF(J13&lt;설정!$B$7,"baseline 수집 중",IF(K13&lt;=-설정!$B$8,"저하","정상")))</f>
        <v/>
      </c>
      <c r="M13" s="20"/>
    </row>
    <row r="14" customFormat="false" ht="15" hidden="false" customHeight="false" outlineLevel="0" collapsed="false">
      <c r="A14" s="16"/>
      <c r="B14" s="17"/>
      <c r="C14" s="17"/>
      <c r="D14" s="17"/>
      <c r="E14" s="17"/>
      <c r="F14" s="17"/>
      <c r="G14" s="18" t="str">
        <f aca="false">IF(COUNT(D14:F14)=0,"",MAX(D14:F14))</f>
        <v/>
      </c>
      <c r="H14" s="18" t="str">
        <f aca="false">IF(COUNT(D14:F14)=0,"",ROUND(AVERAGE(D14:F14),1))</f>
        <v/>
      </c>
      <c r="I14" s="18" t="str">
        <f aca="false">IF(H14="","",IF(J14&lt;설정!$B$7,"",ROUND(AVERAGEIFS($H$2:$H$1001,$B$2:$B$1001,B14,$A$2:$A$1001,"&lt;"&amp;A14,$A$2:$A$1001,"&gt;="&amp;(A14-설정!$B$6)),1)))</f>
        <v/>
      </c>
      <c r="J14" s="18" t="str">
        <f aca="false">IF(H14="","",COUNTIFS($B$2:$B$1001,B14,$A$2:$A$1001,"&lt;"&amp;A14,$A$2:$A$1001,"&gt;="&amp;(A14-설정!$B$6),$H$2:$H$1001,"&gt;=0"))</f>
        <v/>
      </c>
      <c r="K14" s="21" t="str">
        <f aca="false">IF(I14="","",H14/I14-1)</f>
        <v/>
      </c>
      <c r="L14" s="19" t="str">
        <f aca="false">IF(H14="","",IF(J14&lt;설정!$B$7,"baseline 수집 중",IF(K14&lt;=-설정!$B$8,"저하","정상")))</f>
        <v/>
      </c>
      <c r="M14" s="20"/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7"/>
      <c r="G15" s="18" t="str">
        <f aca="false">IF(COUNT(D15:F15)=0,"",MAX(D15:F15))</f>
        <v/>
      </c>
      <c r="H15" s="18" t="str">
        <f aca="false">IF(COUNT(D15:F15)=0,"",ROUND(AVERAGE(D15:F15),1))</f>
        <v/>
      </c>
      <c r="I15" s="18" t="str">
        <f aca="false">IF(H15="","",IF(J15&lt;설정!$B$7,"",ROUND(AVERAGEIFS($H$2:$H$1001,$B$2:$B$1001,B15,$A$2:$A$1001,"&lt;"&amp;A15,$A$2:$A$1001,"&gt;="&amp;(A15-설정!$B$6)),1)))</f>
        <v/>
      </c>
      <c r="J15" s="18" t="str">
        <f aca="false">IF(H15="","",COUNTIFS($B$2:$B$1001,B15,$A$2:$A$1001,"&lt;"&amp;A15,$A$2:$A$1001,"&gt;="&amp;(A15-설정!$B$6),$H$2:$H$1001,"&gt;=0"))</f>
        <v/>
      </c>
      <c r="K15" s="21" t="str">
        <f aca="false">IF(I15="","",H15/I15-1)</f>
        <v/>
      </c>
      <c r="L15" s="19" t="str">
        <f aca="false">IF(H15="","",IF(J15&lt;설정!$B$7,"baseline 수집 중",IF(K15&lt;=-설정!$B$8,"저하","정상")))</f>
        <v/>
      </c>
      <c r="M15" s="20"/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7"/>
      <c r="G16" s="18" t="str">
        <f aca="false">IF(COUNT(D16:F16)=0,"",MAX(D16:F16))</f>
        <v/>
      </c>
      <c r="H16" s="18" t="str">
        <f aca="false">IF(COUNT(D16:F16)=0,"",ROUND(AVERAGE(D16:F16),1))</f>
        <v/>
      </c>
      <c r="I16" s="18" t="str">
        <f aca="false">IF(H16="","",IF(J16&lt;설정!$B$7,"",ROUND(AVERAGEIFS($H$2:$H$1001,$B$2:$B$1001,B16,$A$2:$A$1001,"&lt;"&amp;A16,$A$2:$A$1001,"&gt;="&amp;(A16-설정!$B$6)),1)))</f>
        <v/>
      </c>
      <c r="J16" s="18" t="str">
        <f aca="false">IF(H16="","",COUNTIFS($B$2:$B$1001,B16,$A$2:$A$1001,"&lt;"&amp;A16,$A$2:$A$1001,"&gt;="&amp;(A16-설정!$B$6),$H$2:$H$1001,"&gt;=0"))</f>
        <v/>
      </c>
      <c r="K16" s="21" t="str">
        <f aca="false">IF(I16="","",H16/I16-1)</f>
        <v/>
      </c>
      <c r="L16" s="19" t="str">
        <f aca="false">IF(H16="","",IF(J16&lt;설정!$B$7,"baseline 수집 중",IF(K16&lt;=-설정!$B$8,"저하","정상")))</f>
        <v/>
      </c>
      <c r="M16" s="20"/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8" t="str">
        <f aca="false">IF(COUNT(D17:F17)=0,"",MAX(D17:F17))</f>
        <v/>
      </c>
      <c r="H17" s="18" t="str">
        <f aca="false">IF(COUNT(D17:F17)=0,"",ROUND(AVERAGE(D17:F17),1))</f>
        <v/>
      </c>
      <c r="I17" s="18" t="str">
        <f aca="false">IF(H17="","",IF(J17&lt;설정!$B$7,"",ROUND(AVERAGEIFS($H$2:$H$1001,$B$2:$B$1001,B17,$A$2:$A$1001,"&lt;"&amp;A17,$A$2:$A$1001,"&gt;="&amp;(A17-설정!$B$6)),1)))</f>
        <v/>
      </c>
      <c r="J17" s="18" t="str">
        <f aca="false">IF(H17="","",COUNTIFS($B$2:$B$1001,B17,$A$2:$A$1001,"&lt;"&amp;A17,$A$2:$A$1001,"&gt;="&amp;(A17-설정!$B$6),$H$2:$H$1001,"&gt;=0"))</f>
        <v/>
      </c>
      <c r="K17" s="21" t="str">
        <f aca="false">IF(I17="","",H17/I17-1)</f>
        <v/>
      </c>
      <c r="L17" s="19" t="str">
        <f aca="false">IF(H17="","",IF(J17&lt;설정!$B$7,"baseline 수집 중",IF(K17&lt;=-설정!$B$8,"저하","정상")))</f>
        <v/>
      </c>
      <c r="M17" s="20"/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  <c r="G18" s="18" t="str">
        <f aca="false">IF(COUNT(D18:F18)=0,"",MAX(D18:F18))</f>
        <v/>
      </c>
      <c r="H18" s="18" t="str">
        <f aca="false">IF(COUNT(D18:F18)=0,"",ROUND(AVERAGE(D18:F18),1))</f>
        <v/>
      </c>
      <c r="I18" s="18" t="str">
        <f aca="false">IF(H18="","",IF(J18&lt;설정!$B$7,"",ROUND(AVERAGEIFS($H$2:$H$1001,$B$2:$B$1001,B18,$A$2:$A$1001,"&lt;"&amp;A18,$A$2:$A$1001,"&gt;="&amp;(A18-설정!$B$6)),1)))</f>
        <v/>
      </c>
      <c r="J18" s="18" t="str">
        <f aca="false">IF(H18="","",COUNTIFS($B$2:$B$1001,B18,$A$2:$A$1001,"&lt;"&amp;A18,$A$2:$A$1001,"&gt;="&amp;(A18-설정!$B$6),$H$2:$H$1001,"&gt;=0"))</f>
        <v/>
      </c>
      <c r="K18" s="21" t="str">
        <f aca="false">IF(I18="","",H18/I18-1)</f>
        <v/>
      </c>
      <c r="L18" s="19" t="str">
        <f aca="false">IF(H18="","",IF(J18&lt;설정!$B$7,"baseline 수집 중",IF(K18&lt;=-설정!$B$8,"저하","정상")))</f>
        <v/>
      </c>
      <c r="M18" s="20"/>
    </row>
    <row r="19" customFormat="false" ht="15" hidden="false" customHeight="false" outlineLevel="0" collapsed="false">
      <c r="A19" s="16"/>
      <c r="B19" s="17"/>
      <c r="C19" s="17"/>
      <c r="D19" s="17"/>
      <c r="E19" s="17"/>
      <c r="F19" s="17"/>
      <c r="G19" s="18" t="str">
        <f aca="false">IF(COUNT(D19:F19)=0,"",MAX(D19:F19))</f>
        <v/>
      </c>
      <c r="H19" s="18" t="str">
        <f aca="false">IF(COUNT(D19:F19)=0,"",ROUND(AVERAGE(D19:F19),1))</f>
        <v/>
      </c>
      <c r="I19" s="18" t="str">
        <f aca="false">IF(H19="","",IF(J19&lt;설정!$B$7,"",ROUND(AVERAGEIFS($H$2:$H$1001,$B$2:$B$1001,B19,$A$2:$A$1001,"&lt;"&amp;A19,$A$2:$A$1001,"&gt;="&amp;(A19-설정!$B$6)),1)))</f>
        <v/>
      </c>
      <c r="J19" s="18" t="str">
        <f aca="false">IF(H19="","",COUNTIFS($B$2:$B$1001,B19,$A$2:$A$1001,"&lt;"&amp;A19,$A$2:$A$1001,"&gt;="&amp;(A19-설정!$B$6),$H$2:$H$1001,"&gt;=0"))</f>
        <v/>
      </c>
      <c r="K19" s="21" t="str">
        <f aca="false">IF(I19="","",H19/I19-1)</f>
        <v/>
      </c>
      <c r="L19" s="19" t="str">
        <f aca="false">IF(H19="","",IF(J19&lt;설정!$B$7,"baseline 수집 중",IF(K19&lt;=-설정!$B$8,"저하","정상")))</f>
        <v/>
      </c>
      <c r="M19" s="20"/>
    </row>
    <row r="20" customFormat="false" ht="15" hidden="false" customHeight="false" outlineLevel="0" collapsed="false">
      <c r="A20" s="16"/>
      <c r="B20" s="17"/>
      <c r="C20" s="17"/>
      <c r="D20" s="17"/>
      <c r="E20" s="17"/>
      <c r="F20" s="17"/>
      <c r="G20" s="18" t="str">
        <f aca="false">IF(COUNT(D20:F20)=0,"",MAX(D20:F20))</f>
        <v/>
      </c>
      <c r="H20" s="18" t="str">
        <f aca="false">IF(COUNT(D20:F20)=0,"",ROUND(AVERAGE(D20:F20),1))</f>
        <v/>
      </c>
      <c r="I20" s="18" t="str">
        <f aca="false">IF(H20="","",IF(J20&lt;설정!$B$7,"",ROUND(AVERAGEIFS($H$2:$H$1001,$B$2:$B$1001,B20,$A$2:$A$1001,"&lt;"&amp;A20,$A$2:$A$1001,"&gt;="&amp;(A20-설정!$B$6)),1)))</f>
        <v/>
      </c>
      <c r="J20" s="18" t="str">
        <f aca="false">IF(H20="","",COUNTIFS($B$2:$B$1001,B20,$A$2:$A$1001,"&lt;"&amp;A20,$A$2:$A$1001,"&gt;="&amp;(A20-설정!$B$6),$H$2:$H$1001,"&gt;=0"))</f>
        <v/>
      </c>
      <c r="K20" s="21" t="str">
        <f aca="false">IF(I20="","",H20/I20-1)</f>
        <v/>
      </c>
      <c r="L20" s="19" t="str">
        <f aca="false">IF(H20="","",IF(J20&lt;설정!$B$7,"baseline 수집 중",IF(K20&lt;=-설정!$B$8,"저하","정상")))</f>
        <v/>
      </c>
      <c r="M20" s="20"/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7"/>
      <c r="G21" s="18" t="str">
        <f aca="false">IF(COUNT(D21:F21)=0,"",MAX(D21:F21))</f>
        <v/>
      </c>
      <c r="H21" s="18" t="str">
        <f aca="false">IF(COUNT(D21:F21)=0,"",ROUND(AVERAGE(D21:F21),1))</f>
        <v/>
      </c>
      <c r="I21" s="18" t="str">
        <f aca="false">IF(H21="","",IF(J21&lt;설정!$B$7,"",ROUND(AVERAGEIFS($H$2:$H$1001,$B$2:$B$1001,B21,$A$2:$A$1001,"&lt;"&amp;A21,$A$2:$A$1001,"&gt;="&amp;(A21-설정!$B$6)),1)))</f>
        <v/>
      </c>
      <c r="J21" s="18" t="str">
        <f aca="false">IF(H21="","",COUNTIFS($B$2:$B$1001,B21,$A$2:$A$1001,"&lt;"&amp;A21,$A$2:$A$1001,"&gt;="&amp;(A21-설정!$B$6),$H$2:$H$1001,"&gt;=0"))</f>
        <v/>
      </c>
      <c r="K21" s="21" t="str">
        <f aca="false">IF(I21="","",H21/I21-1)</f>
        <v/>
      </c>
      <c r="L21" s="19" t="str">
        <f aca="false">IF(H21="","",IF(J21&lt;설정!$B$7,"baseline 수집 중",IF(K21&lt;=-설정!$B$8,"저하","정상")))</f>
        <v/>
      </c>
      <c r="M21" s="20"/>
    </row>
    <row r="22" customFormat="false" ht="15" hidden="false" customHeight="false" outlineLevel="0" collapsed="false">
      <c r="A22" s="16"/>
      <c r="B22" s="17"/>
      <c r="C22" s="17"/>
      <c r="D22" s="17"/>
      <c r="E22" s="17"/>
      <c r="F22" s="17"/>
      <c r="G22" s="18" t="str">
        <f aca="false">IF(COUNT(D22:F22)=0,"",MAX(D22:F22))</f>
        <v/>
      </c>
      <c r="H22" s="18" t="str">
        <f aca="false">IF(COUNT(D22:F22)=0,"",ROUND(AVERAGE(D22:F22),1))</f>
        <v/>
      </c>
      <c r="I22" s="18" t="str">
        <f aca="false">IF(H22="","",IF(J22&lt;설정!$B$7,"",ROUND(AVERAGEIFS($H$2:$H$1001,$B$2:$B$1001,B22,$A$2:$A$1001,"&lt;"&amp;A22,$A$2:$A$1001,"&gt;="&amp;(A22-설정!$B$6)),1)))</f>
        <v/>
      </c>
      <c r="J22" s="18" t="str">
        <f aca="false">IF(H22="","",COUNTIFS($B$2:$B$1001,B22,$A$2:$A$1001,"&lt;"&amp;A22,$A$2:$A$1001,"&gt;="&amp;(A22-설정!$B$6),$H$2:$H$1001,"&gt;=0"))</f>
        <v/>
      </c>
      <c r="K22" s="21" t="str">
        <f aca="false">IF(I22="","",H22/I22-1)</f>
        <v/>
      </c>
      <c r="L22" s="19" t="str">
        <f aca="false">IF(H22="","",IF(J22&lt;설정!$B$7,"baseline 수집 중",IF(K22&lt;=-설정!$B$8,"저하","정상")))</f>
        <v/>
      </c>
      <c r="M22" s="20"/>
    </row>
    <row r="23" customFormat="false" ht="15" hidden="false" customHeight="false" outlineLevel="0" collapsed="false">
      <c r="A23" s="16"/>
      <c r="B23" s="17"/>
      <c r="C23" s="17"/>
      <c r="D23" s="17"/>
      <c r="E23" s="17"/>
      <c r="F23" s="17"/>
      <c r="G23" s="18" t="str">
        <f aca="false">IF(COUNT(D23:F23)=0,"",MAX(D23:F23))</f>
        <v/>
      </c>
      <c r="H23" s="18" t="str">
        <f aca="false">IF(COUNT(D23:F23)=0,"",ROUND(AVERAGE(D23:F23),1))</f>
        <v/>
      </c>
      <c r="I23" s="18" t="str">
        <f aca="false">IF(H23="","",IF(J23&lt;설정!$B$7,"",ROUND(AVERAGEIFS($H$2:$H$1001,$B$2:$B$1001,B23,$A$2:$A$1001,"&lt;"&amp;A23,$A$2:$A$1001,"&gt;="&amp;(A23-설정!$B$6)),1)))</f>
        <v/>
      </c>
      <c r="J23" s="18" t="str">
        <f aca="false">IF(H23="","",COUNTIFS($B$2:$B$1001,B23,$A$2:$A$1001,"&lt;"&amp;A23,$A$2:$A$1001,"&gt;="&amp;(A23-설정!$B$6),$H$2:$H$1001,"&gt;=0"))</f>
        <v/>
      </c>
      <c r="K23" s="21" t="str">
        <f aca="false">IF(I23="","",H23/I23-1)</f>
        <v/>
      </c>
      <c r="L23" s="19" t="str">
        <f aca="false">IF(H23="","",IF(J23&lt;설정!$B$7,"baseline 수집 중",IF(K23&lt;=-설정!$B$8,"저하","정상")))</f>
        <v/>
      </c>
      <c r="M23" s="20"/>
    </row>
    <row r="24" customFormat="false" ht="15" hidden="false" customHeight="false" outlineLevel="0" collapsed="false">
      <c r="A24" s="16"/>
      <c r="B24" s="17"/>
      <c r="C24" s="17"/>
      <c r="D24" s="17"/>
      <c r="E24" s="17"/>
      <c r="F24" s="17"/>
      <c r="G24" s="18" t="str">
        <f aca="false">IF(COUNT(D24:F24)=0,"",MAX(D24:F24))</f>
        <v/>
      </c>
      <c r="H24" s="18" t="str">
        <f aca="false">IF(COUNT(D24:F24)=0,"",ROUND(AVERAGE(D24:F24),1))</f>
        <v/>
      </c>
      <c r="I24" s="18" t="str">
        <f aca="false">IF(H24="","",IF(J24&lt;설정!$B$7,"",ROUND(AVERAGEIFS($H$2:$H$1001,$B$2:$B$1001,B24,$A$2:$A$1001,"&lt;"&amp;A24,$A$2:$A$1001,"&gt;="&amp;(A24-설정!$B$6)),1)))</f>
        <v/>
      </c>
      <c r="J24" s="18" t="str">
        <f aca="false">IF(H24="","",COUNTIFS($B$2:$B$1001,B24,$A$2:$A$1001,"&lt;"&amp;A24,$A$2:$A$1001,"&gt;="&amp;(A24-설정!$B$6),$H$2:$H$1001,"&gt;=0"))</f>
        <v/>
      </c>
      <c r="K24" s="21" t="str">
        <f aca="false">IF(I24="","",H24/I24-1)</f>
        <v/>
      </c>
      <c r="L24" s="19" t="str">
        <f aca="false">IF(H24="","",IF(J24&lt;설정!$B$7,"baseline 수집 중",IF(K24&lt;=-설정!$B$8,"저하","정상")))</f>
        <v/>
      </c>
      <c r="M24" s="20"/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  <c r="G25" s="18" t="str">
        <f aca="false">IF(COUNT(D25:F25)=0,"",MAX(D25:F25))</f>
        <v/>
      </c>
      <c r="H25" s="18" t="str">
        <f aca="false">IF(COUNT(D25:F25)=0,"",ROUND(AVERAGE(D25:F25),1))</f>
        <v/>
      </c>
      <c r="I25" s="18" t="str">
        <f aca="false">IF(H25="","",IF(J25&lt;설정!$B$7,"",ROUND(AVERAGEIFS($H$2:$H$1001,$B$2:$B$1001,B25,$A$2:$A$1001,"&lt;"&amp;A25,$A$2:$A$1001,"&gt;="&amp;(A25-설정!$B$6)),1)))</f>
        <v/>
      </c>
      <c r="J25" s="18" t="str">
        <f aca="false">IF(H25="","",COUNTIFS($B$2:$B$1001,B25,$A$2:$A$1001,"&lt;"&amp;A25,$A$2:$A$1001,"&gt;="&amp;(A25-설정!$B$6),$H$2:$H$1001,"&gt;=0"))</f>
        <v/>
      </c>
      <c r="K25" s="21" t="str">
        <f aca="false">IF(I25="","",H25/I25-1)</f>
        <v/>
      </c>
      <c r="L25" s="19" t="str">
        <f aca="false">IF(H25="","",IF(J25&lt;설정!$B$7,"baseline 수집 중",IF(K25&lt;=-설정!$B$8,"저하","정상")))</f>
        <v/>
      </c>
      <c r="M25" s="20"/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7"/>
      <c r="G26" s="18" t="str">
        <f aca="false">IF(COUNT(D26:F26)=0,"",MAX(D26:F26))</f>
        <v/>
      </c>
      <c r="H26" s="18" t="str">
        <f aca="false">IF(COUNT(D26:F26)=0,"",ROUND(AVERAGE(D26:F26),1))</f>
        <v/>
      </c>
      <c r="I26" s="18" t="str">
        <f aca="false">IF(H26="","",IF(J26&lt;설정!$B$7,"",ROUND(AVERAGEIFS($H$2:$H$1001,$B$2:$B$1001,B26,$A$2:$A$1001,"&lt;"&amp;A26,$A$2:$A$1001,"&gt;="&amp;(A26-설정!$B$6)),1)))</f>
        <v/>
      </c>
      <c r="J26" s="18" t="str">
        <f aca="false">IF(H26="","",COUNTIFS($B$2:$B$1001,B26,$A$2:$A$1001,"&lt;"&amp;A26,$A$2:$A$1001,"&gt;="&amp;(A26-설정!$B$6),$H$2:$H$1001,"&gt;=0"))</f>
        <v/>
      </c>
      <c r="K26" s="21" t="str">
        <f aca="false">IF(I26="","",H26/I26-1)</f>
        <v/>
      </c>
      <c r="L26" s="19" t="str">
        <f aca="false">IF(H26="","",IF(J26&lt;설정!$B$7,"baseline 수집 중",IF(K26&lt;=-설정!$B$8,"저하","정상")))</f>
        <v/>
      </c>
      <c r="M26" s="20"/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8" t="str">
        <f aca="false">IF(COUNT(D27:F27)=0,"",MAX(D27:F27))</f>
        <v/>
      </c>
      <c r="H27" s="18" t="str">
        <f aca="false">IF(COUNT(D27:F27)=0,"",ROUND(AVERAGE(D27:F27),1))</f>
        <v/>
      </c>
      <c r="I27" s="18" t="str">
        <f aca="false">IF(H27="","",IF(J27&lt;설정!$B$7,"",ROUND(AVERAGEIFS($H$2:$H$1001,$B$2:$B$1001,B27,$A$2:$A$1001,"&lt;"&amp;A27,$A$2:$A$1001,"&gt;="&amp;(A27-설정!$B$6)),1)))</f>
        <v/>
      </c>
      <c r="J27" s="18" t="str">
        <f aca="false">IF(H27="","",COUNTIFS($B$2:$B$1001,B27,$A$2:$A$1001,"&lt;"&amp;A27,$A$2:$A$1001,"&gt;="&amp;(A27-설정!$B$6),$H$2:$H$1001,"&gt;=0"))</f>
        <v/>
      </c>
      <c r="K27" s="21" t="str">
        <f aca="false">IF(I27="","",H27/I27-1)</f>
        <v/>
      </c>
      <c r="L27" s="19" t="str">
        <f aca="false">IF(H27="","",IF(J27&lt;설정!$B$7,"baseline 수집 중",IF(K27&lt;=-설정!$B$8,"저하","정상")))</f>
        <v/>
      </c>
      <c r="M27" s="20"/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8" t="str">
        <f aca="false">IF(COUNT(D28:F28)=0,"",MAX(D28:F28))</f>
        <v/>
      </c>
      <c r="H28" s="18" t="str">
        <f aca="false">IF(COUNT(D28:F28)=0,"",ROUND(AVERAGE(D28:F28),1))</f>
        <v/>
      </c>
      <c r="I28" s="18" t="str">
        <f aca="false">IF(H28="","",IF(J28&lt;설정!$B$7,"",ROUND(AVERAGEIFS($H$2:$H$1001,$B$2:$B$1001,B28,$A$2:$A$1001,"&lt;"&amp;A28,$A$2:$A$1001,"&gt;="&amp;(A28-설정!$B$6)),1)))</f>
        <v/>
      </c>
      <c r="J28" s="18" t="str">
        <f aca="false">IF(H28="","",COUNTIFS($B$2:$B$1001,B28,$A$2:$A$1001,"&lt;"&amp;A28,$A$2:$A$1001,"&gt;="&amp;(A28-설정!$B$6),$H$2:$H$1001,"&gt;=0"))</f>
        <v/>
      </c>
      <c r="K28" s="21" t="str">
        <f aca="false">IF(I28="","",H28/I28-1)</f>
        <v/>
      </c>
      <c r="L28" s="19" t="str">
        <f aca="false">IF(H28="","",IF(J28&lt;설정!$B$7,"baseline 수집 중",IF(K28&lt;=-설정!$B$8,"저하","정상")))</f>
        <v/>
      </c>
      <c r="M28" s="20"/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7"/>
      <c r="G29" s="18" t="str">
        <f aca="false">IF(COUNT(D29:F29)=0,"",MAX(D29:F29))</f>
        <v/>
      </c>
      <c r="H29" s="18" t="str">
        <f aca="false">IF(COUNT(D29:F29)=0,"",ROUND(AVERAGE(D29:F29),1))</f>
        <v/>
      </c>
      <c r="I29" s="18" t="str">
        <f aca="false">IF(H29="","",IF(J29&lt;설정!$B$7,"",ROUND(AVERAGEIFS($H$2:$H$1001,$B$2:$B$1001,B29,$A$2:$A$1001,"&lt;"&amp;A29,$A$2:$A$1001,"&gt;="&amp;(A29-설정!$B$6)),1)))</f>
        <v/>
      </c>
      <c r="J29" s="18" t="str">
        <f aca="false">IF(H29="","",COUNTIFS($B$2:$B$1001,B29,$A$2:$A$1001,"&lt;"&amp;A29,$A$2:$A$1001,"&gt;="&amp;(A29-설정!$B$6),$H$2:$H$1001,"&gt;=0"))</f>
        <v/>
      </c>
      <c r="K29" s="21" t="str">
        <f aca="false">IF(I29="","",H29/I29-1)</f>
        <v/>
      </c>
      <c r="L29" s="19" t="str">
        <f aca="false">IF(H29="","",IF(J29&lt;설정!$B$7,"baseline 수집 중",IF(K29&lt;=-설정!$B$8,"저하","정상")))</f>
        <v/>
      </c>
      <c r="M29" s="20"/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  <c r="G30" s="18" t="str">
        <f aca="false">IF(COUNT(D30:F30)=0,"",MAX(D30:F30))</f>
        <v/>
      </c>
      <c r="H30" s="18" t="str">
        <f aca="false">IF(COUNT(D30:F30)=0,"",ROUND(AVERAGE(D30:F30),1))</f>
        <v/>
      </c>
      <c r="I30" s="18" t="str">
        <f aca="false">IF(H30="","",IF(J30&lt;설정!$B$7,"",ROUND(AVERAGEIFS($H$2:$H$1001,$B$2:$B$1001,B30,$A$2:$A$1001,"&lt;"&amp;A30,$A$2:$A$1001,"&gt;="&amp;(A30-설정!$B$6)),1)))</f>
        <v/>
      </c>
      <c r="J30" s="18" t="str">
        <f aca="false">IF(H30="","",COUNTIFS($B$2:$B$1001,B30,$A$2:$A$1001,"&lt;"&amp;A30,$A$2:$A$1001,"&gt;="&amp;(A30-설정!$B$6),$H$2:$H$1001,"&gt;=0"))</f>
        <v/>
      </c>
      <c r="K30" s="21" t="str">
        <f aca="false">IF(I30="","",H30/I30-1)</f>
        <v/>
      </c>
      <c r="L30" s="19" t="str">
        <f aca="false">IF(H30="","",IF(J30&lt;설정!$B$7,"baseline 수집 중",IF(K30&lt;=-설정!$B$8,"저하","정상")))</f>
        <v/>
      </c>
      <c r="M30" s="20"/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7"/>
      <c r="G31" s="18" t="str">
        <f aca="false">IF(COUNT(D31:F31)=0,"",MAX(D31:F31))</f>
        <v/>
      </c>
      <c r="H31" s="18" t="str">
        <f aca="false">IF(COUNT(D31:F31)=0,"",ROUND(AVERAGE(D31:F31),1))</f>
        <v/>
      </c>
      <c r="I31" s="18" t="str">
        <f aca="false">IF(H31="","",IF(J31&lt;설정!$B$7,"",ROUND(AVERAGEIFS($H$2:$H$1001,$B$2:$B$1001,B31,$A$2:$A$1001,"&lt;"&amp;A31,$A$2:$A$1001,"&gt;="&amp;(A31-설정!$B$6)),1)))</f>
        <v/>
      </c>
      <c r="J31" s="18" t="str">
        <f aca="false">IF(H31="","",COUNTIFS($B$2:$B$1001,B31,$A$2:$A$1001,"&lt;"&amp;A31,$A$2:$A$1001,"&gt;="&amp;(A31-설정!$B$6),$H$2:$H$1001,"&gt;=0"))</f>
        <v/>
      </c>
      <c r="K31" s="21" t="str">
        <f aca="false">IF(I31="","",H31/I31-1)</f>
        <v/>
      </c>
      <c r="L31" s="19" t="str">
        <f aca="false">IF(H31="","",IF(J31&lt;설정!$B$7,"baseline 수집 중",IF(K31&lt;=-설정!$B$8,"저하","정상")))</f>
        <v/>
      </c>
      <c r="M31" s="20"/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7"/>
      <c r="G32" s="18" t="str">
        <f aca="false">IF(COUNT(D32:F32)=0,"",MAX(D32:F32))</f>
        <v/>
      </c>
      <c r="H32" s="18" t="str">
        <f aca="false">IF(COUNT(D32:F32)=0,"",ROUND(AVERAGE(D32:F32),1))</f>
        <v/>
      </c>
      <c r="I32" s="18" t="str">
        <f aca="false">IF(H32="","",IF(J32&lt;설정!$B$7,"",ROUND(AVERAGEIFS($H$2:$H$1001,$B$2:$B$1001,B32,$A$2:$A$1001,"&lt;"&amp;A32,$A$2:$A$1001,"&gt;="&amp;(A32-설정!$B$6)),1)))</f>
        <v/>
      </c>
      <c r="J32" s="18" t="str">
        <f aca="false">IF(H32="","",COUNTIFS($B$2:$B$1001,B32,$A$2:$A$1001,"&lt;"&amp;A32,$A$2:$A$1001,"&gt;="&amp;(A32-설정!$B$6),$H$2:$H$1001,"&gt;=0"))</f>
        <v/>
      </c>
      <c r="K32" s="21" t="str">
        <f aca="false">IF(I32="","",H32/I32-1)</f>
        <v/>
      </c>
      <c r="L32" s="19" t="str">
        <f aca="false">IF(H32="","",IF(J32&lt;설정!$B$7,"baseline 수집 중",IF(K32&lt;=-설정!$B$8,"저하","정상")))</f>
        <v/>
      </c>
      <c r="M32" s="20"/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7"/>
      <c r="G33" s="18" t="str">
        <f aca="false">IF(COUNT(D33:F33)=0,"",MAX(D33:F33))</f>
        <v/>
      </c>
      <c r="H33" s="18" t="str">
        <f aca="false">IF(COUNT(D33:F33)=0,"",ROUND(AVERAGE(D33:F33),1))</f>
        <v/>
      </c>
      <c r="I33" s="18" t="str">
        <f aca="false">IF(H33="","",IF(J33&lt;설정!$B$7,"",ROUND(AVERAGEIFS($H$2:$H$1001,$B$2:$B$1001,B33,$A$2:$A$1001,"&lt;"&amp;A33,$A$2:$A$1001,"&gt;="&amp;(A33-설정!$B$6)),1)))</f>
        <v/>
      </c>
      <c r="J33" s="18" t="str">
        <f aca="false">IF(H33="","",COUNTIFS($B$2:$B$1001,B33,$A$2:$A$1001,"&lt;"&amp;A33,$A$2:$A$1001,"&gt;="&amp;(A33-설정!$B$6),$H$2:$H$1001,"&gt;=0"))</f>
        <v/>
      </c>
      <c r="K33" s="21" t="str">
        <f aca="false">IF(I33="","",H33/I33-1)</f>
        <v/>
      </c>
      <c r="L33" s="19" t="str">
        <f aca="false">IF(H33="","",IF(J33&lt;설정!$B$7,"baseline 수집 중",IF(K33&lt;=-설정!$B$8,"저하","정상")))</f>
        <v/>
      </c>
      <c r="M33" s="20"/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7"/>
      <c r="G34" s="18" t="str">
        <f aca="false">IF(COUNT(D34:F34)=0,"",MAX(D34:F34))</f>
        <v/>
      </c>
      <c r="H34" s="18" t="str">
        <f aca="false">IF(COUNT(D34:F34)=0,"",ROUND(AVERAGE(D34:F34),1))</f>
        <v/>
      </c>
      <c r="I34" s="18" t="str">
        <f aca="false">IF(H34="","",IF(J34&lt;설정!$B$7,"",ROUND(AVERAGEIFS($H$2:$H$1001,$B$2:$B$1001,B34,$A$2:$A$1001,"&lt;"&amp;A34,$A$2:$A$1001,"&gt;="&amp;(A34-설정!$B$6)),1)))</f>
        <v/>
      </c>
      <c r="J34" s="18" t="str">
        <f aca="false">IF(H34="","",COUNTIFS($B$2:$B$1001,B34,$A$2:$A$1001,"&lt;"&amp;A34,$A$2:$A$1001,"&gt;="&amp;(A34-설정!$B$6),$H$2:$H$1001,"&gt;=0"))</f>
        <v/>
      </c>
      <c r="K34" s="21" t="str">
        <f aca="false">IF(I34="","",H34/I34-1)</f>
        <v/>
      </c>
      <c r="L34" s="19" t="str">
        <f aca="false">IF(H34="","",IF(J34&lt;설정!$B$7,"baseline 수집 중",IF(K34&lt;=-설정!$B$8,"저하","정상")))</f>
        <v/>
      </c>
      <c r="M34" s="20"/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7"/>
      <c r="G35" s="18" t="str">
        <f aca="false">IF(COUNT(D35:F35)=0,"",MAX(D35:F35))</f>
        <v/>
      </c>
      <c r="H35" s="18" t="str">
        <f aca="false">IF(COUNT(D35:F35)=0,"",ROUND(AVERAGE(D35:F35),1))</f>
        <v/>
      </c>
      <c r="I35" s="18" t="str">
        <f aca="false">IF(H35="","",IF(J35&lt;설정!$B$7,"",ROUND(AVERAGEIFS($H$2:$H$1001,$B$2:$B$1001,B35,$A$2:$A$1001,"&lt;"&amp;A35,$A$2:$A$1001,"&gt;="&amp;(A35-설정!$B$6)),1)))</f>
        <v/>
      </c>
      <c r="J35" s="18" t="str">
        <f aca="false">IF(H35="","",COUNTIFS($B$2:$B$1001,B35,$A$2:$A$1001,"&lt;"&amp;A35,$A$2:$A$1001,"&gt;="&amp;(A35-설정!$B$6),$H$2:$H$1001,"&gt;=0"))</f>
        <v/>
      </c>
      <c r="K35" s="21" t="str">
        <f aca="false">IF(I35="","",H35/I35-1)</f>
        <v/>
      </c>
      <c r="L35" s="19" t="str">
        <f aca="false">IF(H35="","",IF(J35&lt;설정!$B$7,"baseline 수집 중",IF(K35&lt;=-설정!$B$8,"저하","정상")))</f>
        <v/>
      </c>
      <c r="M35" s="20"/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8" t="str">
        <f aca="false">IF(COUNT(D36:F36)=0,"",MAX(D36:F36))</f>
        <v/>
      </c>
      <c r="H36" s="18" t="str">
        <f aca="false">IF(COUNT(D36:F36)=0,"",ROUND(AVERAGE(D36:F36),1))</f>
        <v/>
      </c>
      <c r="I36" s="18" t="str">
        <f aca="false">IF(H36="","",IF(J36&lt;설정!$B$7,"",ROUND(AVERAGEIFS($H$2:$H$1001,$B$2:$B$1001,B36,$A$2:$A$1001,"&lt;"&amp;A36,$A$2:$A$1001,"&gt;="&amp;(A36-설정!$B$6)),1)))</f>
        <v/>
      </c>
      <c r="J36" s="18" t="str">
        <f aca="false">IF(H36="","",COUNTIFS($B$2:$B$1001,B36,$A$2:$A$1001,"&lt;"&amp;A36,$A$2:$A$1001,"&gt;="&amp;(A36-설정!$B$6),$H$2:$H$1001,"&gt;=0"))</f>
        <v/>
      </c>
      <c r="K36" s="21" t="str">
        <f aca="false">IF(I36="","",H36/I36-1)</f>
        <v/>
      </c>
      <c r="L36" s="19" t="str">
        <f aca="false">IF(H36="","",IF(J36&lt;설정!$B$7,"baseline 수집 중",IF(K36&lt;=-설정!$B$8,"저하","정상")))</f>
        <v/>
      </c>
      <c r="M36" s="20"/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8" t="str">
        <f aca="false">IF(COUNT(D37:F37)=0,"",MAX(D37:F37))</f>
        <v/>
      </c>
      <c r="H37" s="18" t="str">
        <f aca="false">IF(COUNT(D37:F37)=0,"",ROUND(AVERAGE(D37:F37),1))</f>
        <v/>
      </c>
      <c r="I37" s="18" t="str">
        <f aca="false">IF(H37="","",IF(J37&lt;설정!$B$7,"",ROUND(AVERAGEIFS($H$2:$H$1001,$B$2:$B$1001,B37,$A$2:$A$1001,"&lt;"&amp;A37,$A$2:$A$1001,"&gt;="&amp;(A37-설정!$B$6)),1)))</f>
        <v/>
      </c>
      <c r="J37" s="18" t="str">
        <f aca="false">IF(H37="","",COUNTIFS($B$2:$B$1001,B37,$A$2:$A$1001,"&lt;"&amp;A37,$A$2:$A$1001,"&gt;="&amp;(A37-설정!$B$6),$H$2:$H$1001,"&gt;=0"))</f>
        <v/>
      </c>
      <c r="K37" s="21" t="str">
        <f aca="false">IF(I37="","",H37/I37-1)</f>
        <v/>
      </c>
      <c r="L37" s="19" t="str">
        <f aca="false">IF(H37="","",IF(J37&lt;설정!$B$7,"baseline 수집 중",IF(K37&lt;=-설정!$B$8,"저하","정상")))</f>
        <v/>
      </c>
      <c r="M37" s="20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8" t="str">
        <f aca="false">IF(COUNT(D38:F38)=0,"",MAX(D38:F38))</f>
        <v/>
      </c>
      <c r="H38" s="18" t="str">
        <f aca="false">IF(COUNT(D38:F38)=0,"",ROUND(AVERAGE(D38:F38),1))</f>
        <v/>
      </c>
      <c r="I38" s="18" t="str">
        <f aca="false">IF(H38="","",IF(J38&lt;설정!$B$7,"",ROUND(AVERAGEIFS($H$2:$H$1001,$B$2:$B$1001,B38,$A$2:$A$1001,"&lt;"&amp;A38,$A$2:$A$1001,"&gt;="&amp;(A38-설정!$B$6)),1)))</f>
        <v/>
      </c>
      <c r="J38" s="18" t="str">
        <f aca="false">IF(H38="","",COUNTIFS($B$2:$B$1001,B38,$A$2:$A$1001,"&lt;"&amp;A38,$A$2:$A$1001,"&gt;="&amp;(A38-설정!$B$6),$H$2:$H$1001,"&gt;=0"))</f>
        <v/>
      </c>
      <c r="K38" s="21" t="str">
        <f aca="false">IF(I38="","",H38/I38-1)</f>
        <v/>
      </c>
      <c r="L38" s="19" t="str">
        <f aca="false">IF(H38="","",IF(J38&lt;설정!$B$7,"baseline 수집 중",IF(K38&lt;=-설정!$B$8,"저하","정상")))</f>
        <v/>
      </c>
      <c r="M38" s="20"/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8" t="str">
        <f aca="false">IF(COUNT(D39:F39)=0,"",MAX(D39:F39))</f>
        <v/>
      </c>
      <c r="H39" s="18" t="str">
        <f aca="false">IF(COUNT(D39:F39)=0,"",ROUND(AVERAGE(D39:F39),1))</f>
        <v/>
      </c>
      <c r="I39" s="18" t="str">
        <f aca="false">IF(H39="","",IF(J39&lt;설정!$B$7,"",ROUND(AVERAGEIFS($H$2:$H$1001,$B$2:$B$1001,B39,$A$2:$A$1001,"&lt;"&amp;A39,$A$2:$A$1001,"&gt;="&amp;(A39-설정!$B$6)),1)))</f>
        <v/>
      </c>
      <c r="J39" s="18" t="str">
        <f aca="false">IF(H39="","",COUNTIFS($B$2:$B$1001,B39,$A$2:$A$1001,"&lt;"&amp;A39,$A$2:$A$1001,"&gt;="&amp;(A39-설정!$B$6),$H$2:$H$1001,"&gt;=0"))</f>
        <v/>
      </c>
      <c r="K39" s="21" t="str">
        <f aca="false">IF(I39="","",H39/I39-1)</f>
        <v/>
      </c>
      <c r="L39" s="19" t="str">
        <f aca="false">IF(H39="","",IF(J39&lt;설정!$B$7,"baseline 수집 중",IF(K39&lt;=-설정!$B$8,"저하","정상")))</f>
        <v/>
      </c>
      <c r="M39" s="20"/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8" t="str">
        <f aca="false">IF(COUNT(D40:F40)=0,"",MAX(D40:F40))</f>
        <v/>
      </c>
      <c r="H40" s="18" t="str">
        <f aca="false">IF(COUNT(D40:F40)=0,"",ROUND(AVERAGE(D40:F40),1))</f>
        <v/>
      </c>
      <c r="I40" s="18" t="str">
        <f aca="false">IF(H40="","",IF(J40&lt;설정!$B$7,"",ROUND(AVERAGEIFS($H$2:$H$1001,$B$2:$B$1001,B40,$A$2:$A$1001,"&lt;"&amp;A40,$A$2:$A$1001,"&gt;="&amp;(A40-설정!$B$6)),1)))</f>
        <v/>
      </c>
      <c r="J40" s="18" t="str">
        <f aca="false">IF(H40="","",COUNTIFS($B$2:$B$1001,B40,$A$2:$A$1001,"&lt;"&amp;A40,$A$2:$A$1001,"&gt;="&amp;(A40-설정!$B$6),$H$2:$H$1001,"&gt;=0"))</f>
        <v/>
      </c>
      <c r="K40" s="21" t="str">
        <f aca="false">IF(I40="","",H40/I40-1)</f>
        <v/>
      </c>
      <c r="L40" s="19" t="str">
        <f aca="false">IF(H40="","",IF(J40&lt;설정!$B$7,"baseline 수집 중",IF(K40&lt;=-설정!$B$8,"저하","정상")))</f>
        <v/>
      </c>
      <c r="M40" s="20"/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7"/>
      <c r="G41" s="18" t="str">
        <f aca="false">IF(COUNT(D41:F41)=0,"",MAX(D41:F41))</f>
        <v/>
      </c>
      <c r="H41" s="18" t="str">
        <f aca="false">IF(COUNT(D41:F41)=0,"",ROUND(AVERAGE(D41:F41),1))</f>
        <v/>
      </c>
      <c r="I41" s="18" t="str">
        <f aca="false">IF(H41="","",IF(J41&lt;설정!$B$7,"",ROUND(AVERAGEIFS($H$2:$H$1001,$B$2:$B$1001,B41,$A$2:$A$1001,"&lt;"&amp;A41,$A$2:$A$1001,"&gt;="&amp;(A41-설정!$B$6)),1)))</f>
        <v/>
      </c>
      <c r="J41" s="18" t="str">
        <f aca="false">IF(H41="","",COUNTIFS($B$2:$B$1001,B41,$A$2:$A$1001,"&lt;"&amp;A41,$A$2:$A$1001,"&gt;="&amp;(A41-설정!$B$6),$H$2:$H$1001,"&gt;=0"))</f>
        <v/>
      </c>
      <c r="K41" s="21" t="str">
        <f aca="false">IF(I41="","",H41/I41-1)</f>
        <v/>
      </c>
      <c r="L41" s="19" t="str">
        <f aca="false">IF(H41="","",IF(J41&lt;설정!$B$7,"baseline 수집 중",IF(K41&lt;=-설정!$B$8,"저하","정상")))</f>
        <v/>
      </c>
      <c r="M41" s="20"/>
    </row>
    <row r="42" customFormat="false" ht="15" hidden="false" customHeight="false" outlineLevel="0" collapsed="false">
      <c r="A42" s="16"/>
      <c r="B42" s="17"/>
      <c r="C42" s="17"/>
      <c r="D42" s="17"/>
      <c r="E42" s="17"/>
      <c r="F42" s="17"/>
      <c r="G42" s="18" t="str">
        <f aca="false">IF(COUNT(D42:F42)=0,"",MAX(D42:F42))</f>
        <v/>
      </c>
      <c r="H42" s="18" t="str">
        <f aca="false">IF(COUNT(D42:F42)=0,"",ROUND(AVERAGE(D42:F42),1))</f>
        <v/>
      </c>
      <c r="I42" s="18" t="str">
        <f aca="false">IF(H42="","",IF(J42&lt;설정!$B$7,"",ROUND(AVERAGEIFS($H$2:$H$1001,$B$2:$B$1001,B42,$A$2:$A$1001,"&lt;"&amp;A42,$A$2:$A$1001,"&gt;="&amp;(A42-설정!$B$6)),1)))</f>
        <v/>
      </c>
      <c r="J42" s="18" t="str">
        <f aca="false">IF(H42="","",COUNTIFS($B$2:$B$1001,B42,$A$2:$A$1001,"&lt;"&amp;A42,$A$2:$A$1001,"&gt;="&amp;(A42-설정!$B$6),$H$2:$H$1001,"&gt;=0"))</f>
        <v/>
      </c>
      <c r="K42" s="21" t="str">
        <f aca="false">IF(I42="","",H42/I42-1)</f>
        <v/>
      </c>
      <c r="L42" s="19" t="str">
        <f aca="false">IF(H42="","",IF(J42&lt;설정!$B$7,"baseline 수집 중",IF(K42&lt;=-설정!$B$8,"저하","정상")))</f>
        <v/>
      </c>
      <c r="M42" s="20"/>
    </row>
    <row r="43" customFormat="false" ht="15" hidden="false" customHeight="false" outlineLevel="0" collapsed="false">
      <c r="A43" s="16"/>
      <c r="B43" s="17"/>
      <c r="C43" s="17"/>
      <c r="D43" s="17"/>
      <c r="E43" s="17"/>
      <c r="F43" s="17"/>
      <c r="G43" s="18" t="str">
        <f aca="false">IF(COUNT(D43:F43)=0,"",MAX(D43:F43))</f>
        <v/>
      </c>
      <c r="H43" s="18" t="str">
        <f aca="false">IF(COUNT(D43:F43)=0,"",ROUND(AVERAGE(D43:F43),1))</f>
        <v/>
      </c>
      <c r="I43" s="18" t="str">
        <f aca="false">IF(H43="","",IF(J43&lt;설정!$B$7,"",ROUND(AVERAGEIFS($H$2:$H$1001,$B$2:$B$1001,B43,$A$2:$A$1001,"&lt;"&amp;A43,$A$2:$A$1001,"&gt;="&amp;(A43-설정!$B$6)),1)))</f>
        <v/>
      </c>
      <c r="J43" s="18" t="str">
        <f aca="false">IF(H43="","",COUNTIFS($B$2:$B$1001,B43,$A$2:$A$1001,"&lt;"&amp;A43,$A$2:$A$1001,"&gt;="&amp;(A43-설정!$B$6),$H$2:$H$1001,"&gt;=0"))</f>
        <v/>
      </c>
      <c r="K43" s="21" t="str">
        <f aca="false">IF(I43="","",H43/I43-1)</f>
        <v/>
      </c>
      <c r="L43" s="19" t="str">
        <f aca="false">IF(H43="","",IF(J43&lt;설정!$B$7,"baseline 수집 중",IF(K43&lt;=-설정!$B$8,"저하","정상")))</f>
        <v/>
      </c>
      <c r="M43" s="20"/>
    </row>
    <row r="44" customFormat="false" ht="15" hidden="false" customHeight="false" outlineLevel="0" collapsed="false">
      <c r="A44" s="16"/>
      <c r="B44" s="17"/>
      <c r="C44" s="17"/>
      <c r="D44" s="17"/>
      <c r="E44" s="17"/>
      <c r="F44" s="17"/>
      <c r="G44" s="18" t="str">
        <f aca="false">IF(COUNT(D44:F44)=0,"",MAX(D44:F44))</f>
        <v/>
      </c>
      <c r="H44" s="18" t="str">
        <f aca="false">IF(COUNT(D44:F44)=0,"",ROUND(AVERAGE(D44:F44),1))</f>
        <v/>
      </c>
      <c r="I44" s="18" t="str">
        <f aca="false">IF(H44="","",IF(J44&lt;설정!$B$7,"",ROUND(AVERAGEIFS($H$2:$H$1001,$B$2:$B$1001,B44,$A$2:$A$1001,"&lt;"&amp;A44,$A$2:$A$1001,"&gt;="&amp;(A44-설정!$B$6)),1)))</f>
        <v/>
      </c>
      <c r="J44" s="18" t="str">
        <f aca="false">IF(H44="","",COUNTIFS($B$2:$B$1001,B44,$A$2:$A$1001,"&lt;"&amp;A44,$A$2:$A$1001,"&gt;="&amp;(A44-설정!$B$6),$H$2:$H$1001,"&gt;=0"))</f>
        <v/>
      </c>
      <c r="K44" s="21" t="str">
        <f aca="false">IF(I44="","",H44/I44-1)</f>
        <v/>
      </c>
      <c r="L44" s="19" t="str">
        <f aca="false">IF(H44="","",IF(J44&lt;설정!$B$7,"baseline 수집 중",IF(K44&lt;=-설정!$B$8,"저하","정상")))</f>
        <v/>
      </c>
      <c r="M44" s="20"/>
    </row>
    <row r="45" customFormat="false" ht="15" hidden="false" customHeight="false" outlineLevel="0" collapsed="false">
      <c r="A45" s="16"/>
      <c r="B45" s="17"/>
      <c r="C45" s="17"/>
      <c r="D45" s="17"/>
      <c r="E45" s="17"/>
      <c r="F45" s="17"/>
      <c r="G45" s="18" t="str">
        <f aca="false">IF(COUNT(D45:F45)=0,"",MAX(D45:F45))</f>
        <v/>
      </c>
      <c r="H45" s="18" t="str">
        <f aca="false">IF(COUNT(D45:F45)=0,"",ROUND(AVERAGE(D45:F45),1))</f>
        <v/>
      </c>
      <c r="I45" s="18" t="str">
        <f aca="false">IF(H45="","",IF(J45&lt;설정!$B$7,"",ROUND(AVERAGEIFS($H$2:$H$1001,$B$2:$B$1001,B45,$A$2:$A$1001,"&lt;"&amp;A45,$A$2:$A$1001,"&gt;="&amp;(A45-설정!$B$6)),1)))</f>
        <v/>
      </c>
      <c r="J45" s="18" t="str">
        <f aca="false">IF(H45="","",COUNTIFS($B$2:$B$1001,B45,$A$2:$A$1001,"&lt;"&amp;A45,$A$2:$A$1001,"&gt;="&amp;(A45-설정!$B$6),$H$2:$H$1001,"&gt;=0"))</f>
        <v/>
      </c>
      <c r="K45" s="21" t="str">
        <f aca="false">IF(I45="","",H45/I45-1)</f>
        <v/>
      </c>
      <c r="L45" s="19" t="str">
        <f aca="false">IF(H45="","",IF(J45&lt;설정!$B$7,"baseline 수집 중",IF(K45&lt;=-설정!$B$8,"저하","정상")))</f>
        <v/>
      </c>
      <c r="M45" s="20"/>
    </row>
    <row r="46" customFormat="false" ht="15" hidden="false" customHeight="false" outlineLevel="0" collapsed="false">
      <c r="A46" s="16"/>
      <c r="B46" s="17"/>
      <c r="C46" s="17"/>
      <c r="D46" s="17"/>
      <c r="E46" s="17"/>
      <c r="F46" s="17"/>
      <c r="G46" s="18" t="str">
        <f aca="false">IF(COUNT(D46:F46)=0,"",MAX(D46:F46))</f>
        <v/>
      </c>
      <c r="H46" s="18" t="str">
        <f aca="false">IF(COUNT(D46:F46)=0,"",ROUND(AVERAGE(D46:F46),1))</f>
        <v/>
      </c>
      <c r="I46" s="18" t="str">
        <f aca="false">IF(H46="","",IF(J46&lt;설정!$B$7,"",ROUND(AVERAGEIFS($H$2:$H$1001,$B$2:$B$1001,B46,$A$2:$A$1001,"&lt;"&amp;A46,$A$2:$A$1001,"&gt;="&amp;(A46-설정!$B$6)),1)))</f>
        <v/>
      </c>
      <c r="J46" s="18" t="str">
        <f aca="false">IF(H46="","",COUNTIFS($B$2:$B$1001,B46,$A$2:$A$1001,"&lt;"&amp;A46,$A$2:$A$1001,"&gt;="&amp;(A46-설정!$B$6),$H$2:$H$1001,"&gt;=0"))</f>
        <v/>
      </c>
      <c r="K46" s="21" t="str">
        <f aca="false">IF(I46="","",H46/I46-1)</f>
        <v/>
      </c>
      <c r="L46" s="19" t="str">
        <f aca="false">IF(H46="","",IF(J46&lt;설정!$B$7,"baseline 수집 중",IF(K46&lt;=-설정!$B$8,"저하","정상")))</f>
        <v/>
      </c>
      <c r="M46" s="20"/>
    </row>
    <row r="47" customFormat="false" ht="15" hidden="false" customHeight="false" outlineLevel="0" collapsed="false">
      <c r="A47" s="16"/>
      <c r="B47" s="17"/>
      <c r="C47" s="17"/>
      <c r="D47" s="17"/>
      <c r="E47" s="17"/>
      <c r="F47" s="17"/>
      <c r="G47" s="18" t="str">
        <f aca="false">IF(COUNT(D47:F47)=0,"",MAX(D47:F47))</f>
        <v/>
      </c>
      <c r="H47" s="18" t="str">
        <f aca="false">IF(COUNT(D47:F47)=0,"",ROUND(AVERAGE(D47:F47),1))</f>
        <v/>
      </c>
      <c r="I47" s="18" t="str">
        <f aca="false">IF(H47="","",IF(J47&lt;설정!$B$7,"",ROUND(AVERAGEIFS($H$2:$H$1001,$B$2:$B$1001,B47,$A$2:$A$1001,"&lt;"&amp;A47,$A$2:$A$1001,"&gt;="&amp;(A47-설정!$B$6)),1)))</f>
        <v/>
      </c>
      <c r="J47" s="18" t="str">
        <f aca="false">IF(H47="","",COUNTIFS($B$2:$B$1001,B47,$A$2:$A$1001,"&lt;"&amp;A47,$A$2:$A$1001,"&gt;="&amp;(A47-설정!$B$6),$H$2:$H$1001,"&gt;=0"))</f>
        <v/>
      </c>
      <c r="K47" s="21" t="str">
        <f aca="false">IF(I47="","",H47/I47-1)</f>
        <v/>
      </c>
      <c r="L47" s="19" t="str">
        <f aca="false">IF(H47="","",IF(J47&lt;설정!$B$7,"baseline 수집 중",IF(K47&lt;=-설정!$B$8,"저하","정상")))</f>
        <v/>
      </c>
      <c r="M47" s="20"/>
    </row>
    <row r="48" customFormat="false" ht="15" hidden="false" customHeight="false" outlineLevel="0" collapsed="false">
      <c r="A48" s="16"/>
      <c r="B48" s="17"/>
      <c r="C48" s="17"/>
      <c r="D48" s="17"/>
      <c r="E48" s="17"/>
      <c r="F48" s="17"/>
      <c r="G48" s="18" t="str">
        <f aca="false">IF(COUNT(D48:F48)=0,"",MAX(D48:F48))</f>
        <v/>
      </c>
      <c r="H48" s="18" t="str">
        <f aca="false">IF(COUNT(D48:F48)=0,"",ROUND(AVERAGE(D48:F48),1))</f>
        <v/>
      </c>
      <c r="I48" s="18" t="str">
        <f aca="false">IF(H48="","",IF(J48&lt;설정!$B$7,"",ROUND(AVERAGEIFS($H$2:$H$1001,$B$2:$B$1001,B48,$A$2:$A$1001,"&lt;"&amp;A48,$A$2:$A$1001,"&gt;="&amp;(A48-설정!$B$6)),1)))</f>
        <v/>
      </c>
      <c r="J48" s="18" t="str">
        <f aca="false">IF(H48="","",COUNTIFS($B$2:$B$1001,B48,$A$2:$A$1001,"&lt;"&amp;A48,$A$2:$A$1001,"&gt;="&amp;(A48-설정!$B$6),$H$2:$H$1001,"&gt;=0"))</f>
        <v/>
      </c>
      <c r="K48" s="21" t="str">
        <f aca="false">IF(I48="","",H48/I48-1)</f>
        <v/>
      </c>
      <c r="L48" s="19" t="str">
        <f aca="false">IF(H48="","",IF(J48&lt;설정!$B$7,"baseline 수집 중",IF(K48&lt;=-설정!$B$8,"저하","정상")))</f>
        <v/>
      </c>
      <c r="M48" s="20"/>
    </row>
    <row r="49" customFormat="false" ht="15" hidden="false" customHeight="false" outlineLevel="0" collapsed="false">
      <c r="A49" s="16"/>
      <c r="B49" s="17"/>
      <c r="C49" s="17"/>
      <c r="D49" s="17"/>
      <c r="E49" s="17"/>
      <c r="F49" s="17"/>
      <c r="G49" s="18" t="str">
        <f aca="false">IF(COUNT(D49:F49)=0,"",MAX(D49:F49))</f>
        <v/>
      </c>
      <c r="H49" s="18" t="str">
        <f aca="false">IF(COUNT(D49:F49)=0,"",ROUND(AVERAGE(D49:F49),1))</f>
        <v/>
      </c>
      <c r="I49" s="18" t="str">
        <f aca="false">IF(H49="","",IF(J49&lt;설정!$B$7,"",ROUND(AVERAGEIFS($H$2:$H$1001,$B$2:$B$1001,B49,$A$2:$A$1001,"&lt;"&amp;A49,$A$2:$A$1001,"&gt;="&amp;(A49-설정!$B$6)),1)))</f>
        <v/>
      </c>
      <c r="J49" s="18" t="str">
        <f aca="false">IF(H49="","",COUNTIFS($B$2:$B$1001,B49,$A$2:$A$1001,"&lt;"&amp;A49,$A$2:$A$1001,"&gt;="&amp;(A49-설정!$B$6),$H$2:$H$1001,"&gt;=0"))</f>
        <v/>
      </c>
      <c r="K49" s="21" t="str">
        <f aca="false">IF(I49="","",H49/I49-1)</f>
        <v/>
      </c>
      <c r="L49" s="19" t="str">
        <f aca="false">IF(H49="","",IF(J49&lt;설정!$B$7,"baseline 수집 중",IF(K49&lt;=-설정!$B$8,"저하","정상")))</f>
        <v/>
      </c>
      <c r="M49" s="20"/>
    </row>
    <row r="50" customFormat="false" ht="15" hidden="false" customHeight="false" outlineLevel="0" collapsed="false">
      <c r="A50" s="16"/>
      <c r="B50" s="17"/>
      <c r="C50" s="17"/>
      <c r="D50" s="17"/>
      <c r="E50" s="17"/>
      <c r="F50" s="17"/>
      <c r="G50" s="18" t="str">
        <f aca="false">IF(COUNT(D50:F50)=0,"",MAX(D50:F50))</f>
        <v/>
      </c>
      <c r="H50" s="18" t="str">
        <f aca="false">IF(COUNT(D50:F50)=0,"",ROUND(AVERAGE(D50:F50),1))</f>
        <v/>
      </c>
      <c r="I50" s="18" t="str">
        <f aca="false">IF(H50="","",IF(J50&lt;설정!$B$7,"",ROUND(AVERAGEIFS($H$2:$H$1001,$B$2:$B$1001,B50,$A$2:$A$1001,"&lt;"&amp;A50,$A$2:$A$1001,"&gt;="&amp;(A50-설정!$B$6)),1)))</f>
        <v/>
      </c>
      <c r="J50" s="18" t="str">
        <f aca="false">IF(H50="","",COUNTIFS($B$2:$B$1001,B50,$A$2:$A$1001,"&lt;"&amp;A50,$A$2:$A$1001,"&gt;="&amp;(A50-설정!$B$6),$H$2:$H$1001,"&gt;=0"))</f>
        <v/>
      </c>
      <c r="K50" s="21" t="str">
        <f aca="false">IF(I50="","",H50/I50-1)</f>
        <v/>
      </c>
      <c r="L50" s="19" t="str">
        <f aca="false">IF(H50="","",IF(J50&lt;설정!$B$7,"baseline 수집 중",IF(K50&lt;=-설정!$B$8,"저하","정상")))</f>
        <v/>
      </c>
      <c r="M50" s="20"/>
    </row>
    <row r="51" customFormat="false" ht="15" hidden="false" customHeight="false" outlineLevel="0" collapsed="false">
      <c r="A51" s="16"/>
      <c r="B51" s="17"/>
      <c r="C51" s="17"/>
      <c r="D51" s="17"/>
      <c r="E51" s="17"/>
      <c r="F51" s="17"/>
      <c r="G51" s="18" t="str">
        <f aca="false">IF(COUNT(D51:F51)=0,"",MAX(D51:F51))</f>
        <v/>
      </c>
      <c r="H51" s="18" t="str">
        <f aca="false">IF(COUNT(D51:F51)=0,"",ROUND(AVERAGE(D51:F51),1))</f>
        <v/>
      </c>
      <c r="I51" s="18" t="str">
        <f aca="false">IF(H51="","",IF(J51&lt;설정!$B$7,"",ROUND(AVERAGEIFS($H$2:$H$1001,$B$2:$B$1001,B51,$A$2:$A$1001,"&lt;"&amp;A51,$A$2:$A$1001,"&gt;="&amp;(A51-설정!$B$6)),1)))</f>
        <v/>
      </c>
      <c r="J51" s="18" t="str">
        <f aca="false">IF(H51="","",COUNTIFS($B$2:$B$1001,B51,$A$2:$A$1001,"&lt;"&amp;A51,$A$2:$A$1001,"&gt;="&amp;(A51-설정!$B$6),$H$2:$H$1001,"&gt;=0"))</f>
        <v/>
      </c>
      <c r="K51" s="21" t="str">
        <f aca="false">IF(I51="","",H51/I51-1)</f>
        <v/>
      </c>
      <c r="L51" s="19" t="str">
        <f aca="false">IF(H51="","",IF(J51&lt;설정!$B$7,"baseline 수집 중",IF(K51&lt;=-설정!$B$8,"저하","정상")))</f>
        <v/>
      </c>
      <c r="M51" s="20"/>
    </row>
    <row r="52" customFormat="false" ht="15" hidden="false" customHeight="false" outlineLevel="0" collapsed="false">
      <c r="A52" s="16"/>
      <c r="B52" s="17"/>
      <c r="C52" s="17"/>
      <c r="D52" s="17"/>
      <c r="E52" s="17"/>
      <c r="F52" s="17"/>
      <c r="G52" s="18" t="str">
        <f aca="false">IF(COUNT(D52:F52)=0,"",MAX(D52:F52))</f>
        <v/>
      </c>
      <c r="H52" s="18" t="str">
        <f aca="false">IF(COUNT(D52:F52)=0,"",ROUND(AVERAGE(D52:F52),1))</f>
        <v/>
      </c>
      <c r="I52" s="18" t="str">
        <f aca="false">IF(H52="","",IF(J52&lt;설정!$B$7,"",ROUND(AVERAGEIFS($H$2:$H$1001,$B$2:$B$1001,B52,$A$2:$A$1001,"&lt;"&amp;A52,$A$2:$A$1001,"&gt;="&amp;(A52-설정!$B$6)),1)))</f>
        <v/>
      </c>
      <c r="J52" s="18" t="str">
        <f aca="false">IF(H52="","",COUNTIFS($B$2:$B$1001,B52,$A$2:$A$1001,"&lt;"&amp;A52,$A$2:$A$1001,"&gt;="&amp;(A52-설정!$B$6),$H$2:$H$1001,"&gt;=0"))</f>
        <v/>
      </c>
      <c r="K52" s="21" t="str">
        <f aca="false">IF(I52="","",H52/I52-1)</f>
        <v/>
      </c>
      <c r="L52" s="19" t="str">
        <f aca="false">IF(H52="","",IF(J52&lt;설정!$B$7,"baseline 수집 중",IF(K52&lt;=-설정!$B$8,"저하","정상")))</f>
        <v/>
      </c>
      <c r="M52" s="20"/>
    </row>
    <row r="53" customFormat="false" ht="15" hidden="false" customHeight="false" outlineLevel="0" collapsed="false">
      <c r="A53" s="16"/>
      <c r="B53" s="17"/>
      <c r="C53" s="17"/>
      <c r="D53" s="17"/>
      <c r="E53" s="17"/>
      <c r="F53" s="17"/>
      <c r="G53" s="18" t="str">
        <f aca="false">IF(COUNT(D53:F53)=0,"",MAX(D53:F53))</f>
        <v/>
      </c>
      <c r="H53" s="18" t="str">
        <f aca="false">IF(COUNT(D53:F53)=0,"",ROUND(AVERAGE(D53:F53),1))</f>
        <v/>
      </c>
      <c r="I53" s="18" t="str">
        <f aca="false">IF(H53="","",IF(J53&lt;설정!$B$7,"",ROUND(AVERAGEIFS($H$2:$H$1001,$B$2:$B$1001,B53,$A$2:$A$1001,"&lt;"&amp;A53,$A$2:$A$1001,"&gt;="&amp;(A53-설정!$B$6)),1)))</f>
        <v/>
      </c>
      <c r="J53" s="18" t="str">
        <f aca="false">IF(H53="","",COUNTIFS($B$2:$B$1001,B53,$A$2:$A$1001,"&lt;"&amp;A53,$A$2:$A$1001,"&gt;="&amp;(A53-설정!$B$6),$H$2:$H$1001,"&gt;=0"))</f>
        <v/>
      </c>
      <c r="K53" s="21" t="str">
        <f aca="false">IF(I53="","",H53/I53-1)</f>
        <v/>
      </c>
      <c r="L53" s="19" t="str">
        <f aca="false">IF(H53="","",IF(J53&lt;설정!$B$7,"baseline 수집 중",IF(K53&lt;=-설정!$B$8,"저하","정상")))</f>
        <v/>
      </c>
      <c r="M53" s="20"/>
    </row>
    <row r="54" customFormat="false" ht="15" hidden="false" customHeight="false" outlineLevel="0" collapsed="false">
      <c r="A54" s="16"/>
      <c r="B54" s="17"/>
      <c r="C54" s="17"/>
      <c r="D54" s="17"/>
      <c r="E54" s="17"/>
      <c r="F54" s="17"/>
      <c r="G54" s="18" t="str">
        <f aca="false">IF(COUNT(D54:F54)=0,"",MAX(D54:F54))</f>
        <v/>
      </c>
      <c r="H54" s="18" t="str">
        <f aca="false">IF(COUNT(D54:F54)=0,"",ROUND(AVERAGE(D54:F54),1))</f>
        <v/>
      </c>
      <c r="I54" s="18" t="str">
        <f aca="false">IF(H54="","",IF(J54&lt;설정!$B$7,"",ROUND(AVERAGEIFS($H$2:$H$1001,$B$2:$B$1001,B54,$A$2:$A$1001,"&lt;"&amp;A54,$A$2:$A$1001,"&gt;="&amp;(A54-설정!$B$6)),1)))</f>
        <v/>
      </c>
      <c r="J54" s="18" t="str">
        <f aca="false">IF(H54="","",COUNTIFS($B$2:$B$1001,B54,$A$2:$A$1001,"&lt;"&amp;A54,$A$2:$A$1001,"&gt;="&amp;(A54-설정!$B$6),$H$2:$H$1001,"&gt;=0"))</f>
        <v/>
      </c>
      <c r="K54" s="21" t="str">
        <f aca="false">IF(I54="","",H54/I54-1)</f>
        <v/>
      </c>
      <c r="L54" s="19" t="str">
        <f aca="false">IF(H54="","",IF(J54&lt;설정!$B$7,"baseline 수집 중",IF(K54&lt;=-설정!$B$8,"저하","정상")))</f>
        <v/>
      </c>
      <c r="M54" s="20"/>
    </row>
    <row r="55" customFormat="false" ht="15" hidden="false" customHeight="false" outlineLevel="0" collapsed="false">
      <c r="A55" s="16"/>
      <c r="B55" s="17"/>
      <c r="C55" s="17"/>
      <c r="D55" s="17"/>
      <c r="E55" s="17"/>
      <c r="F55" s="17"/>
      <c r="G55" s="18" t="str">
        <f aca="false">IF(COUNT(D55:F55)=0,"",MAX(D55:F55))</f>
        <v/>
      </c>
      <c r="H55" s="18" t="str">
        <f aca="false">IF(COUNT(D55:F55)=0,"",ROUND(AVERAGE(D55:F55),1))</f>
        <v/>
      </c>
      <c r="I55" s="18" t="str">
        <f aca="false">IF(H55="","",IF(J55&lt;설정!$B$7,"",ROUND(AVERAGEIFS($H$2:$H$1001,$B$2:$B$1001,B55,$A$2:$A$1001,"&lt;"&amp;A55,$A$2:$A$1001,"&gt;="&amp;(A55-설정!$B$6)),1)))</f>
        <v/>
      </c>
      <c r="J55" s="18" t="str">
        <f aca="false">IF(H55="","",COUNTIFS($B$2:$B$1001,B55,$A$2:$A$1001,"&lt;"&amp;A55,$A$2:$A$1001,"&gt;="&amp;(A55-설정!$B$6),$H$2:$H$1001,"&gt;=0"))</f>
        <v/>
      </c>
      <c r="K55" s="21" t="str">
        <f aca="false">IF(I55="","",H55/I55-1)</f>
        <v/>
      </c>
      <c r="L55" s="19" t="str">
        <f aca="false">IF(H55="","",IF(J55&lt;설정!$B$7,"baseline 수집 중",IF(K55&lt;=-설정!$B$8,"저하","정상")))</f>
        <v/>
      </c>
      <c r="M55" s="20"/>
    </row>
    <row r="56" customFormat="false" ht="15" hidden="false" customHeight="false" outlineLevel="0" collapsed="false">
      <c r="A56" s="16"/>
      <c r="B56" s="17"/>
      <c r="C56" s="17"/>
      <c r="D56" s="17"/>
      <c r="E56" s="17"/>
      <c r="F56" s="17"/>
      <c r="G56" s="18" t="str">
        <f aca="false">IF(COUNT(D56:F56)=0,"",MAX(D56:F56))</f>
        <v/>
      </c>
      <c r="H56" s="18" t="str">
        <f aca="false">IF(COUNT(D56:F56)=0,"",ROUND(AVERAGE(D56:F56),1))</f>
        <v/>
      </c>
      <c r="I56" s="18" t="str">
        <f aca="false">IF(H56="","",IF(J56&lt;설정!$B$7,"",ROUND(AVERAGEIFS($H$2:$H$1001,$B$2:$B$1001,B56,$A$2:$A$1001,"&lt;"&amp;A56,$A$2:$A$1001,"&gt;="&amp;(A56-설정!$B$6)),1)))</f>
        <v/>
      </c>
      <c r="J56" s="18" t="str">
        <f aca="false">IF(H56="","",COUNTIFS($B$2:$B$1001,B56,$A$2:$A$1001,"&lt;"&amp;A56,$A$2:$A$1001,"&gt;="&amp;(A56-설정!$B$6),$H$2:$H$1001,"&gt;=0"))</f>
        <v/>
      </c>
      <c r="K56" s="21" t="str">
        <f aca="false">IF(I56="","",H56/I56-1)</f>
        <v/>
      </c>
      <c r="L56" s="19" t="str">
        <f aca="false">IF(H56="","",IF(J56&lt;설정!$B$7,"baseline 수집 중",IF(K56&lt;=-설정!$B$8,"저하","정상")))</f>
        <v/>
      </c>
      <c r="M56" s="20"/>
    </row>
    <row r="57" customFormat="false" ht="15" hidden="false" customHeight="false" outlineLevel="0" collapsed="false">
      <c r="A57" s="16"/>
      <c r="B57" s="17"/>
      <c r="C57" s="17"/>
      <c r="D57" s="17"/>
      <c r="E57" s="17"/>
      <c r="F57" s="17"/>
      <c r="G57" s="18" t="str">
        <f aca="false">IF(COUNT(D57:F57)=0,"",MAX(D57:F57))</f>
        <v/>
      </c>
      <c r="H57" s="18" t="str">
        <f aca="false">IF(COUNT(D57:F57)=0,"",ROUND(AVERAGE(D57:F57),1))</f>
        <v/>
      </c>
      <c r="I57" s="18" t="str">
        <f aca="false">IF(H57="","",IF(J57&lt;설정!$B$7,"",ROUND(AVERAGEIFS($H$2:$H$1001,$B$2:$B$1001,B57,$A$2:$A$1001,"&lt;"&amp;A57,$A$2:$A$1001,"&gt;="&amp;(A57-설정!$B$6)),1)))</f>
        <v/>
      </c>
      <c r="J57" s="18" t="str">
        <f aca="false">IF(H57="","",COUNTIFS($B$2:$B$1001,B57,$A$2:$A$1001,"&lt;"&amp;A57,$A$2:$A$1001,"&gt;="&amp;(A57-설정!$B$6),$H$2:$H$1001,"&gt;=0"))</f>
        <v/>
      </c>
      <c r="K57" s="21" t="str">
        <f aca="false">IF(I57="","",H57/I57-1)</f>
        <v/>
      </c>
      <c r="L57" s="19" t="str">
        <f aca="false">IF(H57="","",IF(J57&lt;설정!$B$7,"baseline 수집 중",IF(K57&lt;=-설정!$B$8,"저하","정상")))</f>
        <v/>
      </c>
      <c r="M57" s="20"/>
    </row>
    <row r="58" customFormat="false" ht="15" hidden="false" customHeight="false" outlineLevel="0" collapsed="false">
      <c r="A58" s="16"/>
      <c r="B58" s="17"/>
      <c r="C58" s="17"/>
      <c r="D58" s="17"/>
      <c r="E58" s="17"/>
      <c r="F58" s="17"/>
      <c r="G58" s="18" t="str">
        <f aca="false">IF(COUNT(D58:F58)=0,"",MAX(D58:F58))</f>
        <v/>
      </c>
      <c r="H58" s="18" t="str">
        <f aca="false">IF(COUNT(D58:F58)=0,"",ROUND(AVERAGE(D58:F58),1))</f>
        <v/>
      </c>
      <c r="I58" s="18" t="str">
        <f aca="false">IF(H58="","",IF(J58&lt;설정!$B$7,"",ROUND(AVERAGEIFS($H$2:$H$1001,$B$2:$B$1001,B58,$A$2:$A$1001,"&lt;"&amp;A58,$A$2:$A$1001,"&gt;="&amp;(A58-설정!$B$6)),1)))</f>
        <v/>
      </c>
      <c r="J58" s="18" t="str">
        <f aca="false">IF(H58="","",COUNTIFS($B$2:$B$1001,B58,$A$2:$A$1001,"&lt;"&amp;A58,$A$2:$A$1001,"&gt;="&amp;(A58-설정!$B$6),$H$2:$H$1001,"&gt;=0"))</f>
        <v/>
      </c>
      <c r="K58" s="21" t="str">
        <f aca="false">IF(I58="","",H58/I58-1)</f>
        <v/>
      </c>
      <c r="L58" s="19" t="str">
        <f aca="false">IF(H58="","",IF(J58&lt;설정!$B$7,"baseline 수집 중",IF(K58&lt;=-설정!$B$8,"저하","정상")))</f>
        <v/>
      </c>
      <c r="M58" s="20"/>
    </row>
    <row r="59" customFormat="false" ht="15" hidden="false" customHeight="false" outlineLevel="0" collapsed="false">
      <c r="A59" s="16"/>
      <c r="B59" s="17"/>
      <c r="C59" s="17"/>
      <c r="D59" s="17"/>
      <c r="E59" s="17"/>
      <c r="F59" s="17"/>
      <c r="G59" s="18" t="str">
        <f aca="false">IF(COUNT(D59:F59)=0,"",MAX(D59:F59))</f>
        <v/>
      </c>
      <c r="H59" s="18" t="str">
        <f aca="false">IF(COUNT(D59:F59)=0,"",ROUND(AVERAGE(D59:F59),1))</f>
        <v/>
      </c>
      <c r="I59" s="18" t="str">
        <f aca="false">IF(H59="","",IF(J59&lt;설정!$B$7,"",ROUND(AVERAGEIFS($H$2:$H$1001,$B$2:$B$1001,B59,$A$2:$A$1001,"&lt;"&amp;A59,$A$2:$A$1001,"&gt;="&amp;(A59-설정!$B$6)),1)))</f>
        <v/>
      </c>
      <c r="J59" s="18" t="str">
        <f aca="false">IF(H59="","",COUNTIFS($B$2:$B$1001,B59,$A$2:$A$1001,"&lt;"&amp;A59,$A$2:$A$1001,"&gt;="&amp;(A59-설정!$B$6),$H$2:$H$1001,"&gt;=0"))</f>
        <v/>
      </c>
      <c r="K59" s="21" t="str">
        <f aca="false">IF(I59="","",H59/I59-1)</f>
        <v/>
      </c>
      <c r="L59" s="19" t="str">
        <f aca="false">IF(H59="","",IF(J59&lt;설정!$B$7,"baseline 수집 중",IF(K59&lt;=-설정!$B$8,"저하","정상")))</f>
        <v/>
      </c>
      <c r="M59" s="20"/>
    </row>
    <row r="60" customFormat="false" ht="15" hidden="false" customHeight="false" outlineLevel="0" collapsed="false">
      <c r="A60" s="16"/>
      <c r="B60" s="17"/>
      <c r="C60" s="17"/>
      <c r="D60" s="17"/>
      <c r="E60" s="17"/>
      <c r="F60" s="17"/>
      <c r="G60" s="18" t="str">
        <f aca="false">IF(COUNT(D60:F60)=0,"",MAX(D60:F60))</f>
        <v/>
      </c>
      <c r="H60" s="18" t="str">
        <f aca="false">IF(COUNT(D60:F60)=0,"",ROUND(AVERAGE(D60:F60),1))</f>
        <v/>
      </c>
      <c r="I60" s="18" t="str">
        <f aca="false">IF(H60="","",IF(J60&lt;설정!$B$7,"",ROUND(AVERAGEIFS($H$2:$H$1001,$B$2:$B$1001,B60,$A$2:$A$1001,"&lt;"&amp;A60,$A$2:$A$1001,"&gt;="&amp;(A60-설정!$B$6)),1)))</f>
        <v/>
      </c>
      <c r="J60" s="18" t="str">
        <f aca="false">IF(H60="","",COUNTIFS($B$2:$B$1001,B60,$A$2:$A$1001,"&lt;"&amp;A60,$A$2:$A$1001,"&gt;="&amp;(A60-설정!$B$6),$H$2:$H$1001,"&gt;=0"))</f>
        <v/>
      </c>
      <c r="K60" s="21" t="str">
        <f aca="false">IF(I60="","",H60/I60-1)</f>
        <v/>
      </c>
      <c r="L60" s="19" t="str">
        <f aca="false">IF(H60="","",IF(J60&lt;설정!$B$7,"baseline 수집 중",IF(K60&lt;=-설정!$B$8,"저하","정상")))</f>
        <v/>
      </c>
      <c r="M60" s="20"/>
    </row>
    <row r="61" customFormat="false" ht="15" hidden="false" customHeight="false" outlineLevel="0" collapsed="false">
      <c r="A61" s="16"/>
      <c r="B61" s="17"/>
      <c r="C61" s="17"/>
      <c r="D61" s="17"/>
      <c r="E61" s="17"/>
      <c r="F61" s="17"/>
      <c r="G61" s="18" t="str">
        <f aca="false">IF(COUNT(D61:F61)=0,"",MAX(D61:F61))</f>
        <v/>
      </c>
      <c r="H61" s="18" t="str">
        <f aca="false">IF(COUNT(D61:F61)=0,"",ROUND(AVERAGE(D61:F61),1))</f>
        <v/>
      </c>
      <c r="I61" s="18" t="str">
        <f aca="false">IF(H61="","",IF(J61&lt;설정!$B$7,"",ROUND(AVERAGEIFS($H$2:$H$1001,$B$2:$B$1001,B61,$A$2:$A$1001,"&lt;"&amp;A61,$A$2:$A$1001,"&gt;="&amp;(A61-설정!$B$6)),1)))</f>
        <v/>
      </c>
      <c r="J61" s="18" t="str">
        <f aca="false">IF(H61="","",COUNTIFS($B$2:$B$1001,B61,$A$2:$A$1001,"&lt;"&amp;A61,$A$2:$A$1001,"&gt;="&amp;(A61-설정!$B$6),$H$2:$H$1001,"&gt;=0"))</f>
        <v/>
      </c>
      <c r="K61" s="21" t="str">
        <f aca="false">IF(I61="","",H61/I61-1)</f>
        <v/>
      </c>
      <c r="L61" s="19" t="str">
        <f aca="false">IF(H61="","",IF(J61&lt;설정!$B$7,"baseline 수집 중",IF(K61&lt;=-설정!$B$8,"저하","정상")))</f>
        <v/>
      </c>
      <c r="M61" s="20"/>
    </row>
    <row r="62" customFormat="false" ht="15" hidden="false" customHeight="false" outlineLevel="0" collapsed="false">
      <c r="A62" s="16"/>
      <c r="B62" s="17"/>
      <c r="C62" s="17"/>
      <c r="D62" s="17"/>
      <c r="E62" s="17"/>
      <c r="F62" s="17"/>
      <c r="G62" s="18" t="str">
        <f aca="false">IF(COUNT(D62:F62)=0,"",MAX(D62:F62))</f>
        <v/>
      </c>
      <c r="H62" s="18" t="str">
        <f aca="false">IF(COUNT(D62:F62)=0,"",ROUND(AVERAGE(D62:F62),1))</f>
        <v/>
      </c>
      <c r="I62" s="18" t="str">
        <f aca="false">IF(H62="","",IF(J62&lt;설정!$B$7,"",ROUND(AVERAGEIFS($H$2:$H$1001,$B$2:$B$1001,B62,$A$2:$A$1001,"&lt;"&amp;A62,$A$2:$A$1001,"&gt;="&amp;(A62-설정!$B$6)),1)))</f>
        <v/>
      </c>
      <c r="J62" s="18" t="str">
        <f aca="false">IF(H62="","",COUNTIFS($B$2:$B$1001,B62,$A$2:$A$1001,"&lt;"&amp;A62,$A$2:$A$1001,"&gt;="&amp;(A62-설정!$B$6),$H$2:$H$1001,"&gt;=0"))</f>
        <v/>
      </c>
      <c r="K62" s="21" t="str">
        <f aca="false">IF(I62="","",H62/I62-1)</f>
        <v/>
      </c>
      <c r="L62" s="19" t="str">
        <f aca="false">IF(H62="","",IF(J62&lt;설정!$B$7,"baseline 수집 중",IF(K62&lt;=-설정!$B$8,"저하","정상")))</f>
        <v/>
      </c>
      <c r="M62" s="20"/>
    </row>
    <row r="63" customFormat="false" ht="15" hidden="false" customHeight="false" outlineLevel="0" collapsed="false">
      <c r="A63" s="16"/>
      <c r="B63" s="17"/>
      <c r="C63" s="17"/>
      <c r="D63" s="17"/>
      <c r="E63" s="17"/>
      <c r="F63" s="17"/>
      <c r="G63" s="18" t="str">
        <f aca="false">IF(COUNT(D63:F63)=0,"",MAX(D63:F63))</f>
        <v/>
      </c>
      <c r="H63" s="18" t="str">
        <f aca="false">IF(COUNT(D63:F63)=0,"",ROUND(AVERAGE(D63:F63),1))</f>
        <v/>
      </c>
      <c r="I63" s="18" t="str">
        <f aca="false">IF(H63="","",IF(J63&lt;설정!$B$7,"",ROUND(AVERAGEIFS($H$2:$H$1001,$B$2:$B$1001,B63,$A$2:$A$1001,"&lt;"&amp;A63,$A$2:$A$1001,"&gt;="&amp;(A63-설정!$B$6)),1)))</f>
        <v/>
      </c>
      <c r="J63" s="18" t="str">
        <f aca="false">IF(H63="","",COUNTIFS($B$2:$B$1001,B63,$A$2:$A$1001,"&lt;"&amp;A63,$A$2:$A$1001,"&gt;="&amp;(A63-설정!$B$6),$H$2:$H$1001,"&gt;=0"))</f>
        <v/>
      </c>
      <c r="K63" s="21" t="str">
        <f aca="false">IF(I63="","",H63/I63-1)</f>
        <v/>
      </c>
      <c r="L63" s="19" t="str">
        <f aca="false">IF(H63="","",IF(J63&lt;설정!$B$7,"baseline 수집 중",IF(K63&lt;=-설정!$B$8,"저하","정상")))</f>
        <v/>
      </c>
      <c r="M63" s="20"/>
    </row>
    <row r="64" customFormat="false" ht="15" hidden="false" customHeight="false" outlineLevel="0" collapsed="false">
      <c r="A64" s="16"/>
      <c r="B64" s="17"/>
      <c r="C64" s="17"/>
      <c r="D64" s="17"/>
      <c r="E64" s="17"/>
      <c r="F64" s="17"/>
      <c r="G64" s="18" t="str">
        <f aca="false">IF(COUNT(D64:F64)=0,"",MAX(D64:F64))</f>
        <v/>
      </c>
      <c r="H64" s="18" t="str">
        <f aca="false">IF(COUNT(D64:F64)=0,"",ROUND(AVERAGE(D64:F64),1))</f>
        <v/>
      </c>
      <c r="I64" s="18" t="str">
        <f aca="false">IF(H64="","",IF(J64&lt;설정!$B$7,"",ROUND(AVERAGEIFS($H$2:$H$1001,$B$2:$B$1001,B64,$A$2:$A$1001,"&lt;"&amp;A64,$A$2:$A$1001,"&gt;="&amp;(A64-설정!$B$6)),1)))</f>
        <v/>
      </c>
      <c r="J64" s="18" t="str">
        <f aca="false">IF(H64="","",COUNTIFS($B$2:$B$1001,B64,$A$2:$A$1001,"&lt;"&amp;A64,$A$2:$A$1001,"&gt;="&amp;(A64-설정!$B$6),$H$2:$H$1001,"&gt;=0"))</f>
        <v/>
      </c>
      <c r="K64" s="21" t="str">
        <f aca="false">IF(I64="","",H64/I64-1)</f>
        <v/>
      </c>
      <c r="L64" s="19" t="str">
        <f aca="false">IF(H64="","",IF(J64&lt;설정!$B$7,"baseline 수집 중",IF(K64&lt;=-설정!$B$8,"저하","정상")))</f>
        <v/>
      </c>
      <c r="M64" s="20"/>
    </row>
    <row r="65" customFormat="false" ht="15" hidden="false" customHeight="false" outlineLevel="0" collapsed="false">
      <c r="A65" s="16"/>
      <c r="B65" s="17"/>
      <c r="C65" s="17"/>
      <c r="D65" s="17"/>
      <c r="E65" s="17"/>
      <c r="F65" s="17"/>
      <c r="G65" s="18" t="str">
        <f aca="false">IF(COUNT(D65:F65)=0,"",MAX(D65:F65))</f>
        <v/>
      </c>
      <c r="H65" s="18" t="str">
        <f aca="false">IF(COUNT(D65:F65)=0,"",ROUND(AVERAGE(D65:F65),1))</f>
        <v/>
      </c>
      <c r="I65" s="18" t="str">
        <f aca="false">IF(H65="","",IF(J65&lt;설정!$B$7,"",ROUND(AVERAGEIFS($H$2:$H$1001,$B$2:$B$1001,B65,$A$2:$A$1001,"&lt;"&amp;A65,$A$2:$A$1001,"&gt;="&amp;(A65-설정!$B$6)),1)))</f>
        <v/>
      </c>
      <c r="J65" s="18" t="str">
        <f aca="false">IF(H65="","",COUNTIFS($B$2:$B$1001,B65,$A$2:$A$1001,"&lt;"&amp;A65,$A$2:$A$1001,"&gt;="&amp;(A65-설정!$B$6),$H$2:$H$1001,"&gt;=0"))</f>
        <v/>
      </c>
      <c r="K65" s="21" t="str">
        <f aca="false">IF(I65="","",H65/I65-1)</f>
        <v/>
      </c>
      <c r="L65" s="19" t="str">
        <f aca="false">IF(H65="","",IF(J65&lt;설정!$B$7,"baseline 수집 중",IF(K65&lt;=-설정!$B$8,"저하","정상")))</f>
        <v/>
      </c>
      <c r="M65" s="20"/>
    </row>
    <row r="66" customFormat="false" ht="15" hidden="false" customHeight="false" outlineLevel="0" collapsed="false">
      <c r="A66" s="16"/>
      <c r="B66" s="17"/>
      <c r="C66" s="17"/>
      <c r="D66" s="17"/>
      <c r="E66" s="17"/>
      <c r="F66" s="17"/>
      <c r="G66" s="18" t="str">
        <f aca="false">IF(COUNT(D66:F66)=0,"",MAX(D66:F66))</f>
        <v/>
      </c>
      <c r="H66" s="18" t="str">
        <f aca="false">IF(COUNT(D66:F66)=0,"",ROUND(AVERAGE(D66:F66),1))</f>
        <v/>
      </c>
      <c r="I66" s="18" t="str">
        <f aca="false">IF(H66="","",IF(J66&lt;설정!$B$7,"",ROUND(AVERAGEIFS($H$2:$H$1001,$B$2:$B$1001,B66,$A$2:$A$1001,"&lt;"&amp;A66,$A$2:$A$1001,"&gt;="&amp;(A66-설정!$B$6)),1)))</f>
        <v/>
      </c>
      <c r="J66" s="18" t="str">
        <f aca="false">IF(H66="","",COUNTIFS($B$2:$B$1001,B66,$A$2:$A$1001,"&lt;"&amp;A66,$A$2:$A$1001,"&gt;="&amp;(A66-설정!$B$6),$H$2:$H$1001,"&gt;=0"))</f>
        <v/>
      </c>
      <c r="K66" s="21" t="str">
        <f aca="false">IF(I66="","",H66/I66-1)</f>
        <v/>
      </c>
      <c r="L66" s="19" t="str">
        <f aca="false">IF(H66="","",IF(J66&lt;설정!$B$7,"baseline 수집 중",IF(K66&lt;=-설정!$B$8,"저하","정상")))</f>
        <v/>
      </c>
      <c r="M66" s="20"/>
    </row>
    <row r="67" customFormat="false" ht="15" hidden="false" customHeight="false" outlineLevel="0" collapsed="false">
      <c r="A67" s="16"/>
      <c r="B67" s="17"/>
      <c r="C67" s="17"/>
      <c r="D67" s="17"/>
      <c r="E67" s="17"/>
      <c r="F67" s="17"/>
      <c r="G67" s="18" t="str">
        <f aca="false">IF(COUNT(D67:F67)=0,"",MAX(D67:F67))</f>
        <v/>
      </c>
      <c r="H67" s="18" t="str">
        <f aca="false">IF(COUNT(D67:F67)=0,"",ROUND(AVERAGE(D67:F67),1))</f>
        <v/>
      </c>
      <c r="I67" s="18" t="str">
        <f aca="false">IF(H67="","",IF(J67&lt;설정!$B$7,"",ROUND(AVERAGEIFS($H$2:$H$1001,$B$2:$B$1001,B67,$A$2:$A$1001,"&lt;"&amp;A67,$A$2:$A$1001,"&gt;="&amp;(A67-설정!$B$6)),1)))</f>
        <v/>
      </c>
      <c r="J67" s="18" t="str">
        <f aca="false">IF(H67="","",COUNTIFS($B$2:$B$1001,B67,$A$2:$A$1001,"&lt;"&amp;A67,$A$2:$A$1001,"&gt;="&amp;(A67-설정!$B$6),$H$2:$H$1001,"&gt;=0"))</f>
        <v/>
      </c>
      <c r="K67" s="21" t="str">
        <f aca="false">IF(I67="","",H67/I67-1)</f>
        <v/>
      </c>
      <c r="L67" s="19" t="str">
        <f aca="false">IF(H67="","",IF(J67&lt;설정!$B$7,"baseline 수집 중",IF(K67&lt;=-설정!$B$8,"저하","정상")))</f>
        <v/>
      </c>
      <c r="M67" s="20"/>
    </row>
    <row r="68" customFormat="false" ht="15" hidden="false" customHeight="false" outlineLevel="0" collapsed="false">
      <c r="A68" s="16"/>
      <c r="B68" s="17"/>
      <c r="C68" s="17"/>
      <c r="D68" s="17"/>
      <c r="E68" s="17"/>
      <c r="F68" s="17"/>
      <c r="G68" s="18" t="str">
        <f aca="false">IF(COUNT(D68:F68)=0,"",MAX(D68:F68))</f>
        <v/>
      </c>
      <c r="H68" s="18" t="str">
        <f aca="false">IF(COUNT(D68:F68)=0,"",ROUND(AVERAGE(D68:F68),1))</f>
        <v/>
      </c>
      <c r="I68" s="18" t="str">
        <f aca="false">IF(H68="","",IF(J68&lt;설정!$B$7,"",ROUND(AVERAGEIFS($H$2:$H$1001,$B$2:$B$1001,B68,$A$2:$A$1001,"&lt;"&amp;A68,$A$2:$A$1001,"&gt;="&amp;(A68-설정!$B$6)),1)))</f>
        <v/>
      </c>
      <c r="J68" s="18" t="str">
        <f aca="false">IF(H68="","",COUNTIFS($B$2:$B$1001,B68,$A$2:$A$1001,"&lt;"&amp;A68,$A$2:$A$1001,"&gt;="&amp;(A68-설정!$B$6),$H$2:$H$1001,"&gt;=0"))</f>
        <v/>
      </c>
      <c r="K68" s="21" t="str">
        <f aca="false">IF(I68="","",H68/I68-1)</f>
        <v/>
      </c>
      <c r="L68" s="19" t="str">
        <f aca="false">IF(H68="","",IF(J68&lt;설정!$B$7,"baseline 수집 중",IF(K68&lt;=-설정!$B$8,"저하","정상")))</f>
        <v/>
      </c>
      <c r="M68" s="20"/>
    </row>
    <row r="69" customFormat="false" ht="15" hidden="false" customHeight="false" outlineLevel="0" collapsed="false">
      <c r="A69" s="16"/>
      <c r="B69" s="17"/>
      <c r="C69" s="17"/>
      <c r="D69" s="17"/>
      <c r="E69" s="17"/>
      <c r="F69" s="17"/>
      <c r="G69" s="18" t="str">
        <f aca="false">IF(COUNT(D69:F69)=0,"",MAX(D69:F69))</f>
        <v/>
      </c>
      <c r="H69" s="18" t="str">
        <f aca="false">IF(COUNT(D69:F69)=0,"",ROUND(AVERAGE(D69:F69),1))</f>
        <v/>
      </c>
      <c r="I69" s="18" t="str">
        <f aca="false">IF(H69="","",IF(J69&lt;설정!$B$7,"",ROUND(AVERAGEIFS($H$2:$H$1001,$B$2:$B$1001,B69,$A$2:$A$1001,"&lt;"&amp;A69,$A$2:$A$1001,"&gt;="&amp;(A69-설정!$B$6)),1)))</f>
        <v/>
      </c>
      <c r="J69" s="18" t="str">
        <f aca="false">IF(H69="","",COUNTIFS($B$2:$B$1001,B69,$A$2:$A$1001,"&lt;"&amp;A69,$A$2:$A$1001,"&gt;="&amp;(A69-설정!$B$6),$H$2:$H$1001,"&gt;=0"))</f>
        <v/>
      </c>
      <c r="K69" s="21" t="str">
        <f aca="false">IF(I69="","",H69/I69-1)</f>
        <v/>
      </c>
      <c r="L69" s="19" t="str">
        <f aca="false">IF(H69="","",IF(J69&lt;설정!$B$7,"baseline 수집 중",IF(K69&lt;=-설정!$B$8,"저하","정상")))</f>
        <v/>
      </c>
      <c r="M69" s="20"/>
    </row>
    <row r="70" customFormat="false" ht="15" hidden="false" customHeight="false" outlineLevel="0" collapsed="false">
      <c r="A70" s="16"/>
      <c r="B70" s="17"/>
      <c r="C70" s="17"/>
      <c r="D70" s="17"/>
      <c r="E70" s="17"/>
      <c r="F70" s="17"/>
      <c r="G70" s="18" t="str">
        <f aca="false">IF(COUNT(D70:F70)=0,"",MAX(D70:F70))</f>
        <v/>
      </c>
      <c r="H70" s="18" t="str">
        <f aca="false">IF(COUNT(D70:F70)=0,"",ROUND(AVERAGE(D70:F70),1))</f>
        <v/>
      </c>
      <c r="I70" s="18" t="str">
        <f aca="false">IF(H70="","",IF(J70&lt;설정!$B$7,"",ROUND(AVERAGEIFS($H$2:$H$1001,$B$2:$B$1001,B70,$A$2:$A$1001,"&lt;"&amp;A70,$A$2:$A$1001,"&gt;="&amp;(A70-설정!$B$6)),1)))</f>
        <v/>
      </c>
      <c r="J70" s="18" t="str">
        <f aca="false">IF(H70="","",COUNTIFS($B$2:$B$1001,B70,$A$2:$A$1001,"&lt;"&amp;A70,$A$2:$A$1001,"&gt;="&amp;(A70-설정!$B$6),$H$2:$H$1001,"&gt;=0"))</f>
        <v/>
      </c>
      <c r="K70" s="21" t="str">
        <f aca="false">IF(I70="","",H70/I70-1)</f>
        <v/>
      </c>
      <c r="L70" s="19" t="str">
        <f aca="false">IF(H70="","",IF(J70&lt;설정!$B$7,"baseline 수집 중",IF(K70&lt;=-설정!$B$8,"저하","정상")))</f>
        <v/>
      </c>
      <c r="M70" s="20"/>
    </row>
    <row r="71" customFormat="false" ht="15" hidden="false" customHeight="false" outlineLevel="0" collapsed="false">
      <c r="A71" s="16"/>
      <c r="B71" s="17"/>
      <c r="C71" s="17"/>
      <c r="D71" s="17"/>
      <c r="E71" s="17"/>
      <c r="F71" s="17"/>
      <c r="G71" s="18" t="str">
        <f aca="false">IF(COUNT(D71:F71)=0,"",MAX(D71:F71))</f>
        <v/>
      </c>
      <c r="H71" s="18" t="str">
        <f aca="false">IF(COUNT(D71:F71)=0,"",ROUND(AVERAGE(D71:F71),1))</f>
        <v/>
      </c>
      <c r="I71" s="18" t="str">
        <f aca="false">IF(H71="","",IF(J71&lt;설정!$B$7,"",ROUND(AVERAGEIFS($H$2:$H$1001,$B$2:$B$1001,B71,$A$2:$A$1001,"&lt;"&amp;A71,$A$2:$A$1001,"&gt;="&amp;(A71-설정!$B$6)),1)))</f>
        <v/>
      </c>
      <c r="J71" s="18" t="str">
        <f aca="false">IF(H71="","",COUNTIFS($B$2:$B$1001,B71,$A$2:$A$1001,"&lt;"&amp;A71,$A$2:$A$1001,"&gt;="&amp;(A71-설정!$B$6),$H$2:$H$1001,"&gt;=0"))</f>
        <v/>
      </c>
      <c r="K71" s="21" t="str">
        <f aca="false">IF(I71="","",H71/I71-1)</f>
        <v/>
      </c>
      <c r="L71" s="19" t="str">
        <f aca="false">IF(H71="","",IF(J71&lt;설정!$B$7,"baseline 수집 중",IF(K71&lt;=-설정!$B$8,"저하","정상")))</f>
        <v/>
      </c>
      <c r="M71" s="20"/>
    </row>
    <row r="72" customFormat="false" ht="15" hidden="false" customHeight="false" outlineLevel="0" collapsed="false">
      <c r="A72" s="16"/>
      <c r="B72" s="17"/>
      <c r="C72" s="17"/>
      <c r="D72" s="17"/>
      <c r="E72" s="17"/>
      <c r="F72" s="17"/>
      <c r="G72" s="18" t="str">
        <f aca="false">IF(COUNT(D72:F72)=0,"",MAX(D72:F72))</f>
        <v/>
      </c>
      <c r="H72" s="18" t="str">
        <f aca="false">IF(COUNT(D72:F72)=0,"",ROUND(AVERAGE(D72:F72),1))</f>
        <v/>
      </c>
      <c r="I72" s="18" t="str">
        <f aca="false">IF(H72="","",IF(J72&lt;설정!$B$7,"",ROUND(AVERAGEIFS($H$2:$H$1001,$B$2:$B$1001,B72,$A$2:$A$1001,"&lt;"&amp;A72,$A$2:$A$1001,"&gt;="&amp;(A72-설정!$B$6)),1)))</f>
        <v/>
      </c>
      <c r="J72" s="18" t="str">
        <f aca="false">IF(H72="","",COUNTIFS($B$2:$B$1001,B72,$A$2:$A$1001,"&lt;"&amp;A72,$A$2:$A$1001,"&gt;="&amp;(A72-설정!$B$6),$H$2:$H$1001,"&gt;=0"))</f>
        <v/>
      </c>
      <c r="K72" s="21" t="str">
        <f aca="false">IF(I72="","",H72/I72-1)</f>
        <v/>
      </c>
      <c r="L72" s="19" t="str">
        <f aca="false">IF(H72="","",IF(J72&lt;설정!$B$7,"baseline 수집 중",IF(K72&lt;=-설정!$B$8,"저하","정상")))</f>
        <v/>
      </c>
      <c r="M72" s="20"/>
    </row>
    <row r="73" customFormat="false" ht="15" hidden="false" customHeight="false" outlineLevel="0" collapsed="false">
      <c r="A73" s="16"/>
      <c r="B73" s="17"/>
      <c r="C73" s="17"/>
      <c r="D73" s="17"/>
      <c r="E73" s="17"/>
      <c r="F73" s="17"/>
      <c r="G73" s="18" t="str">
        <f aca="false">IF(COUNT(D73:F73)=0,"",MAX(D73:F73))</f>
        <v/>
      </c>
      <c r="H73" s="18" t="str">
        <f aca="false">IF(COUNT(D73:F73)=0,"",ROUND(AVERAGE(D73:F73),1))</f>
        <v/>
      </c>
      <c r="I73" s="18" t="str">
        <f aca="false">IF(H73="","",IF(J73&lt;설정!$B$7,"",ROUND(AVERAGEIFS($H$2:$H$1001,$B$2:$B$1001,B73,$A$2:$A$1001,"&lt;"&amp;A73,$A$2:$A$1001,"&gt;="&amp;(A73-설정!$B$6)),1)))</f>
        <v/>
      </c>
      <c r="J73" s="18" t="str">
        <f aca="false">IF(H73="","",COUNTIFS($B$2:$B$1001,B73,$A$2:$A$1001,"&lt;"&amp;A73,$A$2:$A$1001,"&gt;="&amp;(A73-설정!$B$6),$H$2:$H$1001,"&gt;=0"))</f>
        <v/>
      </c>
      <c r="K73" s="21" t="str">
        <f aca="false">IF(I73="","",H73/I73-1)</f>
        <v/>
      </c>
      <c r="L73" s="19" t="str">
        <f aca="false">IF(H73="","",IF(J73&lt;설정!$B$7,"baseline 수집 중",IF(K73&lt;=-설정!$B$8,"저하","정상")))</f>
        <v/>
      </c>
      <c r="M73" s="20"/>
    </row>
    <row r="74" customFormat="false" ht="15" hidden="false" customHeight="false" outlineLevel="0" collapsed="false">
      <c r="A74" s="16"/>
      <c r="B74" s="17"/>
      <c r="C74" s="17"/>
      <c r="D74" s="17"/>
      <c r="E74" s="17"/>
      <c r="F74" s="17"/>
      <c r="G74" s="18" t="str">
        <f aca="false">IF(COUNT(D74:F74)=0,"",MAX(D74:F74))</f>
        <v/>
      </c>
      <c r="H74" s="18" t="str">
        <f aca="false">IF(COUNT(D74:F74)=0,"",ROUND(AVERAGE(D74:F74),1))</f>
        <v/>
      </c>
      <c r="I74" s="18" t="str">
        <f aca="false">IF(H74="","",IF(J74&lt;설정!$B$7,"",ROUND(AVERAGEIFS($H$2:$H$1001,$B$2:$B$1001,B74,$A$2:$A$1001,"&lt;"&amp;A74,$A$2:$A$1001,"&gt;="&amp;(A74-설정!$B$6)),1)))</f>
        <v/>
      </c>
      <c r="J74" s="18" t="str">
        <f aca="false">IF(H74="","",COUNTIFS($B$2:$B$1001,B74,$A$2:$A$1001,"&lt;"&amp;A74,$A$2:$A$1001,"&gt;="&amp;(A74-설정!$B$6),$H$2:$H$1001,"&gt;=0"))</f>
        <v/>
      </c>
      <c r="K74" s="21" t="str">
        <f aca="false">IF(I74="","",H74/I74-1)</f>
        <v/>
      </c>
      <c r="L74" s="19" t="str">
        <f aca="false">IF(H74="","",IF(J74&lt;설정!$B$7,"baseline 수집 중",IF(K74&lt;=-설정!$B$8,"저하","정상")))</f>
        <v/>
      </c>
      <c r="M74" s="20"/>
    </row>
    <row r="75" customFormat="false" ht="15" hidden="false" customHeight="false" outlineLevel="0" collapsed="false">
      <c r="A75" s="16"/>
      <c r="B75" s="17"/>
      <c r="C75" s="17"/>
      <c r="D75" s="17"/>
      <c r="E75" s="17"/>
      <c r="F75" s="17"/>
      <c r="G75" s="18" t="str">
        <f aca="false">IF(COUNT(D75:F75)=0,"",MAX(D75:F75))</f>
        <v/>
      </c>
      <c r="H75" s="18" t="str">
        <f aca="false">IF(COUNT(D75:F75)=0,"",ROUND(AVERAGE(D75:F75),1))</f>
        <v/>
      </c>
      <c r="I75" s="18" t="str">
        <f aca="false">IF(H75="","",IF(J75&lt;설정!$B$7,"",ROUND(AVERAGEIFS($H$2:$H$1001,$B$2:$B$1001,B75,$A$2:$A$1001,"&lt;"&amp;A75,$A$2:$A$1001,"&gt;="&amp;(A75-설정!$B$6)),1)))</f>
        <v/>
      </c>
      <c r="J75" s="18" t="str">
        <f aca="false">IF(H75="","",COUNTIFS($B$2:$B$1001,B75,$A$2:$A$1001,"&lt;"&amp;A75,$A$2:$A$1001,"&gt;="&amp;(A75-설정!$B$6),$H$2:$H$1001,"&gt;=0"))</f>
        <v/>
      </c>
      <c r="K75" s="21" t="str">
        <f aca="false">IF(I75="","",H75/I75-1)</f>
        <v/>
      </c>
      <c r="L75" s="19" t="str">
        <f aca="false">IF(H75="","",IF(J75&lt;설정!$B$7,"baseline 수집 중",IF(K75&lt;=-설정!$B$8,"저하","정상")))</f>
        <v/>
      </c>
      <c r="M75" s="20"/>
    </row>
    <row r="76" customFormat="false" ht="15" hidden="false" customHeight="false" outlineLevel="0" collapsed="false">
      <c r="A76" s="16"/>
      <c r="B76" s="17"/>
      <c r="C76" s="17"/>
      <c r="D76" s="17"/>
      <c r="E76" s="17"/>
      <c r="F76" s="17"/>
      <c r="G76" s="18" t="str">
        <f aca="false">IF(COUNT(D76:F76)=0,"",MAX(D76:F76))</f>
        <v/>
      </c>
      <c r="H76" s="18" t="str">
        <f aca="false">IF(COUNT(D76:F76)=0,"",ROUND(AVERAGE(D76:F76),1))</f>
        <v/>
      </c>
      <c r="I76" s="18" t="str">
        <f aca="false">IF(H76="","",IF(J76&lt;설정!$B$7,"",ROUND(AVERAGEIFS($H$2:$H$1001,$B$2:$B$1001,B76,$A$2:$A$1001,"&lt;"&amp;A76,$A$2:$A$1001,"&gt;="&amp;(A76-설정!$B$6)),1)))</f>
        <v/>
      </c>
      <c r="J76" s="18" t="str">
        <f aca="false">IF(H76="","",COUNTIFS($B$2:$B$1001,B76,$A$2:$A$1001,"&lt;"&amp;A76,$A$2:$A$1001,"&gt;="&amp;(A76-설정!$B$6),$H$2:$H$1001,"&gt;=0"))</f>
        <v/>
      </c>
      <c r="K76" s="21" t="str">
        <f aca="false">IF(I76="","",H76/I76-1)</f>
        <v/>
      </c>
      <c r="L76" s="19" t="str">
        <f aca="false">IF(H76="","",IF(J76&lt;설정!$B$7,"baseline 수집 중",IF(K76&lt;=-설정!$B$8,"저하","정상")))</f>
        <v/>
      </c>
      <c r="M76" s="20"/>
    </row>
    <row r="77" customFormat="false" ht="15" hidden="false" customHeight="false" outlineLevel="0" collapsed="false">
      <c r="A77" s="16"/>
      <c r="B77" s="17"/>
      <c r="C77" s="17"/>
      <c r="D77" s="17"/>
      <c r="E77" s="17"/>
      <c r="F77" s="17"/>
      <c r="G77" s="18" t="str">
        <f aca="false">IF(COUNT(D77:F77)=0,"",MAX(D77:F77))</f>
        <v/>
      </c>
      <c r="H77" s="18" t="str">
        <f aca="false">IF(COUNT(D77:F77)=0,"",ROUND(AVERAGE(D77:F77),1))</f>
        <v/>
      </c>
      <c r="I77" s="18" t="str">
        <f aca="false">IF(H77="","",IF(J77&lt;설정!$B$7,"",ROUND(AVERAGEIFS($H$2:$H$1001,$B$2:$B$1001,B77,$A$2:$A$1001,"&lt;"&amp;A77,$A$2:$A$1001,"&gt;="&amp;(A77-설정!$B$6)),1)))</f>
        <v/>
      </c>
      <c r="J77" s="18" t="str">
        <f aca="false">IF(H77="","",COUNTIFS($B$2:$B$1001,B77,$A$2:$A$1001,"&lt;"&amp;A77,$A$2:$A$1001,"&gt;="&amp;(A77-설정!$B$6),$H$2:$H$1001,"&gt;=0"))</f>
        <v/>
      </c>
      <c r="K77" s="21" t="str">
        <f aca="false">IF(I77="","",H77/I77-1)</f>
        <v/>
      </c>
      <c r="L77" s="19" t="str">
        <f aca="false">IF(H77="","",IF(J77&lt;설정!$B$7,"baseline 수집 중",IF(K77&lt;=-설정!$B$8,"저하","정상")))</f>
        <v/>
      </c>
      <c r="M77" s="20"/>
    </row>
    <row r="78" customFormat="false" ht="15" hidden="false" customHeight="false" outlineLevel="0" collapsed="false">
      <c r="A78" s="16"/>
      <c r="B78" s="17"/>
      <c r="C78" s="17"/>
      <c r="D78" s="17"/>
      <c r="E78" s="17"/>
      <c r="F78" s="17"/>
      <c r="G78" s="18" t="str">
        <f aca="false">IF(COUNT(D78:F78)=0,"",MAX(D78:F78))</f>
        <v/>
      </c>
      <c r="H78" s="18" t="str">
        <f aca="false">IF(COUNT(D78:F78)=0,"",ROUND(AVERAGE(D78:F78),1))</f>
        <v/>
      </c>
      <c r="I78" s="18" t="str">
        <f aca="false">IF(H78="","",IF(J78&lt;설정!$B$7,"",ROUND(AVERAGEIFS($H$2:$H$1001,$B$2:$B$1001,B78,$A$2:$A$1001,"&lt;"&amp;A78,$A$2:$A$1001,"&gt;="&amp;(A78-설정!$B$6)),1)))</f>
        <v/>
      </c>
      <c r="J78" s="18" t="str">
        <f aca="false">IF(H78="","",COUNTIFS($B$2:$B$1001,B78,$A$2:$A$1001,"&lt;"&amp;A78,$A$2:$A$1001,"&gt;="&amp;(A78-설정!$B$6),$H$2:$H$1001,"&gt;=0"))</f>
        <v/>
      </c>
      <c r="K78" s="21" t="str">
        <f aca="false">IF(I78="","",H78/I78-1)</f>
        <v/>
      </c>
      <c r="L78" s="19" t="str">
        <f aca="false">IF(H78="","",IF(J78&lt;설정!$B$7,"baseline 수집 중",IF(K78&lt;=-설정!$B$8,"저하","정상")))</f>
        <v/>
      </c>
      <c r="M78" s="20"/>
    </row>
    <row r="79" customFormat="false" ht="15" hidden="false" customHeight="false" outlineLevel="0" collapsed="false">
      <c r="A79" s="16"/>
      <c r="B79" s="17"/>
      <c r="C79" s="17"/>
      <c r="D79" s="17"/>
      <c r="E79" s="17"/>
      <c r="F79" s="17"/>
      <c r="G79" s="18" t="str">
        <f aca="false">IF(COUNT(D79:F79)=0,"",MAX(D79:F79))</f>
        <v/>
      </c>
      <c r="H79" s="18" t="str">
        <f aca="false">IF(COUNT(D79:F79)=0,"",ROUND(AVERAGE(D79:F79),1))</f>
        <v/>
      </c>
      <c r="I79" s="18" t="str">
        <f aca="false">IF(H79="","",IF(J79&lt;설정!$B$7,"",ROUND(AVERAGEIFS($H$2:$H$1001,$B$2:$B$1001,B79,$A$2:$A$1001,"&lt;"&amp;A79,$A$2:$A$1001,"&gt;="&amp;(A79-설정!$B$6)),1)))</f>
        <v/>
      </c>
      <c r="J79" s="18" t="str">
        <f aca="false">IF(H79="","",COUNTIFS($B$2:$B$1001,B79,$A$2:$A$1001,"&lt;"&amp;A79,$A$2:$A$1001,"&gt;="&amp;(A79-설정!$B$6),$H$2:$H$1001,"&gt;=0"))</f>
        <v/>
      </c>
      <c r="K79" s="21" t="str">
        <f aca="false">IF(I79="","",H79/I79-1)</f>
        <v/>
      </c>
      <c r="L79" s="19" t="str">
        <f aca="false">IF(H79="","",IF(J79&lt;설정!$B$7,"baseline 수집 중",IF(K79&lt;=-설정!$B$8,"저하","정상")))</f>
        <v/>
      </c>
      <c r="M79" s="20"/>
    </row>
    <row r="80" customFormat="false" ht="15" hidden="false" customHeight="false" outlineLevel="0" collapsed="false">
      <c r="A80" s="16"/>
      <c r="B80" s="17"/>
      <c r="C80" s="17"/>
      <c r="D80" s="17"/>
      <c r="E80" s="17"/>
      <c r="F80" s="17"/>
      <c r="G80" s="18" t="str">
        <f aca="false">IF(COUNT(D80:F80)=0,"",MAX(D80:F80))</f>
        <v/>
      </c>
      <c r="H80" s="18" t="str">
        <f aca="false">IF(COUNT(D80:F80)=0,"",ROUND(AVERAGE(D80:F80),1))</f>
        <v/>
      </c>
      <c r="I80" s="18" t="str">
        <f aca="false">IF(H80="","",IF(J80&lt;설정!$B$7,"",ROUND(AVERAGEIFS($H$2:$H$1001,$B$2:$B$1001,B80,$A$2:$A$1001,"&lt;"&amp;A80,$A$2:$A$1001,"&gt;="&amp;(A80-설정!$B$6)),1)))</f>
        <v/>
      </c>
      <c r="J80" s="18" t="str">
        <f aca="false">IF(H80="","",COUNTIFS($B$2:$B$1001,B80,$A$2:$A$1001,"&lt;"&amp;A80,$A$2:$A$1001,"&gt;="&amp;(A80-설정!$B$6),$H$2:$H$1001,"&gt;=0"))</f>
        <v/>
      </c>
      <c r="K80" s="21" t="str">
        <f aca="false">IF(I80="","",H80/I80-1)</f>
        <v/>
      </c>
      <c r="L80" s="19" t="str">
        <f aca="false">IF(H80="","",IF(J80&lt;설정!$B$7,"baseline 수집 중",IF(K80&lt;=-설정!$B$8,"저하","정상")))</f>
        <v/>
      </c>
      <c r="M80" s="20"/>
    </row>
    <row r="81" customFormat="false" ht="15" hidden="false" customHeight="false" outlineLevel="0" collapsed="false">
      <c r="A81" s="16"/>
      <c r="B81" s="17"/>
      <c r="C81" s="17"/>
      <c r="D81" s="17"/>
      <c r="E81" s="17"/>
      <c r="F81" s="17"/>
      <c r="G81" s="18" t="str">
        <f aca="false">IF(COUNT(D81:F81)=0,"",MAX(D81:F81))</f>
        <v/>
      </c>
      <c r="H81" s="18" t="str">
        <f aca="false">IF(COUNT(D81:F81)=0,"",ROUND(AVERAGE(D81:F81),1))</f>
        <v/>
      </c>
      <c r="I81" s="18" t="str">
        <f aca="false">IF(H81="","",IF(J81&lt;설정!$B$7,"",ROUND(AVERAGEIFS($H$2:$H$1001,$B$2:$B$1001,B81,$A$2:$A$1001,"&lt;"&amp;A81,$A$2:$A$1001,"&gt;="&amp;(A81-설정!$B$6)),1)))</f>
        <v/>
      </c>
      <c r="J81" s="18" t="str">
        <f aca="false">IF(H81="","",COUNTIFS($B$2:$B$1001,B81,$A$2:$A$1001,"&lt;"&amp;A81,$A$2:$A$1001,"&gt;="&amp;(A81-설정!$B$6),$H$2:$H$1001,"&gt;=0"))</f>
        <v/>
      </c>
      <c r="K81" s="21" t="str">
        <f aca="false">IF(I81="","",H81/I81-1)</f>
        <v/>
      </c>
      <c r="L81" s="19" t="str">
        <f aca="false">IF(H81="","",IF(J81&lt;설정!$B$7,"baseline 수집 중",IF(K81&lt;=-설정!$B$8,"저하","정상")))</f>
        <v/>
      </c>
      <c r="M81" s="20"/>
    </row>
    <row r="82" customFormat="false" ht="15" hidden="false" customHeight="false" outlineLevel="0" collapsed="false">
      <c r="A82" s="16"/>
      <c r="B82" s="17"/>
      <c r="C82" s="17"/>
      <c r="D82" s="17"/>
      <c r="E82" s="17"/>
      <c r="F82" s="17"/>
      <c r="G82" s="18" t="str">
        <f aca="false">IF(COUNT(D82:F82)=0,"",MAX(D82:F82))</f>
        <v/>
      </c>
      <c r="H82" s="18" t="str">
        <f aca="false">IF(COUNT(D82:F82)=0,"",ROUND(AVERAGE(D82:F82),1))</f>
        <v/>
      </c>
      <c r="I82" s="18" t="str">
        <f aca="false">IF(H82="","",IF(J82&lt;설정!$B$7,"",ROUND(AVERAGEIFS($H$2:$H$1001,$B$2:$B$1001,B82,$A$2:$A$1001,"&lt;"&amp;A82,$A$2:$A$1001,"&gt;="&amp;(A82-설정!$B$6)),1)))</f>
        <v/>
      </c>
      <c r="J82" s="18" t="str">
        <f aca="false">IF(H82="","",COUNTIFS($B$2:$B$1001,B82,$A$2:$A$1001,"&lt;"&amp;A82,$A$2:$A$1001,"&gt;="&amp;(A82-설정!$B$6),$H$2:$H$1001,"&gt;=0"))</f>
        <v/>
      </c>
      <c r="K82" s="21" t="str">
        <f aca="false">IF(I82="","",H82/I82-1)</f>
        <v/>
      </c>
      <c r="L82" s="19" t="str">
        <f aca="false">IF(H82="","",IF(J82&lt;설정!$B$7,"baseline 수집 중",IF(K82&lt;=-설정!$B$8,"저하","정상")))</f>
        <v/>
      </c>
      <c r="M82" s="20"/>
    </row>
    <row r="83" customFormat="false" ht="15" hidden="false" customHeight="false" outlineLevel="0" collapsed="false">
      <c r="A83" s="16"/>
      <c r="B83" s="17"/>
      <c r="C83" s="17"/>
      <c r="D83" s="17"/>
      <c r="E83" s="17"/>
      <c r="F83" s="17"/>
      <c r="G83" s="18" t="str">
        <f aca="false">IF(COUNT(D83:F83)=0,"",MAX(D83:F83))</f>
        <v/>
      </c>
      <c r="H83" s="18" t="str">
        <f aca="false">IF(COUNT(D83:F83)=0,"",ROUND(AVERAGE(D83:F83),1))</f>
        <v/>
      </c>
      <c r="I83" s="18" t="str">
        <f aca="false">IF(H83="","",IF(J83&lt;설정!$B$7,"",ROUND(AVERAGEIFS($H$2:$H$1001,$B$2:$B$1001,B83,$A$2:$A$1001,"&lt;"&amp;A83,$A$2:$A$1001,"&gt;="&amp;(A83-설정!$B$6)),1)))</f>
        <v/>
      </c>
      <c r="J83" s="18" t="str">
        <f aca="false">IF(H83="","",COUNTIFS($B$2:$B$1001,B83,$A$2:$A$1001,"&lt;"&amp;A83,$A$2:$A$1001,"&gt;="&amp;(A83-설정!$B$6),$H$2:$H$1001,"&gt;=0"))</f>
        <v/>
      </c>
      <c r="K83" s="21" t="str">
        <f aca="false">IF(I83="","",H83/I83-1)</f>
        <v/>
      </c>
      <c r="L83" s="19" t="str">
        <f aca="false">IF(H83="","",IF(J83&lt;설정!$B$7,"baseline 수집 중",IF(K83&lt;=-설정!$B$8,"저하","정상")))</f>
        <v/>
      </c>
      <c r="M83" s="20"/>
    </row>
    <row r="84" customFormat="false" ht="15" hidden="false" customHeight="false" outlineLevel="0" collapsed="false">
      <c r="A84" s="16"/>
      <c r="B84" s="17"/>
      <c r="C84" s="17"/>
      <c r="D84" s="17"/>
      <c r="E84" s="17"/>
      <c r="F84" s="17"/>
      <c r="G84" s="18" t="str">
        <f aca="false">IF(COUNT(D84:F84)=0,"",MAX(D84:F84))</f>
        <v/>
      </c>
      <c r="H84" s="18" t="str">
        <f aca="false">IF(COUNT(D84:F84)=0,"",ROUND(AVERAGE(D84:F84),1))</f>
        <v/>
      </c>
      <c r="I84" s="18" t="str">
        <f aca="false">IF(H84="","",IF(J84&lt;설정!$B$7,"",ROUND(AVERAGEIFS($H$2:$H$1001,$B$2:$B$1001,B84,$A$2:$A$1001,"&lt;"&amp;A84,$A$2:$A$1001,"&gt;="&amp;(A84-설정!$B$6)),1)))</f>
        <v/>
      </c>
      <c r="J84" s="18" t="str">
        <f aca="false">IF(H84="","",COUNTIFS($B$2:$B$1001,B84,$A$2:$A$1001,"&lt;"&amp;A84,$A$2:$A$1001,"&gt;="&amp;(A84-설정!$B$6),$H$2:$H$1001,"&gt;=0"))</f>
        <v/>
      </c>
      <c r="K84" s="21" t="str">
        <f aca="false">IF(I84="","",H84/I84-1)</f>
        <v/>
      </c>
      <c r="L84" s="19" t="str">
        <f aca="false">IF(H84="","",IF(J84&lt;설정!$B$7,"baseline 수집 중",IF(K84&lt;=-설정!$B$8,"저하","정상")))</f>
        <v/>
      </c>
      <c r="M84" s="20"/>
    </row>
    <row r="85" customFormat="false" ht="15" hidden="false" customHeight="false" outlineLevel="0" collapsed="false">
      <c r="A85" s="16"/>
      <c r="B85" s="17"/>
      <c r="C85" s="17"/>
      <c r="D85" s="17"/>
      <c r="E85" s="17"/>
      <c r="F85" s="17"/>
      <c r="G85" s="18" t="str">
        <f aca="false">IF(COUNT(D85:F85)=0,"",MAX(D85:F85))</f>
        <v/>
      </c>
      <c r="H85" s="18" t="str">
        <f aca="false">IF(COUNT(D85:F85)=0,"",ROUND(AVERAGE(D85:F85),1))</f>
        <v/>
      </c>
      <c r="I85" s="18" t="str">
        <f aca="false">IF(H85="","",IF(J85&lt;설정!$B$7,"",ROUND(AVERAGEIFS($H$2:$H$1001,$B$2:$B$1001,B85,$A$2:$A$1001,"&lt;"&amp;A85,$A$2:$A$1001,"&gt;="&amp;(A85-설정!$B$6)),1)))</f>
        <v/>
      </c>
      <c r="J85" s="18" t="str">
        <f aca="false">IF(H85="","",COUNTIFS($B$2:$B$1001,B85,$A$2:$A$1001,"&lt;"&amp;A85,$A$2:$A$1001,"&gt;="&amp;(A85-설정!$B$6),$H$2:$H$1001,"&gt;=0"))</f>
        <v/>
      </c>
      <c r="K85" s="21" t="str">
        <f aca="false">IF(I85="","",H85/I85-1)</f>
        <v/>
      </c>
      <c r="L85" s="19" t="str">
        <f aca="false">IF(H85="","",IF(J85&lt;설정!$B$7,"baseline 수집 중",IF(K85&lt;=-설정!$B$8,"저하","정상")))</f>
        <v/>
      </c>
      <c r="M85" s="20"/>
    </row>
    <row r="86" customFormat="false" ht="15" hidden="false" customHeight="false" outlineLevel="0" collapsed="false">
      <c r="A86" s="16"/>
      <c r="B86" s="17"/>
      <c r="C86" s="17"/>
      <c r="D86" s="17"/>
      <c r="E86" s="17"/>
      <c r="F86" s="17"/>
      <c r="G86" s="18" t="str">
        <f aca="false">IF(COUNT(D86:F86)=0,"",MAX(D86:F86))</f>
        <v/>
      </c>
      <c r="H86" s="18" t="str">
        <f aca="false">IF(COUNT(D86:F86)=0,"",ROUND(AVERAGE(D86:F86),1))</f>
        <v/>
      </c>
      <c r="I86" s="18" t="str">
        <f aca="false">IF(H86="","",IF(J86&lt;설정!$B$7,"",ROUND(AVERAGEIFS($H$2:$H$1001,$B$2:$B$1001,B86,$A$2:$A$1001,"&lt;"&amp;A86,$A$2:$A$1001,"&gt;="&amp;(A86-설정!$B$6)),1)))</f>
        <v/>
      </c>
      <c r="J86" s="18" t="str">
        <f aca="false">IF(H86="","",COUNTIFS($B$2:$B$1001,B86,$A$2:$A$1001,"&lt;"&amp;A86,$A$2:$A$1001,"&gt;="&amp;(A86-설정!$B$6),$H$2:$H$1001,"&gt;=0"))</f>
        <v/>
      </c>
      <c r="K86" s="21" t="str">
        <f aca="false">IF(I86="","",H86/I86-1)</f>
        <v/>
      </c>
      <c r="L86" s="19" t="str">
        <f aca="false">IF(H86="","",IF(J86&lt;설정!$B$7,"baseline 수집 중",IF(K86&lt;=-설정!$B$8,"저하","정상")))</f>
        <v/>
      </c>
      <c r="M86" s="20"/>
    </row>
    <row r="87" customFormat="false" ht="15" hidden="false" customHeight="false" outlineLevel="0" collapsed="false">
      <c r="A87" s="16"/>
      <c r="B87" s="17"/>
      <c r="C87" s="17"/>
      <c r="D87" s="17"/>
      <c r="E87" s="17"/>
      <c r="F87" s="17"/>
      <c r="G87" s="18" t="str">
        <f aca="false">IF(COUNT(D87:F87)=0,"",MAX(D87:F87))</f>
        <v/>
      </c>
      <c r="H87" s="18" t="str">
        <f aca="false">IF(COUNT(D87:F87)=0,"",ROUND(AVERAGE(D87:F87),1))</f>
        <v/>
      </c>
      <c r="I87" s="18" t="str">
        <f aca="false">IF(H87="","",IF(J87&lt;설정!$B$7,"",ROUND(AVERAGEIFS($H$2:$H$1001,$B$2:$B$1001,B87,$A$2:$A$1001,"&lt;"&amp;A87,$A$2:$A$1001,"&gt;="&amp;(A87-설정!$B$6)),1)))</f>
        <v/>
      </c>
      <c r="J87" s="18" t="str">
        <f aca="false">IF(H87="","",COUNTIFS($B$2:$B$1001,B87,$A$2:$A$1001,"&lt;"&amp;A87,$A$2:$A$1001,"&gt;="&amp;(A87-설정!$B$6),$H$2:$H$1001,"&gt;=0"))</f>
        <v/>
      </c>
      <c r="K87" s="21" t="str">
        <f aca="false">IF(I87="","",H87/I87-1)</f>
        <v/>
      </c>
      <c r="L87" s="19" t="str">
        <f aca="false">IF(H87="","",IF(J87&lt;설정!$B$7,"baseline 수집 중",IF(K87&lt;=-설정!$B$8,"저하","정상")))</f>
        <v/>
      </c>
      <c r="M87" s="20"/>
    </row>
    <row r="88" customFormat="false" ht="15" hidden="false" customHeight="false" outlineLevel="0" collapsed="false">
      <c r="A88" s="16"/>
      <c r="B88" s="17"/>
      <c r="C88" s="17"/>
      <c r="D88" s="17"/>
      <c r="E88" s="17"/>
      <c r="F88" s="17"/>
      <c r="G88" s="18" t="str">
        <f aca="false">IF(COUNT(D88:F88)=0,"",MAX(D88:F88))</f>
        <v/>
      </c>
      <c r="H88" s="18" t="str">
        <f aca="false">IF(COUNT(D88:F88)=0,"",ROUND(AVERAGE(D88:F88),1))</f>
        <v/>
      </c>
      <c r="I88" s="18" t="str">
        <f aca="false">IF(H88="","",IF(J88&lt;설정!$B$7,"",ROUND(AVERAGEIFS($H$2:$H$1001,$B$2:$B$1001,B88,$A$2:$A$1001,"&lt;"&amp;A88,$A$2:$A$1001,"&gt;="&amp;(A88-설정!$B$6)),1)))</f>
        <v/>
      </c>
      <c r="J88" s="18" t="str">
        <f aca="false">IF(H88="","",COUNTIFS($B$2:$B$1001,B88,$A$2:$A$1001,"&lt;"&amp;A88,$A$2:$A$1001,"&gt;="&amp;(A88-설정!$B$6),$H$2:$H$1001,"&gt;=0"))</f>
        <v/>
      </c>
      <c r="K88" s="21" t="str">
        <f aca="false">IF(I88="","",H88/I88-1)</f>
        <v/>
      </c>
      <c r="L88" s="19" t="str">
        <f aca="false">IF(H88="","",IF(J88&lt;설정!$B$7,"baseline 수집 중",IF(K88&lt;=-설정!$B$8,"저하","정상")))</f>
        <v/>
      </c>
      <c r="M88" s="20"/>
    </row>
    <row r="89" customFormat="false" ht="15" hidden="false" customHeight="false" outlineLevel="0" collapsed="false">
      <c r="A89" s="16"/>
      <c r="B89" s="17"/>
      <c r="C89" s="17"/>
      <c r="D89" s="17"/>
      <c r="E89" s="17"/>
      <c r="F89" s="17"/>
      <c r="G89" s="18" t="str">
        <f aca="false">IF(COUNT(D89:F89)=0,"",MAX(D89:F89))</f>
        <v/>
      </c>
      <c r="H89" s="18" t="str">
        <f aca="false">IF(COUNT(D89:F89)=0,"",ROUND(AVERAGE(D89:F89),1))</f>
        <v/>
      </c>
      <c r="I89" s="18" t="str">
        <f aca="false">IF(H89="","",IF(J89&lt;설정!$B$7,"",ROUND(AVERAGEIFS($H$2:$H$1001,$B$2:$B$1001,B89,$A$2:$A$1001,"&lt;"&amp;A89,$A$2:$A$1001,"&gt;="&amp;(A89-설정!$B$6)),1)))</f>
        <v/>
      </c>
      <c r="J89" s="18" t="str">
        <f aca="false">IF(H89="","",COUNTIFS($B$2:$B$1001,B89,$A$2:$A$1001,"&lt;"&amp;A89,$A$2:$A$1001,"&gt;="&amp;(A89-설정!$B$6),$H$2:$H$1001,"&gt;=0"))</f>
        <v/>
      </c>
      <c r="K89" s="21" t="str">
        <f aca="false">IF(I89="","",H89/I89-1)</f>
        <v/>
      </c>
      <c r="L89" s="19" t="str">
        <f aca="false">IF(H89="","",IF(J89&lt;설정!$B$7,"baseline 수집 중",IF(K89&lt;=-설정!$B$8,"저하","정상")))</f>
        <v/>
      </c>
      <c r="M89" s="20"/>
    </row>
    <row r="90" customFormat="false" ht="15" hidden="false" customHeight="false" outlineLevel="0" collapsed="false">
      <c r="A90" s="16"/>
      <c r="B90" s="17"/>
      <c r="C90" s="17"/>
      <c r="D90" s="17"/>
      <c r="E90" s="17"/>
      <c r="F90" s="17"/>
      <c r="G90" s="18" t="str">
        <f aca="false">IF(COUNT(D90:F90)=0,"",MAX(D90:F90))</f>
        <v/>
      </c>
      <c r="H90" s="18" t="str">
        <f aca="false">IF(COUNT(D90:F90)=0,"",ROUND(AVERAGE(D90:F90),1))</f>
        <v/>
      </c>
      <c r="I90" s="18" t="str">
        <f aca="false">IF(H90="","",IF(J90&lt;설정!$B$7,"",ROUND(AVERAGEIFS($H$2:$H$1001,$B$2:$B$1001,B90,$A$2:$A$1001,"&lt;"&amp;A90,$A$2:$A$1001,"&gt;="&amp;(A90-설정!$B$6)),1)))</f>
        <v/>
      </c>
      <c r="J90" s="18" t="str">
        <f aca="false">IF(H90="","",COUNTIFS($B$2:$B$1001,B90,$A$2:$A$1001,"&lt;"&amp;A90,$A$2:$A$1001,"&gt;="&amp;(A90-설정!$B$6),$H$2:$H$1001,"&gt;=0"))</f>
        <v/>
      </c>
      <c r="K90" s="21" t="str">
        <f aca="false">IF(I90="","",H90/I90-1)</f>
        <v/>
      </c>
      <c r="L90" s="19" t="str">
        <f aca="false">IF(H90="","",IF(J90&lt;설정!$B$7,"baseline 수집 중",IF(K90&lt;=-설정!$B$8,"저하","정상")))</f>
        <v/>
      </c>
      <c r="M90" s="20"/>
    </row>
    <row r="91" customFormat="false" ht="15" hidden="false" customHeight="false" outlineLevel="0" collapsed="false">
      <c r="A91" s="16"/>
      <c r="B91" s="17"/>
      <c r="C91" s="17"/>
      <c r="D91" s="17"/>
      <c r="E91" s="17"/>
      <c r="F91" s="17"/>
      <c r="G91" s="18" t="str">
        <f aca="false">IF(COUNT(D91:F91)=0,"",MAX(D91:F91))</f>
        <v/>
      </c>
      <c r="H91" s="18" t="str">
        <f aca="false">IF(COUNT(D91:F91)=0,"",ROUND(AVERAGE(D91:F91),1))</f>
        <v/>
      </c>
      <c r="I91" s="18" t="str">
        <f aca="false">IF(H91="","",IF(J91&lt;설정!$B$7,"",ROUND(AVERAGEIFS($H$2:$H$1001,$B$2:$B$1001,B91,$A$2:$A$1001,"&lt;"&amp;A91,$A$2:$A$1001,"&gt;="&amp;(A91-설정!$B$6)),1)))</f>
        <v/>
      </c>
      <c r="J91" s="18" t="str">
        <f aca="false">IF(H91="","",COUNTIFS($B$2:$B$1001,B91,$A$2:$A$1001,"&lt;"&amp;A91,$A$2:$A$1001,"&gt;="&amp;(A91-설정!$B$6),$H$2:$H$1001,"&gt;=0"))</f>
        <v/>
      </c>
      <c r="K91" s="21" t="str">
        <f aca="false">IF(I91="","",H91/I91-1)</f>
        <v/>
      </c>
      <c r="L91" s="19" t="str">
        <f aca="false">IF(H91="","",IF(J91&lt;설정!$B$7,"baseline 수집 중",IF(K91&lt;=-설정!$B$8,"저하","정상")))</f>
        <v/>
      </c>
      <c r="M91" s="20"/>
    </row>
    <row r="92" customFormat="false" ht="15" hidden="false" customHeight="false" outlineLevel="0" collapsed="false">
      <c r="A92" s="16"/>
      <c r="B92" s="17"/>
      <c r="C92" s="17"/>
      <c r="D92" s="17"/>
      <c r="E92" s="17"/>
      <c r="F92" s="17"/>
      <c r="G92" s="18" t="str">
        <f aca="false">IF(COUNT(D92:F92)=0,"",MAX(D92:F92))</f>
        <v/>
      </c>
      <c r="H92" s="18" t="str">
        <f aca="false">IF(COUNT(D92:F92)=0,"",ROUND(AVERAGE(D92:F92),1))</f>
        <v/>
      </c>
      <c r="I92" s="18" t="str">
        <f aca="false">IF(H92="","",IF(J92&lt;설정!$B$7,"",ROUND(AVERAGEIFS($H$2:$H$1001,$B$2:$B$1001,B92,$A$2:$A$1001,"&lt;"&amp;A92,$A$2:$A$1001,"&gt;="&amp;(A92-설정!$B$6)),1)))</f>
        <v/>
      </c>
      <c r="J92" s="18" t="str">
        <f aca="false">IF(H92="","",COUNTIFS($B$2:$B$1001,B92,$A$2:$A$1001,"&lt;"&amp;A92,$A$2:$A$1001,"&gt;="&amp;(A92-설정!$B$6),$H$2:$H$1001,"&gt;=0"))</f>
        <v/>
      </c>
      <c r="K92" s="21" t="str">
        <f aca="false">IF(I92="","",H92/I92-1)</f>
        <v/>
      </c>
      <c r="L92" s="19" t="str">
        <f aca="false">IF(H92="","",IF(J92&lt;설정!$B$7,"baseline 수집 중",IF(K92&lt;=-설정!$B$8,"저하","정상")))</f>
        <v/>
      </c>
      <c r="M92" s="20"/>
    </row>
    <row r="93" customFormat="false" ht="15" hidden="false" customHeight="false" outlineLevel="0" collapsed="false">
      <c r="A93" s="16"/>
      <c r="B93" s="17"/>
      <c r="C93" s="17"/>
      <c r="D93" s="17"/>
      <c r="E93" s="17"/>
      <c r="F93" s="17"/>
      <c r="G93" s="18" t="str">
        <f aca="false">IF(COUNT(D93:F93)=0,"",MAX(D93:F93))</f>
        <v/>
      </c>
      <c r="H93" s="18" t="str">
        <f aca="false">IF(COUNT(D93:F93)=0,"",ROUND(AVERAGE(D93:F93),1))</f>
        <v/>
      </c>
      <c r="I93" s="18" t="str">
        <f aca="false">IF(H93="","",IF(J93&lt;설정!$B$7,"",ROUND(AVERAGEIFS($H$2:$H$1001,$B$2:$B$1001,B93,$A$2:$A$1001,"&lt;"&amp;A93,$A$2:$A$1001,"&gt;="&amp;(A93-설정!$B$6)),1)))</f>
        <v/>
      </c>
      <c r="J93" s="18" t="str">
        <f aca="false">IF(H93="","",COUNTIFS($B$2:$B$1001,B93,$A$2:$A$1001,"&lt;"&amp;A93,$A$2:$A$1001,"&gt;="&amp;(A93-설정!$B$6),$H$2:$H$1001,"&gt;=0"))</f>
        <v/>
      </c>
      <c r="K93" s="21" t="str">
        <f aca="false">IF(I93="","",H93/I93-1)</f>
        <v/>
      </c>
      <c r="L93" s="19" t="str">
        <f aca="false">IF(H93="","",IF(J93&lt;설정!$B$7,"baseline 수집 중",IF(K93&lt;=-설정!$B$8,"저하","정상")))</f>
        <v/>
      </c>
      <c r="M93" s="20"/>
    </row>
    <row r="94" customFormat="false" ht="15" hidden="false" customHeight="false" outlineLevel="0" collapsed="false">
      <c r="A94" s="16"/>
      <c r="B94" s="17"/>
      <c r="C94" s="17"/>
      <c r="D94" s="17"/>
      <c r="E94" s="17"/>
      <c r="F94" s="17"/>
      <c r="G94" s="18" t="str">
        <f aca="false">IF(COUNT(D94:F94)=0,"",MAX(D94:F94))</f>
        <v/>
      </c>
      <c r="H94" s="18" t="str">
        <f aca="false">IF(COUNT(D94:F94)=0,"",ROUND(AVERAGE(D94:F94),1))</f>
        <v/>
      </c>
      <c r="I94" s="18" t="str">
        <f aca="false">IF(H94="","",IF(J94&lt;설정!$B$7,"",ROUND(AVERAGEIFS($H$2:$H$1001,$B$2:$B$1001,B94,$A$2:$A$1001,"&lt;"&amp;A94,$A$2:$A$1001,"&gt;="&amp;(A94-설정!$B$6)),1)))</f>
        <v/>
      </c>
      <c r="J94" s="18" t="str">
        <f aca="false">IF(H94="","",COUNTIFS($B$2:$B$1001,B94,$A$2:$A$1001,"&lt;"&amp;A94,$A$2:$A$1001,"&gt;="&amp;(A94-설정!$B$6),$H$2:$H$1001,"&gt;=0"))</f>
        <v/>
      </c>
      <c r="K94" s="21" t="str">
        <f aca="false">IF(I94="","",H94/I94-1)</f>
        <v/>
      </c>
      <c r="L94" s="19" t="str">
        <f aca="false">IF(H94="","",IF(J94&lt;설정!$B$7,"baseline 수집 중",IF(K94&lt;=-설정!$B$8,"저하","정상")))</f>
        <v/>
      </c>
      <c r="M94" s="20"/>
    </row>
    <row r="95" customFormat="false" ht="15" hidden="false" customHeight="false" outlineLevel="0" collapsed="false">
      <c r="A95" s="16"/>
      <c r="B95" s="17"/>
      <c r="C95" s="17"/>
      <c r="D95" s="17"/>
      <c r="E95" s="17"/>
      <c r="F95" s="17"/>
      <c r="G95" s="18" t="str">
        <f aca="false">IF(COUNT(D95:F95)=0,"",MAX(D95:F95))</f>
        <v/>
      </c>
      <c r="H95" s="18" t="str">
        <f aca="false">IF(COUNT(D95:F95)=0,"",ROUND(AVERAGE(D95:F95),1))</f>
        <v/>
      </c>
      <c r="I95" s="18" t="str">
        <f aca="false">IF(H95="","",IF(J95&lt;설정!$B$7,"",ROUND(AVERAGEIFS($H$2:$H$1001,$B$2:$B$1001,B95,$A$2:$A$1001,"&lt;"&amp;A95,$A$2:$A$1001,"&gt;="&amp;(A95-설정!$B$6)),1)))</f>
        <v/>
      </c>
      <c r="J95" s="18" t="str">
        <f aca="false">IF(H95="","",COUNTIFS($B$2:$B$1001,B95,$A$2:$A$1001,"&lt;"&amp;A95,$A$2:$A$1001,"&gt;="&amp;(A95-설정!$B$6),$H$2:$H$1001,"&gt;=0"))</f>
        <v/>
      </c>
      <c r="K95" s="21" t="str">
        <f aca="false">IF(I95="","",H95/I95-1)</f>
        <v/>
      </c>
      <c r="L95" s="19" t="str">
        <f aca="false">IF(H95="","",IF(J95&lt;설정!$B$7,"baseline 수집 중",IF(K95&lt;=-설정!$B$8,"저하","정상")))</f>
        <v/>
      </c>
      <c r="M95" s="20"/>
    </row>
    <row r="96" customFormat="false" ht="15" hidden="false" customHeight="false" outlineLevel="0" collapsed="false">
      <c r="A96" s="16"/>
      <c r="B96" s="17"/>
      <c r="C96" s="17"/>
      <c r="D96" s="17"/>
      <c r="E96" s="17"/>
      <c r="F96" s="17"/>
      <c r="G96" s="18" t="str">
        <f aca="false">IF(COUNT(D96:F96)=0,"",MAX(D96:F96))</f>
        <v/>
      </c>
      <c r="H96" s="18" t="str">
        <f aca="false">IF(COUNT(D96:F96)=0,"",ROUND(AVERAGE(D96:F96),1))</f>
        <v/>
      </c>
      <c r="I96" s="18" t="str">
        <f aca="false">IF(H96="","",IF(J96&lt;설정!$B$7,"",ROUND(AVERAGEIFS($H$2:$H$1001,$B$2:$B$1001,B96,$A$2:$A$1001,"&lt;"&amp;A96,$A$2:$A$1001,"&gt;="&amp;(A96-설정!$B$6)),1)))</f>
        <v/>
      </c>
      <c r="J96" s="18" t="str">
        <f aca="false">IF(H96="","",COUNTIFS($B$2:$B$1001,B96,$A$2:$A$1001,"&lt;"&amp;A96,$A$2:$A$1001,"&gt;="&amp;(A96-설정!$B$6),$H$2:$H$1001,"&gt;=0"))</f>
        <v/>
      </c>
      <c r="K96" s="21" t="str">
        <f aca="false">IF(I96="","",H96/I96-1)</f>
        <v/>
      </c>
      <c r="L96" s="19" t="str">
        <f aca="false">IF(H96="","",IF(J96&lt;설정!$B$7,"baseline 수집 중",IF(K96&lt;=-설정!$B$8,"저하","정상")))</f>
        <v/>
      </c>
      <c r="M96" s="20"/>
    </row>
    <row r="97" customFormat="false" ht="15" hidden="false" customHeight="false" outlineLevel="0" collapsed="false">
      <c r="A97" s="16"/>
      <c r="B97" s="17"/>
      <c r="C97" s="17"/>
      <c r="D97" s="17"/>
      <c r="E97" s="17"/>
      <c r="F97" s="17"/>
      <c r="G97" s="18" t="str">
        <f aca="false">IF(COUNT(D97:F97)=0,"",MAX(D97:F97))</f>
        <v/>
      </c>
      <c r="H97" s="18" t="str">
        <f aca="false">IF(COUNT(D97:F97)=0,"",ROUND(AVERAGE(D97:F97),1))</f>
        <v/>
      </c>
      <c r="I97" s="18" t="str">
        <f aca="false">IF(H97="","",IF(J97&lt;설정!$B$7,"",ROUND(AVERAGEIFS($H$2:$H$1001,$B$2:$B$1001,B97,$A$2:$A$1001,"&lt;"&amp;A97,$A$2:$A$1001,"&gt;="&amp;(A97-설정!$B$6)),1)))</f>
        <v/>
      </c>
      <c r="J97" s="18" t="str">
        <f aca="false">IF(H97="","",COUNTIFS($B$2:$B$1001,B97,$A$2:$A$1001,"&lt;"&amp;A97,$A$2:$A$1001,"&gt;="&amp;(A97-설정!$B$6),$H$2:$H$1001,"&gt;=0"))</f>
        <v/>
      </c>
      <c r="K97" s="21" t="str">
        <f aca="false">IF(I97="","",H97/I97-1)</f>
        <v/>
      </c>
      <c r="L97" s="19" t="str">
        <f aca="false">IF(H97="","",IF(J97&lt;설정!$B$7,"baseline 수집 중",IF(K97&lt;=-설정!$B$8,"저하","정상")))</f>
        <v/>
      </c>
      <c r="M97" s="20"/>
    </row>
    <row r="98" customFormat="false" ht="15" hidden="false" customHeight="false" outlineLevel="0" collapsed="false">
      <c r="A98" s="16"/>
      <c r="B98" s="17"/>
      <c r="C98" s="17"/>
      <c r="D98" s="17"/>
      <c r="E98" s="17"/>
      <c r="F98" s="17"/>
      <c r="G98" s="18" t="str">
        <f aca="false">IF(COUNT(D98:F98)=0,"",MAX(D98:F98))</f>
        <v/>
      </c>
      <c r="H98" s="18" t="str">
        <f aca="false">IF(COUNT(D98:F98)=0,"",ROUND(AVERAGE(D98:F98),1))</f>
        <v/>
      </c>
      <c r="I98" s="18" t="str">
        <f aca="false">IF(H98="","",IF(J98&lt;설정!$B$7,"",ROUND(AVERAGEIFS($H$2:$H$1001,$B$2:$B$1001,B98,$A$2:$A$1001,"&lt;"&amp;A98,$A$2:$A$1001,"&gt;="&amp;(A98-설정!$B$6)),1)))</f>
        <v/>
      </c>
      <c r="J98" s="18" t="str">
        <f aca="false">IF(H98="","",COUNTIFS($B$2:$B$1001,B98,$A$2:$A$1001,"&lt;"&amp;A98,$A$2:$A$1001,"&gt;="&amp;(A98-설정!$B$6),$H$2:$H$1001,"&gt;=0"))</f>
        <v/>
      </c>
      <c r="K98" s="21" t="str">
        <f aca="false">IF(I98="","",H98/I98-1)</f>
        <v/>
      </c>
      <c r="L98" s="19" t="str">
        <f aca="false">IF(H98="","",IF(J98&lt;설정!$B$7,"baseline 수집 중",IF(K98&lt;=-설정!$B$8,"저하","정상")))</f>
        <v/>
      </c>
      <c r="M98" s="20"/>
    </row>
    <row r="99" customFormat="false" ht="15" hidden="false" customHeight="false" outlineLevel="0" collapsed="false">
      <c r="A99" s="16"/>
      <c r="B99" s="17"/>
      <c r="C99" s="17"/>
      <c r="D99" s="17"/>
      <c r="E99" s="17"/>
      <c r="F99" s="17"/>
      <c r="G99" s="18" t="str">
        <f aca="false">IF(COUNT(D99:F99)=0,"",MAX(D99:F99))</f>
        <v/>
      </c>
      <c r="H99" s="18" t="str">
        <f aca="false">IF(COUNT(D99:F99)=0,"",ROUND(AVERAGE(D99:F99),1))</f>
        <v/>
      </c>
      <c r="I99" s="18" t="str">
        <f aca="false">IF(H99="","",IF(J99&lt;설정!$B$7,"",ROUND(AVERAGEIFS($H$2:$H$1001,$B$2:$B$1001,B99,$A$2:$A$1001,"&lt;"&amp;A99,$A$2:$A$1001,"&gt;="&amp;(A99-설정!$B$6)),1)))</f>
        <v/>
      </c>
      <c r="J99" s="18" t="str">
        <f aca="false">IF(H99="","",COUNTIFS($B$2:$B$1001,B99,$A$2:$A$1001,"&lt;"&amp;A99,$A$2:$A$1001,"&gt;="&amp;(A99-설정!$B$6),$H$2:$H$1001,"&gt;=0"))</f>
        <v/>
      </c>
      <c r="K99" s="21" t="str">
        <f aca="false">IF(I99="","",H99/I99-1)</f>
        <v/>
      </c>
      <c r="L99" s="19" t="str">
        <f aca="false">IF(H99="","",IF(J99&lt;설정!$B$7,"baseline 수집 중",IF(K99&lt;=-설정!$B$8,"저하","정상")))</f>
        <v/>
      </c>
      <c r="M99" s="20"/>
    </row>
    <row r="100" customFormat="false" ht="15" hidden="false" customHeight="false" outlineLevel="0" collapsed="false">
      <c r="A100" s="16"/>
      <c r="B100" s="17"/>
      <c r="C100" s="17"/>
      <c r="D100" s="17"/>
      <c r="E100" s="17"/>
      <c r="F100" s="17"/>
      <c r="G100" s="18" t="str">
        <f aca="false">IF(COUNT(D100:F100)=0,"",MAX(D100:F100))</f>
        <v/>
      </c>
      <c r="H100" s="18" t="str">
        <f aca="false">IF(COUNT(D100:F100)=0,"",ROUND(AVERAGE(D100:F100),1))</f>
        <v/>
      </c>
      <c r="I100" s="18" t="str">
        <f aca="false">IF(H100="","",IF(J100&lt;설정!$B$7,"",ROUND(AVERAGEIFS($H$2:$H$1001,$B$2:$B$1001,B100,$A$2:$A$1001,"&lt;"&amp;A100,$A$2:$A$1001,"&gt;="&amp;(A100-설정!$B$6)),1)))</f>
        <v/>
      </c>
      <c r="J100" s="18" t="str">
        <f aca="false">IF(H100="","",COUNTIFS($B$2:$B$1001,B100,$A$2:$A$1001,"&lt;"&amp;A100,$A$2:$A$1001,"&gt;="&amp;(A100-설정!$B$6),$H$2:$H$1001,"&gt;=0"))</f>
        <v/>
      </c>
      <c r="K100" s="21" t="str">
        <f aca="false">IF(I100="","",H100/I100-1)</f>
        <v/>
      </c>
      <c r="L100" s="19" t="str">
        <f aca="false">IF(H100="","",IF(J100&lt;설정!$B$7,"baseline 수집 중",IF(K100&lt;=-설정!$B$8,"저하","정상")))</f>
        <v/>
      </c>
      <c r="M100" s="20"/>
    </row>
    <row r="101" customFormat="false" ht="15" hidden="false" customHeight="false" outlineLevel="0" collapsed="false">
      <c r="A101" s="16"/>
      <c r="B101" s="17"/>
      <c r="C101" s="17"/>
      <c r="D101" s="17"/>
      <c r="E101" s="17"/>
      <c r="F101" s="17"/>
      <c r="G101" s="18" t="str">
        <f aca="false">IF(COUNT(D101:F101)=0,"",MAX(D101:F101))</f>
        <v/>
      </c>
      <c r="H101" s="18" t="str">
        <f aca="false">IF(COUNT(D101:F101)=0,"",ROUND(AVERAGE(D101:F101),1))</f>
        <v/>
      </c>
      <c r="I101" s="18" t="str">
        <f aca="false">IF(H101="","",IF(J101&lt;설정!$B$7,"",ROUND(AVERAGEIFS($H$2:$H$1001,$B$2:$B$1001,B101,$A$2:$A$1001,"&lt;"&amp;A101,$A$2:$A$1001,"&gt;="&amp;(A101-설정!$B$6)),1)))</f>
        <v/>
      </c>
      <c r="J101" s="18" t="str">
        <f aca="false">IF(H101="","",COUNTIFS($B$2:$B$1001,B101,$A$2:$A$1001,"&lt;"&amp;A101,$A$2:$A$1001,"&gt;="&amp;(A101-설정!$B$6),$H$2:$H$1001,"&gt;=0"))</f>
        <v/>
      </c>
      <c r="K101" s="21" t="str">
        <f aca="false">IF(I101="","",H101/I101-1)</f>
        <v/>
      </c>
      <c r="L101" s="19" t="str">
        <f aca="false">IF(H101="","",IF(J101&lt;설정!$B$7,"baseline 수집 중",IF(K101&lt;=-설정!$B$8,"저하","정상")))</f>
        <v/>
      </c>
      <c r="M101" s="20"/>
    </row>
    <row r="102" customFormat="false" ht="15" hidden="false" customHeight="false" outlineLevel="0" collapsed="false">
      <c r="A102" s="16"/>
      <c r="B102" s="17"/>
      <c r="C102" s="17"/>
      <c r="D102" s="17"/>
      <c r="E102" s="17"/>
      <c r="F102" s="17"/>
      <c r="G102" s="18" t="str">
        <f aca="false">IF(COUNT(D102:F102)=0,"",MAX(D102:F102))</f>
        <v/>
      </c>
      <c r="H102" s="18" t="str">
        <f aca="false">IF(COUNT(D102:F102)=0,"",ROUND(AVERAGE(D102:F102),1))</f>
        <v/>
      </c>
      <c r="I102" s="18" t="str">
        <f aca="false">IF(H102="","",IF(J102&lt;설정!$B$7,"",ROUND(AVERAGEIFS($H$2:$H$1001,$B$2:$B$1001,B102,$A$2:$A$1001,"&lt;"&amp;A102,$A$2:$A$1001,"&gt;="&amp;(A102-설정!$B$6)),1)))</f>
        <v/>
      </c>
      <c r="J102" s="18" t="str">
        <f aca="false">IF(H102="","",COUNTIFS($B$2:$B$1001,B102,$A$2:$A$1001,"&lt;"&amp;A102,$A$2:$A$1001,"&gt;="&amp;(A102-설정!$B$6),$H$2:$H$1001,"&gt;=0"))</f>
        <v/>
      </c>
      <c r="K102" s="21" t="str">
        <f aca="false">IF(I102="","",H102/I102-1)</f>
        <v/>
      </c>
      <c r="L102" s="19" t="str">
        <f aca="false">IF(H102="","",IF(J102&lt;설정!$B$7,"baseline 수집 중",IF(K102&lt;=-설정!$B$8,"저하","정상")))</f>
        <v/>
      </c>
      <c r="M102" s="20"/>
    </row>
    <row r="103" customFormat="false" ht="15" hidden="false" customHeight="false" outlineLevel="0" collapsed="false">
      <c r="A103" s="16"/>
      <c r="B103" s="17"/>
      <c r="C103" s="17"/>
      <c r="D103" s="17"/>
      <c r="E103" s="17"/>
      <c r="F103" s="17"/>
      <c r="G103" s="18" t="str">
        <f aca="false">IF(COUNT(D103:F103)=0,"",MAX(D103:F103))</f>
        <v/>
      </c>
      <c r="H103" s="18" t="str">
        <f aca="false">IF(COUNT(D103:F103)=0,"",ROUND(AVERAGE(D103:F103),1))</f>
        <v/>
      </c>
      <c r="I103" s="18" t="str">
        <f aca="false">IF(H103="","",IF(J103&lt;설정!$B$7,"",ROUND(AVERAGEIFS($H$2:$H$1001,$B$2:$B$1001,B103,$A$2:$A$1001,"&lt;"&amp;A103,$A$2:$A$1001,"&gt;="&amp;(A103-설정!$B$6)),1)))</f>
        <v/>
      </c>
      <c r="J103" s="18" t="str">
        <f aca="false">IF(H103="","",COUNTIFS($B$2:$B$1001,B103,$A$2:$A$1001,"&lt;"&amp;A103,$A$2:$A$1001,"&gt;="&amp;(A103-설정!$B$6),$H$2:$H$1001,"&gt;=0"))</f>
        <v/>
      </c>
      <c r="K103" s="21" t="str">
        <f aca="false">IF(I103="","",H103/I103-1)</f>
        <v/>
      </c>
      <c r="L103" s="19" t="str">
        <f aca="false">IF(H103="","",IF(J103&lt;설정!$B$7,"baseline 수집 중",IF(K103&lt;=-설정!$B$8,"저하","정상")))</f>
        <v/>
      </c>
      <c r="M103" s="20"/>
    </row>
    <row r="104" customFormat="false" ht="15" hidden="false" customHeight="false" outlineLevel="0" collapsed="false">
      <c r="A104" s="16"/>
      <c r="B104" s="17"/>
      <c r="C104" s="17"/>
      <c r="D104" s="17"/>
      <c r="E104" s="17"/>
      <c r="F104" s="17"/>
      <c r="G104" s="18" t="str">
        <f aca="false">IF(COUNT(D104:F104)=0,"",MAX(D104:F104))</f>
        <v/>
      </c>
      <c r="H104" s="18" t="str">
        <f aca="false">IF(COUNT(D104:F104)=0,"",ROUND(AVERAGE(D104:F104),1))</f>
        <v/>
      </c>
      <c r="I104" s="18" t="str">
        <f aca="false">IF(H104="","",IF(J104&lt;설정!$B$7,"",ROUND(AVERAGEIFS($H$2:$H$1001,$B$2:$B$1001,B104,$A$2:$A$1001,"&lt;"&amp;A104,$A$2:$A$1001,"&gt;="&amp;(A104-설정!$B$6)),1)))</f>
        <v/>
      </c>
      <c r="J104" s="18" t="str">
        <f aca="false">IF(H104="","",COUNTIFS($B$2:$B$1001,B104,$A$2:$A$1001,"&lt;"&amp;A104,$A$2:$A$1001,"&gt;="&amp;(A104-설정!$B$6),$H$2:$H$1001,"&gt;=0"))</f>
        <v/>
      </c>
      <c r="K104" s="21" t="str">
        <f aca="false">IF(I104="","",H104/I104-1)</f>
        <v/>
      </c>
      <c r="L104" s="19" t="str">
        <f aca="false">IF(H104="","",IF(J104&lt;설정!$B$7,"baseline 수집 중",IF(K104&lt;=-설정!$B$8,"저하","정상")))</f>
        <v/>
      </c>
      <c r="M104" s="20"/>
    </row>
    <row r="105" customFormat="false" ht="15" hidden="false" customHeight="false" outlineLevel="0" collapsed="false">
      <c r="A105" s="16"/>
      <c r="B105" s="17"/>
      <c r="C105" s="17"/>
      <c r="D105" s="17"/>
      <c r="E105" s="17"/>
      <c r="F105" s="17"/>
      <c r="G105" s="18" t="str">
        <f aca="false">IF(COUNT(D105:F105)=0,"",MAX(D105:F105))</f>
        <v/>
      </c>
      <c r="H105" s="18" t="str">
        <f aca="false">IF(COUNT(D105:F105)=0,"",ROUND(AVERAGE(D105:F105),1))</f>
        <v/>
      </c>
      <c r="I105" s="18" t="str">
        <f aca="false">IF(H105="","",IF(J105&lt;설정!$B$7,"",ROUND(AVERAGEIFS($H$2:$H$1001,$B$2:$B$1001,B105,$A$2:$A$1001,"&lt;"&amp;A105,$A$2:$A$1001,"&gt;="&amp;(A105-설정!$B$6)),1)))</f>
        <v/>
      </c>
      <c r="J105" s="18" t="str">
        <f aca="false">IF(H105="","",COUNTIFS($B$2:$B$1001,B105,$A$2:$A$1001,"&lt;"&amp;A105,$A$2:$A$1001,"&gt;="&amp;(A105-설정!$B$6),$H$2:$H$1001,"&gt;=0"))</f>
        <v/>
      </c>
      <c r="K105" s="21" t="str">
        <f aca="false">IF(I105="","",H105/I105-1)</f>
        <v/>
      </c>
      <c r="L105" s="19" t="str">
        <f aca="false">IF(H105="","",IF(J105&lt;설정!$B$7,"baseline 수집 중",IF(K105&lt;=-설정!$B$8,"저하","정상")))</f>
        <v/>
      </c>
      <c r="M105" s="20"/>
    </row>
    <row r="106" customFormat="false" ht="15" hidden="false" customHeight="false" outlineLevel="0" collapsed="false">
      <c r="A106" s="16"/>
      <c r="B106" s="17"/>
      <c r="C106" s="17"/>
      <c r="D106" s="17"/>
      <c r="E106" s="17"/>
      <c r="F106" s="17"/>
      <c r="G106" s="18" t="str">
        <f aca="false">IF(COUNT(D106:F106)=0,"",MAX(D106:F106))</f>
        <v/>
      </c>
      <c r="H106" s="18" t="str">
        <f aca="false">IF(COUNT(D106:F106)=0,"",ROUND(AVERAGE(D106:F106),1))</f>
        <v/>
      </c>
      <c r="I106" s="18" t="str">
        <f aca="false">IF(H106="","",IF(J106&lt;설정!$B$7,"",ROUND(AVERAGEIFS($H$2:$H$1001,$B$2:$B$1001,B106,$A$2:$A$1001,"&lt;"&amp;A106,$A$2:$A$1001,"&gt;="&amp;(A106-설정!$B$6)),1)))</f>
        <v/>
      </c>
      <c r="J106" s="18" t="str">
        <f aca="false">IF(H106="","",COUNTIFS($B$2:$B$1001,B106,$A$2:$A$1001,"&lt;"&amp;A106,$A$2:$A$1001,"&gt;="&amp;(A106-설정!$B$6),$H$2:$H$1001,"&gt;=0"))</f>
        <v/>
      </c>
      <c r="K106" s="21" t="str">
        <f aca="false">IF(I106="","",H106/I106-1)</f>
        <v/>
      </c>
      <c r="L106" s="19" t="str">
        <f aca="false">IF(H106="","",IF(J106&lt;설정!$B$7,"baseline 수집 중",IF(K106&lt;=-설정!$B$8,"저하","정상")))</f>
        <v/>
      </c>
      <c r="M106" s="20"/>
    </row>
    <row r="107" customFormat="false" ht="15" hidden="false" customHeight="false" outlineLevel="0" collapsed="false">
      <c r="A107" s="16"/>
      <c r="B107" s="17"/>
      <c r="C107" s="17"/>
      <c r="D107" s="17"/>
      <c r="E107" s="17"/>
      <c r="F107" s="17"/>
      <c r="G107" s="18" t="str">
        <f aca="false">IF(COUNT(D107:F107)=0,"",MAX(D107:F107))</f>
        <v/>
      </c>
      <c r="H107" s="18" t="str">
        <f aca="false">IF(COUNT(D107:F107)=0,"",ROUND(AVERAGE(D107:F107),1))</f>
        <v/>
      </c>
      <c r="I107" s="18" t="str">
        <f aca="false">IF(H107="","",IF(J107&lt;설정!$B$7,"",ROUND(AVERAGEIFS($H$2:$H$1001,$B$2:$B$1001,B107,$A$2:$A$1001,"&lt;"&amp;A107,$A$2:$A$1001,"&gt;="&amp;(A107-설정!$B$6)),1)))</f>
        <v/>
      </c>
      <c r="J107" s="18" t="str">
        <f aca="false">IF(H107="","",COUNTIFS($B$2:$B$1001,B107,$A$2:$A$1001,"&lt;"&amp;A107,$A$2:$A$1001,"&gt;="&amp;(A107-설정!$B$6),$H$2:$H$1001,"&gt;=0"))</f>
        <v/>
      </c>
      <c r="K107" s="21" t="str">
        <f aca="false">IF(I107="","",H107/I107-1)</f>
        <v/>
      </c>
      <c r="L107" s="19" t="str">
        <f aca="false">IF(H107="","",IF(J107&lt;설정!$B$7,"baseline 수집 중",IF(K107&lt;=-설정!$B$8,"저하","정상")))</f>
        <v/>
      </c>
      <c r="M107" s="20"/>
    </row>
    <row r="108" customFormat="false" ht="15" hidden="false" customHeight="false" outlineLevel="0" collapsed="false">
      <c r="A108" s="16"/>
      <c r="B108" s="17"/>
      <c r="C108" s="17"/>
      <c r="D108" s="17"/>
      <c r="E108" s="17"/>
      <c r="F108" s="17"/>
      <c r="G108" s="18" t="str">
        <f aca="false">IF(COUNT(D108:F108)=0,"",MAX(D108:F108))</f>
        <v/>
      </c>
      <c r="H108" s="18" t="str">
        <f aca="false">IF(COUNT(D108:F108)=0,"",ROUND(AVERAGE(D108:F108),1))</f>
        <v/>
      </c>
      <c r="I108" s="18" t="str">
        <f aca="false">IF(H108="","",IF(J108&lt;설정!$B$7,"",ROUND(AVERAGEIFS($H$2:$H$1001,$B$2:$B$1001,B108,$A$2:$A$1001,"&lt;"&amp;A108,$A$2:$A$1001,"&gt;="&amp;(A108-설정!$B$6)),1)))</f>
        <v/>
      </c>
      <c r="J108" s="18" t="str">
        <f aca="false">IF(H108="","",COUNTIFS($B$2:$B$1001,B108,$A$2:$A$1001,"&lt;"&amp;A108,$A$2:$A$1001,"&gt;="&amp;(A108-설정!$B$6),$H$2:$H$1001,"&gt;=0"))</f>
        <v/>
      </c>
      <c r="K108" s="21" t="str">
        <f aca="false">IF(I108="","",H108/I108-1)</f>
        <v/>
      </c>
      <c r="L108" s="19" t="str">
        <f aca="false">IF(H108="","",IF(J108&lt;설정!$B$7,"baseline 수집 중",IF(K108&lt;=-설정!$B$8,"저하","정상")))</f>
        <v/>
      </c>
      <c r="M108" s="20"/>
    </row>
    <row r="109" customFormat="false" ht="15" hidden="false" customHeight="false" outlineLevel="0" collapsed="false">
      <c r="A109" s="16"/>
      <c r="B109" s="17"/>
      <c r="C109" s="17"/>
      <c r="D109" s="17"/>
      <c r="E109" s="17"/>
      <c r="F109" s="17"/>
      <c r="G109" s="18" t="str">
        <f aca="false">IF(COUNT(D109:F109)=0,"",MAX(D109:F109))</f>
        <v/>
      </c>
      <c r="H109" s="18" t="str">
        <f aca="false">IF(COUNT(D109:F109)=0,"",ROUND(AVERAGE(D109:F109),1))</f>
        <v/>
      </c>
      <c r="I109" s="18" t="str">
        <f aca="false">IF(H109="","",IF(J109&lt;설정!$B$7,"",ROUND(AVERAGEIFS($H$2:$H$1001,$B$2:$B$1001,B109,$A$2:$A$1001,"&lt;"&amp;A109,$A$2:$A$1001,"&gt;="&amp;(A109-설정!$B$6)),1)))</f>
        <v/>
      </c>
      <c r="J109" s="18" t="str">
        <f aca="false">IF(H109="","",COUNTIFS($B$2:$B$1001,B109,$A$2:$A$1001,"&lt;"&amp;A109,$A$2:$A$1001,"&gt;="&amp;(A109-설정!$B$6),$H$2:$H$1001,"&gt;=0"))</f>
        <v/>
      </c>
      <c r="K109" s="21" t="str">
        <f aca="false">IF(I109="","",H109/I109-1)</f>
        <v/>
      </c>
      <c r="L109" s="19" t="str">
        <f aca="false">IF(H109="","",IF(J109&lt;설정!$B$7,"baseline 수집 중",IF(K109&lt;=-설정!$B$8,"저하","정상")))</f>
        <v/>
      </c>
      <c r="M109" s="20"/>
    </row>
    <row r="110" customFormat="false" ht="15" hidden="false" customHeight="false" outlineLevel="0" collapsed="false">
      <c r="A110" s="16"/>
      <c r="B110" s="17"/>
      <c r="C110" s="17"/>
      <c r="D110" s="17"/>
      <c r="E110" s="17"/>
      <c r="F110" s="17"/>
      <c r="G110" s="18" t="str">
        <f aca="false">IF(COUNT(D110:F110)=0,"",MAX(D110:F110))</f>
        <v/>
      </c>
      <c r="H110" s="18" t="str">
        <f aca="false">IF(COUNT(D110:F110)=0,"",ROUND(AVERAGE(D110:F110),1))</f>
        <v/>
      </c>
      <c r="I110" s="18" t="str">
        <f aca="false">IF(H110="","",IF(J110&lt;설정!$B$7,"",ROUND(AVERAGEIFS($H$2:$H$1001,$B$2:$B$1001,B110,$A$2:$A$1001,"&lt;"&amp;A110,$A$2:$A$1001,"&gt;="&amp;(A110-설정!$B$6)),1)))</f>
        <v/>
      </c>
      <c r="J110" s="18" t="str">
        <f aca="false">IF(H110="","",COUNTIFS($B$2:$B$1001,B110,$A$2:$A$1001,"&lt;"&amp;A110,$A$2:$A$1001,"&gt;="&amp;(A110-설정!$B$6),$H$2:$H$1001,"&gt;=0"))</f>
        <v/>
      </c>
      <c r="K110" s="21" t="str">
        <f aca="false">IF(I110="","",H110/I110-1)</f>
        <v/>
      </c>
      <c r="L110" s="19" t="str">
        <f aca="false">IF(H110="","",IF(J110&lt;설정!$B$7,"baseline 수집 중",IF(K110&lt;=-설정!$B$8,"저하","정상")))</f>
        <v/>
      </c>
      <c r="M110" s="20"/>
    </row>
    <row r="111" customFormat="false" ht="15" hidden="false" customHeight="false" outlineLevel="0" collapsed="false">
      <c r="A111" s="16"/>
      <c r="B111" s="17"/>
      <c r="C111" s="17"/>
      <c r="D111" s="17"/>
      <c r="E111" s="17"/>
      <c r="F111" s="17"/>
      <c r="G111" s="18" t="str">
        <f aca="false">IF(COUNT(D111:F111)=0,"",MAX(D111:F111))</f>
        <v/>
      </c>
      <c r="H111" s="18" t="str">
        <f aca="false">IF(COUNT(D111:F111)=0,"",ROUND(AVERAGE(D111:F111),1))</f>
        <v/>
      </c>
      <c r="I111" s="18" t="str">
        <f aca="false">IF(H111="","",IF(J111&lt;설정!$B$7,"",ROUND(AVERAGEIFS($H$2:$H$1001,$B$2:$B$1001,B111,$A$2:$A$1001,"&lt;"&amp;A111,$A$2:$A$1001,"&gt;="&amp;(A111-설정!$B$6)),1)))</f>
        <v/>
      </c>
      <c r="J111" s="18" t="str">
        <f aca="false">IF(H111="","",COUNTIFS($B$2:$B$1001,B111,$A$2:$A$1001,"&lt;"&amp;A111,$A$2:$A$1001,"&gt;="&amp;(A111-설정!$B$6),$H$2:$H$1001,"&gt;=0"))</f>
        <v/>
      </c>
      <c r="K111" s="21" t="str">
        <f aca="false">IF(I111="","",H111/I111-1)</f>
        <v/>
      </c>
      <c r="L111" s="19" t="str">
        <f aca="false">IF(H111="","",IF(J111&lt;설정!$B$7,"baseline 수집 중",IF(K111&lt;=-설정!$B$8,"저하","정상")))</f>
        <v/>
      </c>
      <c r="M111" s="20"/>
    </row>
    <row r="112" customFormat="false" ht="15" hidden="false" customHeight="false" outlineLevel="0" collapsed="false">
      <c r="A112" s="16"/>
      <c r="B112" s="17"/>
      <c r="C112" s="17"/>
      <c r="D112" s="17"/>
      <c r="E112" s="17"/>
      <c r="F112" s="17"/>
      <c r="G112" s="18" t="str">
        <f aca="false">IF(COUNT(D112:F112)=0,"",MAX(D112:F112))</f>
        <v/>
      </c>
      <c r="H112" s="18" t="str">
        <f aca="false">IF(COUNT(D112:F112)=0,"",ROUND(AVERAGE(D112:F112),1))</f>
        <v/>
      </c>
      <c r="I112" s="18" t="str">
        <f aca="false">IF(H112="","",IF(J112&lt;설정!$B$7,"",ROUND(AVERAGEIFS($H$2:$H$1001,$B$2:$B$1001,B112,$A$2:$A$1001,"&lt;"&amp;A112,$A$2:$A$1001,"&gt;="&amp;(A112-설정!$B$6)),1)))</f>
        <v/>
      </c>
      <c r="J112" s="18" t="str">
        <f aca="false">IF(H112="","",COUNTIFS($B$2:$B$1001,B112,$A$2:$A$1001,"&lt;"&amp;A112,$A$2:$A$1001,"&gt;="&amp;(A112-설정!$B$6),$H$2:$H$1001,"&gt;=0"))</f>
        <v/>
      </c>
      <c r="K112" s="21" t="str">
        <f aca="false">IF(I112="","",H112/I112-1)</f>
        <v/>
      </c>
      <c r="L112" s="19" t="str">
        <f aca="false">IF(H112="","",IF(J112&lt;설정!$B$7,"baseline 수집 중",IF(K112&lt;=-설정!$B$8,"저하","정상")))</f>
        <v/>
      </c>
      <c r="M112" s="20"/>
    </row>
    <row r="113" customFormat="false" ht="15" hidden="false" customHeight="false" outlineLevel="0" collapsed="false">
      <c r="A113" s="16"/>
      <c r="B113" s="17"/>
      <c r="C113" s="17"/>
      <c r="D113" s="17"/>
      <c r="E113" s="17"/>
      <c r="F113" s="17"/>
      <c r="G113" s="18" t="str">
        <f aca="false">IF(COUNT(D113:F113)=0,"",MAX(D113:F113))</f>
        <v/>
      </c>
      <c r="H113" s="18" t="str">
        <f aca="false">IF(COUNT(D113:F113)=0,"",ROUND(AVERAGE(D113:F113),1))</f>
        <v/>
      </c>
      <c r="I113" s="18" t="str">
        <f aca="false">IF(H113="","",IF(J113&lt;설정!$B$7,"",ROUND(AVERAGEIFS($H$2:$H$1001,$B$2:$B$1001,B113,$A$2:$A$1001,"&lt;"&amp;A113,$A$2:$A$1001,"&gt;="&amp;(A113-설정!$B$6)),1)))</f>
        <v/>
      </c>
      <c r="J113" s="18" t="str">
        <f aca="false">IF(H113="","",COUNTIFS($B$2:$B$1001,B113,$A$2:$A$1001,"&lt;"&amp;A113,$A$2:$A$1001,"&gt;="&amp;(A113-설정!$B$6),$H$2:$H$1001,"&gt;=0"))</f>
        <v/>
      </c>
      <c r="K113" s="21" t="str">
        <f aca="false">IF(I113="","",H113/I113-1)</f>
        <v/>
      </c>
      <c r="L113" s="19" t="str">
        <f aca="false">IF(H113="","",IF(J113&lt;설정!$B$7,"baseline 수집 중",IF(K113&lt;=-설정!$B$8,"저하","정상")))</f>
        <v/>
      </c>
      <c r="M113" s="20"/>
    </row>
    <row r="114" customFormat="false" ht="15" hidden="false" customHeight="false" outlineLevel="0" collapsed="false">
      <c r="A114" s="16"/>
      <c r="B114" s="17"/>
      <c r="C114" s="17"/>
      <c r="D114" s="17"/>
      <c r="E114" s="17"/>
      <c r="F114" s="17"/>
      <c r="G114" s="18" t="str">
        <f aca="false">IF(COUNT(D114:F114)=0,"",MAX(D114:F114))</f>
        <v/>
      </c>
      <c r="H114" s="18" t="str">
        <f aca="false">IF(COUNT(D114:F114)=0,"",ROUND(AVERAGE(D114:F114),1))</f>
        <v/>
      </c>
      <c r="I114" s="18" t="str">
        <f aca="false">IF(H114="","",IF(J114&lt;설정!$B$7,"",ROUND(AVERAGEIFS($H$2:$H$1001,$B$2:$B$1001,B114,$A$2:$A$1001,"&lt;"&amp;A114,$A$2:$A$1001,"&gt;="&amp;(A114-설정!$B$6)),1)))</f>
        <v/>
      </c>
      <c r="J114" s="18" t="str">
        <f aca="false">IF(H114="","",COUNTIFS($B$2:$B$1001,B114,$A$2:$A$1001,"&lt;"&amp;A114,$A$2:$A$1001,"&gt;="&amp;(A114-설정!$B$6),$H$2:$H$1001,"&gt;=0"))</f>
        <v/>
      </c>
      <c r="K114" s="21" t="str">
        <f aca="false">IF(I114="","",H114/I114-1)</f>
        <v/>
      </c>
      <c r="L114" s="19" t="str">
        <f aca="false">IF(H114="","",IF(J114&lt;설정!$B$7,"baseline 수집 중",IF(K114&lt;=-설정!$B$8,"저하","정상")))</f>
        <v/>
      </c>
      <c r="M114" s="20"/>
    </row>
    <row r="115" customFormat="false" ht="15" hidden="false" customHeight="false" outlineLevel="0" collapsed="false">
      <c r="A115" s="16"/>
      <c r="B115" s="17"/>
      <c r="C115" s="17"/>
      <c r="D115" s="17"/>
      <c r="E115" s="17"/>
      <c r="F115" s="17"/>
      <c r="G115" s="18" t="str">
        <f aca="false">IF(COUNT(D115:F115)=0,"",MAX(D115:F115))</f>
        <v/>
      </c>
      <c r="H115" s="18" t="str">
        <f aca="false">IF(COUNT(D115:F115)=0,"",ROUND(AVERAGE(D115:F115),1))</f>
        <v/>
      </c>
      <c r="I115" s="18" t="str">
        <f aca="false">IF(H115="","",IF(J115&lt;설정!$B$7,"",ROUND(AVERAGEIFS($H$2:$H$1001,$B$2:$B$1001,B115,$A$2:$A$1001,"&lt;"&amp;A115,$A$2:$A$1001,"&gt;="&amp;(A115-설정!$B$6)),1)))</f>
        <v/>
      </c>
      <c r="J115" s="18" t="str">
        <f aca="false">IF(H115="","",COUNTIFS($B$2:$B$1001,B115,$A$2:$A$1001,"&lt;"&amp;A115,$A$2:$A$1001,"&gt;="&amp;(A115-설정!$B$6),$H$2:$H$1001,"&gt;=0"))</f>
        <v/>
      </c>
      <c r="K115" s="21" t="str">
        <f aca="false">IF(I115="","",H115/I115-1)</f>
        <v/>
      </c>
      <c r="L115" s="19" t="str">
        <f aca="false">IF(H115="","",IF(J115&lt;설정!$B$7,"baseline 수집 중",IF(K115&lt;=-설정!$B$8,"저하","정상")))</f>
        <v/>
      </c>
      <c r="M115" s="20"/>
    </row>
    <row r="116" customFormat="false" ht="15" hidden="false" customHeight="false" outlineLevel="0" collapsed="false">
      <c r="A116" s="16"/>
      <c r="B116" s="17"/>
      <c r="C116" s="17"/>
      <c r="D116" s="17"/>
      <c r="E116" s="17"/>
      <c r="F116" s="17"/>
      <c r="G116" s="18" t="str">
        <f aca="false">IF(COUNT(D116:F116)=0,"",MAX(D116:F116))</f>
        <v/>
      </c>
      <c r="H116" s="18" t="str">
        <f aca="false">IF(COUNT(D116:F116)=0,"",ROUND(AVERAGE(D116:F116),1))</f>
        <v/>
      </c>
      <c r="I116" s="18" t="str">
        <f aca="false">IF(H116="","",IF(J116&lt;설정!$B$7,"",ROUND(AVERAGEIFS($H$2:$H$1001,$B$2:$B$1001,B116,$A$2:$A$1001,"&lt;"&amp;A116,$A$2:$A$1001,"&gt;="&amp;(A116-설정!$B$6)),1)))</f>
        <v/>
      </c>
      <c r="J116" s="18" t="str">
        <f aca="false">IF(H116="","",COUNTIFS($B$2:$B$1001,B116,$A$2:$A$1001,"&lt;"&amp;A116,$A$2:$A$1001,"&gt;="&amp;(A116-설정!$B$6),$H$2:$H$1001,"&gt;=0"))</f>
        <v/>
      </c>
      <c r="K116" s="21" t="str">
        <f aca="false">IF(I116="","",H116/I116-1)</f>
        <v/>
      </c>
      <c r="L116" s="19" t="str">
        <f aca="false">IF(H116="","",IF(J116&lt;설정!$B$7,"baseline 수집 중",IF(K116&lt;=-설정!$B$8,"저하","정상")))</f>
        <v/>
      </c>
      <c r="M116" s="20"/>
    </row>
    <row r="117" customFormat="false" ht="15" hidden="false" customHeight="false" outlineLevel="0" collapsed="false">
      <c r="A117" s="16"/>
      <c r="B117" s="17"/>
      <c r="C117" s="17"/>
      <c r="D117" s="17"/>
      <c r="E117" s="17"/>
      <c r="F117" s="17"/>
      <c r="G117" s="18" t="str">
        <f aca="false">IF(COUNT(D117:F117)=0,"",MAX(D117:F117))</f>
        <v/>
      </c>
      <c r="H117" s="18" t="str">
        <f aca="false">IF(COUNT(D117:F117)=0,"",ROUND(AVERAGE(D117:F117),1))</f>
        <v/>
      </c>
      <c r="I117" s="18" t="str">
        <f aca="false">IF(H117="","",IF(J117&lt;설정!$B$7,"",ROUND(AVERAGEIFS($H$2:$H$1001,$B$2:$B$1001,B117,$A$2:$A$1001,"&lt;"&amp;A117,$A$2:$A$1001,"&gt;="&amp;(A117-설정!$B$6)),1)))</f>
        <v/>
      </c>
      <c r="J117" s="18" t="str">
        <f aca="false">IF(H117="","",COUNTIFS($B$2:$B$1001,B117,$A$2:$A$1001,"&lt;"&amp;A117,$A$2:$A$1001,"&gt;="&amp;(A117-설정!$B$6),$H$2:$H$1001,"&gt;=0"))</f>
        <v/>
      </c>
      <c r="K117" s="21" t="str">
        <f aca="false">IF(I117="","",H117/I117-1)</f>
        <v/>
      </c>
      <c r="L117" s="19" t="str">
        <f aca="false">IF(H117="","",IF(J117&lt;설정!$B$7,"baseline 수집 중",IF(K117&lt;=-설정!$B$8,"저하","정상")))</f>
        <v/>
      </c>
      <c r="M117" s="20"/>
    </row>
    <row r="118" customFormat="false" ht="15" hidden="false" customHeight="false" outlineLevel="0" collapsed="false">
      <c r="A118" s="16"/>
      <c r="B118" s="17"/>
      <c r="C118" s="17"/>
      <c r="D118" s="17"/>
      <c r="E118" s="17"/>
      <c r="F118" s="17"/>
      <c r="G118" s="18" t="str">
        <f aca="false">IF(COUNT(D118:F118)=0,"",MAX(D118:F118))</f>
        <v/>
      </c>
      <c r="H118" s="18" t="str">
        <f aca="false">IF(COUNT(D118:F118)=0,"",ROUND(AVERAGE(D118:F118),1))</f>
        <v/>
      </c>
      <c r="I118" s="18" t="str">
        <f aca="false">IF(H118="","",IF(J118&lt;설정!$B$7,"",ROUND(AVERAGEIFS($H$2:$H$1001,$B$2:$B$1001,B118,$A$2:$A$1001,"&lt;"&amp;A118,$A$2:$A$1001,"&gt;="&amp;(A118-설정!$B$6)),1)))</f>
        <v/>
      </c>
      <c r="J118" s="18" t="str">
        <f aca="false">IF(H118="","",COUNTIFS($B$2:$B$1001,B118,$A$2:$A$1001,"&lt;"&amp;A118,$A$2:$A$1001,"&gt;="&amp;(A118-설정!$B$6),$H$2:$H$1001,"&gt;=0"))</f>
        <v/>
      </c>
      <c r="K118" s="21" t="str">
        <f aca="false">IF(I118="","",H118/I118-1)</f>
        <v/>
      </c>
      <c r="L118" s="19" t="str">
        <f aca="false">IF(H118="","",IF(J118&lt;설정!$B$7,"baseline 수집 중",IF(K118&lt;=-설정!$B$8,"저하","정상")))</f>
        <v/>
      </c>
      <c r="M118" s="20"/>
    </row>
    <row r="119" customFormat="false" ht="15" hidden="false" customHeight="false" outlineLevel="0" collapsed="false">
      <c r="A119" s="16"/>
      <c r="B119" s="17"/>
      <c r="C119" s="17"/>
      <c r="D119" s="17"/>
      <c r="E119" s="17"/>
      <c r="F119" s="17"/>
      <c r="G119" s="18" t="str">
        <f aca="false">IF(COUNT(D119:F119)=0,"",MAX(D119:F119))</f>
        <v/>
      </c>
      <c r="H119" s="18" t="str">
        <f aca="false">IF(COUNT(D119:F119)=0,"",ROUND(AVERAGE(D119:F119),1))</f>
        <v/>
      </c>
      <c r="I119" s="18" t="str">
        <f aca="false">IF(H119="","",IF(J119&lt;설정!$B$7,"",ROUND(AVERAGEIFS($H$2:$H$1001,$B$2:$B$1001,B119,$A$2:$A$1001,"&lt;"&amp;A119,$A$2:$A$1001,"&gt;="&amp;(A119-설정!$B$6)),1)))</f>
        <v/>
      </c>
      <c r="J119" s="18" t="str">
        <f aca="false">IF(H119="","",COUNTIFS($B$2:$B$1001,B119,$A$2:$A$1001,"&lt;"&amp;A119,$A$2:$A$1001,"&gt;="&amp;(A119-설정!$B$6),$H$2:$H$1001,"&gt;=0"))</f>
        <v/>
      </c>
      <c r="K119" s="21" t="str">
        <f aca="false">IF(I119="","",H119/I119-1)</f>
        <v/>
      </c>
      <c r="L119" s="19" t="str">
        <f aca="false">IF(H119="","",IF(J119&lt;설정!$B$7,"baseline 수집 중",IF(K119&lt;=-설정!$B$8,"저하","정상")))</f>
        <v/>
      </c>
      <c r="M119" s="20"/>
    </row>
    <row r="120" customFormat="false" ht="15" hidden="false" customHeight="false" outlineLevel="0" collapsed="false">
      <c r="A120" s="16"/>
      <c r="B120" s="17"/>
      <c r="C120" s="17"/>
      <c r="D120" s="17"/>
      <c r="E120" s="17"/>
      <c r="F120" s="17"/>
      <c r="G120" s="18" t="str">
        <f aca="false">IF(COUNT(D120:F120)=0,"",MAX(D120:F120))</f>
        <v/>
      </c>
      <c r="H120" s="18" t="str">
        <f aca="false">IF(COUNT(D120:F120)=0,"",ROUND(AVERAGE(D120:F120),1))</f>
        <v/>
      </c>
      <c r="I120" s="18" t="str">
        <f aca="false">IF(H120="","",IF(J120&lt;설정!$B$7,"",ROUND(AVERAGEIFS($H$2:$H$1001,$B$2:$B$1001,B120,$A$2:$A$1001,"&lt;"&amp;A120,$A$2:$A$1001,"&gt;="&amp;(A120-설정!$B$6)),1)))</f>
        <v/>
      </c>
      <c r="J120" s="18" t="str">
        <f aca="false">IF(H120="","",COUNTIFS($B$2:$B$1001,B120,$A$2:$A$1001,"&lt;"&amp;A120,$A$2:$A$1001,"&gt;="&amp;(A120-설정!$B$6),$H$2:$H$1001,"&gt;=0"))</f>
        <v/>
      </c>
      <c r="K120" s="21" t="str">
        <f aca="false">IF(I120="","",H120/I120-1)</f>
        <v/>
      </c>
      <c r="L120" s="19" t="str">
        <f aca="false">IF(H120="","",IF(J120&lt;설정!$B$7,"baseline 수집 중",IF(K120&lt;=-설정!$B$8,"저하","정상")))</f>
        <v/>
      </c>
      <c r="M120" s="20"/>
    </row>
    <row r="121" customFormat="false" ht="15" hidden="false" customHeight="false" outlineLevel="0" collapsed="false">
      <c r="A121" s="16"/>
      <c r="B121" s="17"/>
      <c r="C121" s="17"/>
      <c r="D121" s="17"/>
      <c r="E121" s="17"/>
      <c r="F121" s="17"/>
      <c r="G121" s="18" t="str">
        <f aca="false">IF(COUNT(D121:F121)=0,"",MAX(D121:F121))</f>
        <v/>
      </c>
      <c r="H121" s="18" t="str">
        <f aca="false">IF(COUNT(D121:F121)=0,"",ROUND(AVERAGE(D121:F121),1))</f>
        <v/>
      </c>
      <c r="I121" s="18" t="str">
        <f aca="false">IF(H121="","",IF(J121&lt;설정!$B$7,"",ROUND(AVERAGEIFS($H$2:$H$1001,$B$2:$B$1001,B121,$A$2:$A$1001,"&lt;"&amp;A121,$A$2:$A$1001,"&gt;="&amp;(A121-설정!$B$6)),1)))</f>
        <v/>
      </c>
      <c r="J121" s="18" t="str">
        <f aca="false">IF(H121="","",COUNTIFS($B$2:$B$1001,B121,$A$2:$A$1001,"&lt;"&amp;A121,$A$2:$A$1001,"&gt;="&amp;(A121-설정!$B$6),$H$2:$H$1001,"&gt;=0"))</f>
        <v/>
      </c>
      <c r="K121" s="21" t="str">
        <f aca="false">IF(I121="","",H121/I121-1)</f>
        <v/>
      </c>
      <c r="L121" s="19" t="str">
        <f aca="false">IF(H121="","",IF(J121&lt;설정!$B$7,"baseline 수집 중",IF(K121&lt;=-설정!$B$8,"저하","정상")))</f>
        <v/>
      </c>
      <c r="M121" s="20"/>
    </row>
    <row r="122" customFormat="false" ht="15" hidden="false" customHeight="false" outlineLevel="0" collapsed="false">
      <c r="A122" s="16"/>
      <c r="B122" s="17"/>
      <c r="C122" s="17"/>
      <c r="D122" s="17"/>
      <c r="E122" s="17"/>
      <c r="F122" s="17"/>
      <c r="G122" s="18" t="str">
        <f aca="false">IF(COUNT(D122:F122)=0,"",MAX(D122:F122))</f>
        <v/>
      </c>
      <c r="H122" s="18" t="str">
        <f aca="false">IF(COUNT(D122:F122)=0,"",ROUND(AVERAGE(D122:F122),1))</f>
        <v/>
      </c>
      <c r="I122" s="18" t="str">
        <f aca="false">IF(H122="","",IF(J122&lt;설정!$B$7,"",ROUND(AVERAGEIFS($H$2:$H$1001,$B$2:$B$1001,B122,$A$2:$A$1001,"&lt;"&amp;A122,$A$2:$A$1001,"&gt;="&amp;(A122-설정!$B$6)),1)))</f>
        <v/>
      </c>
      <c r="J122" s="18" t="str">
        <f aca="false">IF(H122="","",COUNTIFS($B$2:$B$1001,B122,$A$2:$A$1001,"&lt;"&amp;A122,$A$2:$A$1001,"&gt;="&amp;(A122-설정!$B$6),$H$2:$H$1001,"&gt;=0"))</f>
        <v/>
      </c>
      <c r="K122" s="21" t="str">
        <f aca="false">IF(I122="","",H122/I122-1)</f>
        <v/>
      </c>
      <c r="L122" s="19" t="str">
        <f aca="false">IF(H122="","",IF(J122&lt;설정!$B$7,"baseline 수집 중",IF(K122&lt;=-설정!$B$8,"저하","정상")))</f>
        <v/>
      </c>
      <c r="M122" s="20"/>
    </row>
    <row r="123" customFormat="false" ht="15" hidden="false" customHeight="false" outlineLevel="0" collapsed="false">
      <c r="A123" s="16"/>
      <c r="B123" s="17"/>
      <c r="C123" s="17"/>
      <c r="D123" s="17"/>
      <c r="E123" s="17"/>
      <c r="F123" s="17"/>
      <c r="G123" s="18" t="str">
        <f aca="false">IF(COUNT(D123:F123)=0,"",MAX(D123:F123))</f>
        <v/>
      </c>
      <c r="H123" s="18" t="str">
        <f aca="false">IF(COUNT(D123:F123)=0,"",ROUND(AVERAGE(D123:F123),1))</f>
        <v/>
      </c>
      <c r="I123" s="18" t="str">
        <f aca="false">IF(H123="","",IF(J123&lt;설정!$B$7,"",ROUND(AVERAGEIFS($H$2:$H$1001,$B$2:$B$1001,B123,$A$2:$A$1001,"&lt;"&amp;A123,$A$2:$A$1001,"&gt;="&amp;(A123-설정!$B$6)),1)))</f>
        <v/>
      </c>
      <c r="J123" s="18" t="str">
        <f aca="false">IF(H123="","",COUNTIFS($B$2:$B$1001,B123,$A$2:$A$1001,"&lt;"&amp;A123,$A$2:$A$1001,"&gt;="&amp;(A123-설정!$B$6),$H$2:$H$1001,"&gt;=0"))</f>
        <v/>
      </c>
      <c r="K123" s="21" t="str">
        <f aca="false">IF(I123="","",H123/I123-1)</f>
        <v/>
      </c>
      <c r="L123" s="19" t="str">
        <f aca="false">IF(H123="","",IF(J123&lt;설정!$B$7,"baseline 수집 중",IF(K123&lt;=-설정!$B$8,"저하","정상")))</f>
        <v/>
      </c>
      <c r="M123" s="20"/>
    </row>
    <row r="124" customFormat="false" ht="15" hidden="false" customHeight="false" outlineLevel="0" collapsed="false">
      <c r="A124" s="16"/>
      <c r="B124" s="17"/>
      <c r="C124" s="17"/>
      <c r="D124" s="17"/>
      <c r="E124" s="17"/>
      <c r="F124" s="17"/>
      <c r="G124" s="18" t="str">
        <f aca="false">IF(COUNT(D124:F124)=0,"",MAX(D124:F124))</f>
        <v/>
      </c>
      <c r="H124" s="18" t="str">
        <f aca="false">IF(COUNT(D124:F124)=0,"",ROUND(AVERAGE(D124:F124),1))</f>
        <v/>
      </c>
      <c r="I124" s="18" t="str">
        <f aca="false">IF(H124="","",IF(J124&lt;설정!$B$7,"",ROUND(AVERAGEIFS($H$2:$H$1001,$B$2:$B$1001,B124,$A$2:$A$1001,"&lt;"&amp;A124,$A$2:$A$1001,"&gt;="&amp;(A124-설정!$B$6)),1)))</f>
        <v/>
      </c>
      <c r="J124" s="18" t="str">
        <f aca="false">IF(H124="","",COUNTIFS($B$2:$B$1001,B124,$A$2:$A$1001,"&lt;"&amp;A124,$A$2:$A$1001,"&gt;="&amp;(A124-설정!$B$6),$H$2:$H$1001,"&gt;=0"))</f>
        <v/>
      </c>
      <c r="K124" s="21" t="str">
        <f aca="false">IF(I124="","",H124/I124-1)</f>
        <v/>
      </c>
      <c r="L124" s="19" t="str">
        <f aca="false">IF(H124="","",IF(J124&lt;설정!$B$7,"baseline 수집 중",IF(K124&lt;=-설정!$B$8,"저하","정상")))</f>
        <v/>
      </c>
      <c r="M124" s="20"/>
    </row>
    <row r="125" customFormat="false" ht="15" hidden="false" customHeight="false" outlineLevel="0" collapsed="false">
      <c r="A125" s="16"/>
      <c r="B125" s="17"/>
      <c r="C125" s="17"/>
      <c r="D125" s="17"/>
      <c r="E125" s="17"/>
      <c r="F125" s="17"/>
      <c r="G125" s="18" t="str">
        <f aca="false">IF(COUNT(D125:F125)=0,"",MAX(D125:F125))</f>
        <v/>
      </c>
      <c r="H125" s="18" t="str">
        <f aca="false">IF(COUNT(D125:F125)=0,"",ROUND(AVERAGE(D125:F125),1))</f>
        <v/>
      </c>
      <c r="I125" s="18" t="str">
        <f aca="false">IF(H125="","",IF(J125&lt;설정!$B$7,"",ROUND(AVERAGEIFS($H$2:$H$1001,$B$2:$B$1001,B125,$A$2:$A$1001,"&lt;"&amp;A125,$A$2:$A$1001,"&gt;="&amp;(A125-설정!$B$6)),1)))</f>
        <v/>
      </c>
      <c r="J125" s="18" t="str">
        <f aca="false">IF(H125="","",COUNTIFS($B$2:$B$1001,B125,$A$2:$A$1001,"&lt;"&amp;A125,$A$2:$A$1001,"&gt;="&amp;(A125-설정!$B$6),$H$2:$H$1001,"&gt;=0"))</f>
        <v/>
      </c>
      <c r="K125" s="21" t="str">
        <f aca="false">IF(I125="","",H125/I125-1)</f>
        <v/>
      </c>
      <c r="L125" s="19" t="str">
        <f aca="false">IF(H125="","",IF(J125&lt;설정!$B$7,"baseline 수집 중",IF(K125&lt;=-설정!$B$8,"저하","정상")))</f>
        <v/>
      </c>
      <c r="M125" s="20"/>
    </row>
    <row r="126" customFormat="false" ht="15" hidden="false" customHeight="false" outlineLevel="0" collapsed="false">
      <c r="A126" s="16"/>
      <c r="B126" s="17"/>
      <c r="C126" s="17"/>
      <c r="D126" s="17"/>
      <c r="E126" s="17"/>
      <c r="F126" s="17"/>
      <c r="G126" s="18" t="str">
        <f aca="false">IF(COUNT(D126:F126)=0,"",MAX(D126:F126))</f>
        <v/>
      </c>
      <c r="H126" s="18" t="str">
        <f aca="false">IF(COUNT(D126:F126)=0,"",ROUND(AVERAGE(D126:F126),1))</f>
        <v/>
      </c>
      <c r="I126" s="18" t="str">
        <f aca="false">IF(H126="","",IF(J126&lt;설정!$B$7,"",ROUND(AVERAGEIFS($H$2:$H$1001,$B$2:$B$1001,B126,$A$2:$A$1001,"&lt;"&amp;A126,$A$2:$A$1001,"&gt;="&amp;(A126-설정!$B$6)),1)))</f>
        <v/>
      </c>
      <c r="J126" s="18" t="str">
        <f aca="false">IF(H126="","",COUNTIFS($B$2:$B$1001,B126,$A$2:$A$1001,"&lt;"&amp;A126,$A$2:$A$1001,"&gt;="&amp;(A126-설정!$B$6),$H$2:$H$1001,"&gt;=0"))</f>
        <v/>
      </c>
      <c r="K126" s="21" t="str">
        <f aca="false">IF(I126="","",H126/I126-1)</f>
        <v/>
      </c>
      <c r="L126" s="19" t="str">
        <f aca="false">IF(H126="","",IF(J126&lt;설정!$B$7,"baseline 수집 중",IF(K126&lt;=-설정!$B$8,"저하","정상")))</f>
        <v/>
      </c>
      <c r="M126" s="20"/>
    </row>
    <row r="127" customFormat="false" ht="15" hidden="false" customHeight="false" outlineLevel="0" collapsed="false">
      <c r="A127" s="16"/>
      <c r="B127" s="17"/>
      <c r="C127" s="17"/>
      <c r="D127" s="17"/>
      <c r="E127" s="17"/>
      <c r="F127" s="17"/>
      <c r="G127" s="18" t="str">
        <f aca="false">IF(COUNT(D127:F127)=0,"",MAX(D127:F127))</f>
        <v/>
      </c>
      <c r="H127" s="18" t="str">
        <f aca="false">IF(COUNT(D127:F127)=0,"",ROUND(AVERAGE(D127:F127),1))</f>
        <v/>
      </c>
      <c r="I127" s="18" t="str">
        <f aca="false">IF(H127="","",IF(J127&lt;설정!$B$7,"",ROUND(AVERAGEIFS($H$2:$H$1001,$B$2:$B$1001,B127,$A$2:$A$1001,"&lt;"&amp;A127,$A$2:$A$1001,"&gt;="&amp;(A127-설정!$B$6)),1)))</f>
        <v/>
      </c>
      <c r="J127" s="18" t="str">
        <f aca="false">IF(H127="","",COUNTIFS($B$2:$B$1001,B127,$A$2:$A$1001,"&lt;"&amp;A127,$A$2:$A$1001,"&gt;="&amp;(A127-설정!$B$6),$H$2:$H$1001,"&gt;=0"))</f>
        <v/>
      </c>
      <c r="K127" s="21" t="str">
        <f aca="false">IF(I127="","",H127/I127-1)</f>
        <v/>
      </c>
      <c r="L127" s="19" t="str">
        <f aca="false">IF(H127="","",IF(J127&lt;설정!$B$7,"baseline 수집 중",IF(K127&lt;=-설정!$B$8,"저하","정상")))</f>
        <v/>
      </c>
      <c r="M127" s="20"/>
    </row>
    <row r="128" customFormat="false" ht="15" hidden="false" customHeight="false" outlineLevel="0" collapsed="false">
      <c r="A128" s="16"/>
      <c r="B128" s="17"/>
      <c r="C128" s="17"/>
      <c r="D128" s="17"/>
      <c r="E128" s="17"/>
      <c r="F128" s="17"/>
      <c r="G128" s="18" t="str">
        <f aca="false">IF(COUNT(D128:F128)=0,"",MAX(D128:F128))</f>
        <v/>
      </c>
      <c r="H128" s="18" t="str">
        <f aca="false">IF(COUNT(D128:F128)=0,"",ROUND(AVERAGE(D128:F128),1))</f>
        <v/>
      </c>
      <c r="I128" s="18" t="str">
        <f aca="false">IF(H128="","",IF(J128&lt;설정!$B$7,"",ROUND(AVERAGEIFS($H$2:$H$1001,$B$2:$B$1001,B128,$A$2:$A$1001,"&lt;"&amp;A128,$A$2:$A$1001,"&gt;="&amp;(A128-설정!$B$6)),1)))</f>
        <v/>
      </c>
      <c r="J128" s="18" t="str">
        <f aca="false">IF(H128="","",COUNTIFS($B$2:$B$1001,B128,$A$2:$A$1001,"&lt;"&amp;A128,$A$2:$A$1001,"&gt;="&amp;(A128-설정!$B$6),$H$2:$H$1001,"&gt;=0"))</f>
        <v/>
      </c>
      <c r="K128" s="21" t="str">
        <f aca="false">IF(I128="","",H128/I128-1)</f>
        <v/>
      </c>
      <c r="L128" s="19" t="str">
        <f aca="false">IF(H128="","",IF(J128&lt;설정!$B$7,"baseline 수집 중",IF(K128&lt;=-설정!$B$8,"저하","정상")))</f>
        <v/>
      </c>
      <c r="M128" s="20"/>
    </row>
    <row r="129" customFormat="false" ht="15" hidden="false" customHeight="false" outlineLevel="0" collapsed="false">
      <c r="A129" s="16"/>
      <c r="B129" s="17"/>
      <c r="C129" s="17"/>
      <c r="D129" s="17"/>
      <c r="E129" s="17"/>
      <c r="F129" s="17"/>
      <c r="G129" s="18" t="str">
        <f aca="false">IF(COUNT(D129:F129)=0,"",MAX(D129:F129))</f>
        <v/>
      </c>
      <c r="H129" s="18" t="str">
        <f aca="false">IF(COUNT(D129:F129)=0,"",ROUND(AVERAGE(D129:F129),1))</f>
        <v/>
      </c>
      <c r="I129" s="18" t="str">
        <f aca="false">IF(H129="","",IF(J129&lt;설정!$B$7,"",ROUND(AVERAGEIFS($H$2:$H$1001,$B$2:$B$1001,B129,$A$2:$A$1001,"&lt;"&amp;A129,$A$2:$A$1001,"&gt;="&amp;(A129-설정!$B$6)),1)))</f>
        <v/>
      </c>
      <c r="J129" s="18" t="str">
        <f aca="false">IF(H129="","",COUNTIFS($B$2:$B$1001,B129,$A$2:$A$1001,"&lt;"&amp;A129,$A$2:$A$1001,"&gt;="&amp;(A129-설정!$B$6),$H$2:$H$1001,"&gt;=0"))</f>
        <v/>
      </c>
      <c r="K129" s="21" t="str">
        <f aca="false">IF(I129="","",H129/I129-1)</f>
        <v/>
      </c>
      <c r="L129" s="19" t="str">
        <f aca="false">IF(H129="","",IF(J129&lt;설정!$B$7,"baseline 수집 중",IF(K129&lt;=-설정!$B$8,"저하","정상")))</f>
        <v/>
      </c>
      <c r="M129" s="20"/>
    </row>
    <row r="130" customFormat="false" ht="15" hidden="false" customHeight="false" outlineLevel="0" collapsed="false">
      <c r="A130" s="16"/>
      <c r="B130" s="17"/>
      <c r="C130" s="17"/>
      <c r="D130" s="17"/>
      <c r="E130" s="17"/>
      <c r="F130" s="17"/>
      <c r="G130" s="18" t="str">
        <f aca="false">IF(COUNT(D130:F130)=0,"",MAX(D130:F130))</f>
        <v/>
      </c>
      <c r="H130" s="18" t="str">
        <f aca="false">IF(COUNT(D130:F130)=0,"",ROUND(AVERAGE(D130:F130),1))</f>
        <v/>
      </c>
      <c r="I130" s="18" t="str">
        <f aca="false">IF(H130="","",IF(J130&lt;설정!$B$7,"",ROUND(AVERAGEIFS($H$2:$H$1001,$B$2:$B$1001,B130,$A$2:$A$1001,"&lt;"&amp;A130,$A$2:$A$1001,"&gt;="&amp;(A130-설정!$B$6)),1)))</f>
        <v/>
      </c>
      <c r="J130" s="18" t="str">
        <f aca="false">IF(H130="","",COUNTIFS($B$2:$B$1001,B130,$A$2:$A$1001,"&lt;"&amp;A130,$A$2:$A$1001,"&gt;="&amp;(A130-설정!$B$6),$H$2:$H$1001,"&gt;=0"))</f>
        <v/>
      </c>
      <c r="K130" s="21" t="str">
        <f aca="false">IF(I130="","",H130/I130-1)</f>
        <v/>
      </c>
      <c r="L130" s="19" t="str">
        <f aca="false">IF(H130="","",IF(J130&lt;설정!$B$7,"baseline 수집 중",IF(K130&lt;=-설정!$B$8,"저하","정상")))</f>
        <v/>
      </c>
      <c r="M130" s="20"/>
    </row>
    <row r="131" customFormat="false" ht="15" hidden="false" customHeight="false" outlineLevel="0" collapsed="false">
      <c r="A131" s="16"/>
      <c r="B131" s="17"/>
      <c r="C131" s="17"/>
      <c r="D131" s="17"/>
      <c r="E131" s="17"/>
      <c r="F131" s="17"/>
      <c r="G131" s="18" t="str">
        <f aca="false">IF(COUNT(D131:F131)=0,"",MAX(D131:F131))</f>
        <v/>
      </c>
      <c r="H131" s="18" t="str">
        <f aca="false">IF(COUNT(D131:F131)=0,"",ROUND(AVERAGE(D131:F131),1))</f>
        <v/>
      </c>
      <c r="I131" s="18" t="str">
        <f aca="false">IF(H131="","",IF(J131&lt;설정!$B$7,"",ROUND(AVERAGEIFS($H$2:$H$1001,$B$2:$B$1001,B131,$A$2:$A$1001,"&lt;"&amp;A131,$A$2:$A$1001,"&gt;="&amp;(A131-설정!$B$6)),1)))</f>
        <v/>
      </c>
      <c r="J131" s="18" t="str">
        <f aca="false">IF(H131="","",COUNTIFS($B$2:$B$1001,B131,$A$2:$A$1001,"&lt;"&amp;A131,$A$2:$A$1001,"&gt;="&amp;(A131-설정!$B$6),$H$2:$H$1001,"&gt;=0"))</f>
        <v/>
      </c>
      <c r="K131" s="21" t="str">
        <f aca="false">IF(I131="","",H131/I131-1)</f>
        <v/>
      </c>
      <c r="L131" s="19" t="str">
        <f aca="false">IF(H131="","",IF(J131&lt;설정!$B$7,"baseline 수집 중",IF(K131&lt;=-설정!$B$8,"저하","정상")))</f>
        <v/>
      </c>
      <c r="M131" s="20"/>
    </row>
    <row r="132" customFormat="false" ht="15" hidden="false" customHeight="false" outlineLevel="0" collapsed="false">
      <c r="A132" s="16"/>
      <c r="B132" s="17"/>
      <c r="C132" s="17"/>
      <c r="D132" s="17"/>
      <c r="E132" s="17"/>
      <c r="F132" s="17"/>
      <c r="G132" s="18" t="str">
        <f aca="false">IF(COUNT(D132:F132)=0,"",MAX(D132:F132))</f>
        <v/>
      </c>
      <c r="H132" s="18" t="str">
        <f aca="false">IF(COUNT(D132:F132)=0,"",ROUND(AVERAGE(D132:F132),1))</f>
        <v/>
      </c>
      <c r="I132" s="18" t="str">
        <f aca="false">IF(H132="","",IF(J132&lt;설정!$B$7,"",ROUND(AVERAGEIFS($H$2:$H$1001,$B$2:$B$1001,B132,$A$2:$A$1001,"&lt;"&amp;A132,$A$2:$A$1001,"&gt;="&amp;(A132-설정!$B$6)),1)))</f>
        <v/>
      </c>
      <c r="J132" s="18" t="str">
        <f aca="false">IF(H132="","",COUNTIFS($B$2:$B$1001,B132,$A$2:$A$1001,"&lt;"&amp;A132,$A$2:$A$1001,"&gt;="&amp;(A132-설정!$B$6),$H$2:$H$1001,"&gt;=0"))</f>
        <v/>
      </c>
      <c r="K132" s="21" t="str">
        <f aca="false">IF(I132="","",H132/I132-1)</f>
        <v/>
      </c>
      <c r="L132" s="19" t="str">
        <f aca="false">IF(H132="","",IF(J132&lt;설정!$B$7,"baseline 수집 중",IF(K132&lt;=-설정!$B$8,"저하","정상")))</f>
        <v/>
      </c>
      <c r="M132" s="20"/>
    </row>
    <row r="133" customFormat="false" ht="15" hidden="false" customHeight="false" outlineLevel="0" collapsed="false">
      <c r="A133" s="16"/>
      <c r="B133" s="17"/>
      <c r="C133" s="17"/>
      <c r="D133" s="17"/>
      <c r="E133" s="17"/>
      <c r="F133" s="17"/>
      <c r="G133" s="18" t="str">
        <f aca="false">IF(COUNT(D133:F133)=0,"",MAX(D133:F133))</f>
        <v/>
      </c>
      <c r="H133" s="18" t="str">
        <f aca="false">IF(COUNT(D133:F133)=0,"",ROUND(AVERAGE(D133:F133),1))</f>
        <v/>
      </c>
      <c r="I133" s="18" t="str">
        <f aca="false">IF(H133="","",IF(J133&lt;설정!$B$7,"",ROUND(AVERAGEIFS($H$2:$H$1001,$B$2:$B$1001,B133,$A$2:$A$1001,"&lt;"&amp;A133,$A$2:$A$1001,"&gt;="&amp;(A133-설정!$B$6)),1)))</f>
        <v/>
      </c>
      <c r="J133" s="18" t="str">
        <f aca="false">IF(H133="","",COUNTIFS($B$2:$B$1001,B133,$A$2:$A$1001,"&lt;"&amp;A133,$A$2:$A$1001,"&gt;="&amp;(A133-설정!$B$6),$H$2:$H$1001,"&gt;=0"))</f>
        <v/>
      </c>
      <c r="K133" s="21" t="str">
        <f aca="false">IF(I133="","",H133/I133-1)</f>
        <v/>
      </c>
      <c r="L133" s="19" t="str">
        <f aca="false">IF(H133="","",IF(J133&lt;설정!$B$7,"baseline 수집 중",IF(K133&lt;=-설정!$B$8,"저하","정상")))</f>
        <v/>
      </c>
      <c r="M133" s="20"/>
    </row>
    <row r="134" customFormat="false" ht="15" hidden="false" customHeight="false" outlineLevel="0" collapsed="false">
      <c r="A134" s="16"/>
      <c r="B134" s="17"/>
      <c r="C134" s="17"/>
      <c r="D134" s="17"/>
      <c r="E134" s="17"/>
      <c r="F134" s="17"/>
      <c r="G134" s="18" t="str">
        <f aca="false">IF(COUNT(D134:F134)=0,"",MAX(D134:F134))</f>
        <v/>
      </c>
      <c r="H134" s="18" t="str">
        <f aca="false">IF(COUNT(D134:F134)=0,"",ROUND(AVERAGE(D134:F134),1))</f>
        <v/>
      </c>
      <c r="I134" s="18" t="str">
        <f aca="false">IF(H134="","",IF(J134&lt;설정!$B$7,"",ROUND(AVERAGEIFS($H$2:$H$1001,$B$2:$B$1001,B134,$A$2:$A$1001,"&lt;"&amp;A134,$A$2:$A$1001,"&gt;="&amp;(A134-설정!$B$6)),1)))</f>
        <v/>
      </c>
      <c r="J134" s="18" t="str">
        <f aca="false">IF(H134="","",COUNTIFS($B$2:$B$1001,B134,$A$2:$A$1001,"&lt;"&amp;A134,$A$2:$A$1001,"&gt;="&amp;(A134-설정!$B$6),$H$2:$H$1001,"&gt;=0"))</f>
        <v/>
      </c>
      <c r="K134" s="21" t="str">
        <f aca="false">IF(I134="","",H134/I134-1)</f>
        <v/>
      </c>
      <c r="L134" s="19" t="str">
        <f aca="false">IF(H134="","",IF(J134&lt;설정!$B$7,"baseline 수집 중",IF(K134&lt;=-설정!$B$8,"저하","정상")))</f>
        <v/>
      </c>
      <c r="M134" s="20"/>
    </row>
    <row r="135" customFormat="false" ht="15" hidden="false" customHeight="false" outlineLevel="0" collapsed="false">
      <c r="A135" s="16"/>
      <c r="B135" s="17"/>
      <c r="C135" s="17"/>
      <c r="D135" s="17"/>
      <c r="E135" s="17"/>
      <c r="F135" s="17"/>
      <c r="G135" s="18" t="str">
        <f aca="false">IF(COUNT(D135:F135)=0,"",MAX(D135:F135))</f>
        <v/>
      </c>
      <c r="H135" s="18" t="str">
        <f aca="false">IF(COUNT(D135:F135)=0,"",ROUND(AVERAGE(D135:F135),1))</f>
        <v/>
      </c>
      <c r="I135" s="18" t="str">
        <f aca="false">IF(H135="","",IF(J135&lt;설정!$B$7,"",ROUND(AVERAGEIFS($H$2:$H$1001,$B$2:$B$1001,B135,$A$2:$A$1001,"&lt;"&amp;A135,$A$2:$A$1001,"&gt;="&amp;(A135-설정!$B$6)),1)))</f>
        <v/>
      </c>
      <c r="J135" s="18" t="str">
        <f aca="false">IF(H135="","",COUNTIFS($B$2:$B$1001,B135,$A$2:$A$1001,"&lt;"&amp;A135,$A$2:$A$1001,"&gt;="&amp;(A135-설정!$B$6),$H$2:$H$1001,"&gt;=0"))</f>
        <v/>
      </c>
      <c r="K135" s="21" t="str">
        <f aca="false">IF(I135="","",H135/I135-1)</f>
        <v/>
      </c>
      <c r="L135" s="19" t="str">
        <f aca="false">IF(H135="","",IF(J135&lt;설정!$B$7,"baseline 수집 중",IF(K135&lt;=-설정!$B$8,"저하","정상")))</f>
        <v/>
      </c>
      <c r="M135" s="20"/>
    </row>
    <row r="136" customFormat="false" ht="15" hidden="false" customHeight="false" outlineLevel="0" collapsed="false">
      <c r="A136" s="16"/>
      <c r="B136" s="17"/>
      <c r="C136" s="17"/>
      <c r="D136" s="17"/>
      <c r="E136" s="17"/>
      <c r="F136" s="17"/>
      <c r="G136" s="18" t="str">
        <f aca="false">IF(COUNT(D136:F136)=0,"",MAX(D136:F136))</f>
        <v/>
      </c>
      <c r="H136" s="18" t="str">
        <f aca="false">IF(COUNT(D136:F136)=0,"",ROUND(AVERAGE(D136:F136),1))</f>
        <v/>
      </c>
      <c r="I136" s="18" t="str">
        <f aca="false">IF(H136="","",IF(J136&lt;설정!$B$7,"",ROUND(AVERAGEIFS($H$2:$H$1001,$B$2:$B$1001,B136,$A$2:$A$1001,"&lt;"&amp;A136,$A$2:$A$1001,"&gt;="&amp;(A136-설정!$B$6)),1)))</f>
        <v/>
      </c>
      <c r="J136" s="18" t="str">
        <f aca="false">IF(H136="","",COUNTIFS($B$2:$B$1001,B136,$A$2:$A$1001,"&lt;"&amp;A136,$A$2:$A$1001,"&gt;="&amp;(A136-설정!$B$6),$H$2:$H$1001,"&gt;=0"))</f>
        <v/>
      </c>
      <c r="K136" s="21" t="str">
        <f aca="false">IF(I136="","",H136/I136-1)</f>
        <v/>
      </c>
      <c r="L136" s="19" t="str">
        <f aca="false">IF(H136="","",IF(J136&lt;설정!$B$7,"baseline 수집 중",IF(K136&lt;=-설정!$B$8,"저하","정상")))</f>
        <v/>
      </c>
      <c r="M136" s="20"/>
    </row>
    <row r="137" customFormat="false" ht="15" hidden="false" customHeight="false" outlineLevel="0" collapsed="false">
      <c r="A137" s="16"/>
      <c r="B137" s="17"/>
      <c r="C137" s="17"/>
      <c r="D137" s="17"/>
      <c r="E137" s="17"/>
      <c r="F137" s="17"/>
      <c r="G137" s="18" t="str">
        <f aca="false">IF(COUNT(D137:F137)=0,"",MAX(D137:F137))</f>
        <v/>
      </c>
      <c r="H137" s="18" t="str">
        <f aca="false">IF(COUNT(D137:F137)=0,"",ROUND(AVERAGE(D137:F137),1))</f>
        <v/>
      </c>
      <c r="I137" s="18" t="str">
        <f aca="false">IF(H137="","",IF(J137&lt;설정!$B$7,"",ROUND(AVERAGEIFS($H$2:$H$1001,$B$2:$B$1001,B137,$A$2:$A$1001,"&lt;"&amp;A137,$A$2:$A$1001,"&gt;="&amp;(A137-설정!$B$6)),1)))</f>
        <v/>
      </c>
      <c r="J137" s="18" t="str">
        <f aca="false">IF(H137="","",COUNTIFS($B$2:$B$1001,B137,$A$2:$A$1001,"&lt;"&amp;A137,$A$2:$A$1001,"&gt;="&amp;(A137-설정!$B$6),$H$2:$H$1001,"&gt;=0"))</f>
        <v/>
      </c>
      <c r="K137" s="21" t="str">
        <f aca="false">IF(I137="","",H137/I137-1)</f>
        <v/>
      </c>
      <c r="L137" s="19" t="str">
        <f aca="false">IF(H137="","",IF(J137&lt;설정!$B$7,"baseline 수집 중",IF(K137&lt;=-설정!$B$8,"저하","정상")))</f>
        <v/>
      </c>
      <c r="M137" s="20"/>
    </row>
    <row r="138" customFormat="false" ht="15" hidden="false" customHeight="false" outlineLevel="0" collapsed="false">
      <c r="A138" s="16"/>
      <c r="B138" s="17"/>
      <c r="C138" s="17"/>
      <c r="D138" s="17"/>
      <c r="E138" s="17"/>
      <c r="F138" s="17"/>
      <c r="G138" s="18" t="str">
        <f aca="false">IF(COUNT(D138:F138)=0,"",MAX(D138:F138))</f>
        <v/>
      </c>
      <c r="H138" s="18" t="str">
        <f aca="false">IF(COUNT(D138:F138)=0,"",ROUND(AVERAGE(D138:F138),1))</f>
        <v/>
      </c>
      <c r="I138" s="18" t="str">
        <f aca="false">IF(H138="","",IF(J138&lt;설정!$B$7,"",ROUND(AVERAGEIFS($H$2:$H$1001,$B$2:$B$1001,B138,$A$2:$A$1001,"&lt;"&amp;A138,$A$2:$A$1001,"&gt;="&amp;(A138-설정!$B$6)),1)))</f>
        <v/>
      </c>
      <c r="J138" s="18" t="str">
        <f aca="false">IF(H138="","",COUNTIFS($B$2:$B$1001,B138,$A$2:$A$1001,"&lt;"&amp;A138,$A$2:$A$1001,"&gt;="&amp;(A138-설정!$B$6),$H$2:$H$1001,"&gt;=0"))</f>
        <v/>
      </c>
      <c r="K138" s="21" t="str">
        <f aca="false">IF(I138="","",H138/I138-1)</f>
        <v/>
      </c>
      <c r="L138" s="19" t="str">
        <f aca="false">IF(H138="","",IF(J138&lt;설정!$B$7,"baseline 수집 중",IF(K138&lt;=-설정!$B$8,"저하","정상")))</f>
        <v/>
      </c>
      <c r="M138" s="20"/>
    </row>
    <row r="139" customFormat="false" ht="15" hidden="false" customHeight="false" outlineLevel="0" collapsed="false">
      <c r="A139" s="16"/>
      <c r="B139" s="17"/>
      <c r="C139" s="17"/>
      <c r="D139" s="17"/>
      <c r="E139" s="17"/>
      <c r="F139" s="17"/>
      <c r="G139" s="18" t="str">
        <f aca="false">IF(COUNT(D139:F139)=0,"",MAX(D139:F139))</f>
        <v/>
      </c>
      <c r="H139" s="18" t="str">
        <f aca="false">IF(COUNT(D139:F139)=0,"",ROUND(AVERAGE(D139:F139),1))</f>
        <v/>
      </c>
      <c r="I139" s="18" t="str">
        <f aca="false">IF(H139="","",IF(J139&lt;설정!$B$7,"",ROUND(AVERAGEIFS($H$2:$H$1001,$B$2:$B$1001,B139,$A$2:$A$1001,"&lt;"&amp;A139,$A$2:$A$1001,"&gt;="&amp;(A139-설정!$B$6)),1)))</f>
        <v/>
      </c>
      <c r="J139" s="18" t="str">
        <f aca="false">IF(H139="","",COUNTIFS($B$2:$B$1001,B139,$A$2:$A$1001,"&lt;"&amp;A139,$A$2:$A$1001,"&gt;="&amp;(A139-설정!$B$6),$H$2:$H$1001,"&gt;=0"))</f>
        <v/>
      </c>
      <c r="K139" s="21" t="str">
        <f aca="false">IF(I139="","",H139/I139-1)</f>
        <v/>
      </c>
      <c r="L139" s="19" t="str">
        <f aca="false">IF(H139="","",IF(J139&lt;설정!$B$7,"baseline 수집 중",IF(K139&lt;=-설정!$B$8,"저하","정상")))</f>
        <v/>
      </c>
      <c r="M139" s="20"/>
    </row>
    <row r="140" customFormat="false" ht="15" hidden="false" customHeight="false" outlineLevel="0" collapsed="false">
      <c r="A140" s="16"/>
      <c r="B140" s="17"/>
      <c r="C140" s="17"/>
      <c r="D140" s="17"/>
      <c r="E140" s="17"/>
      <c r="F140" s="17"/>
      <c r="G140" s="18" t="str">
        <f aca="false">IF(COUNT(D140:F140)=0,"",MAX(D140:F140))</f>
        <v/>
      </c>
      <c r="H140" s="18" t="str">
        <f aca="false">IF(COUNT(D140:F140)=0,"",ROUND(AVERAGE(D140:F140),1))</f>
        <v/>
      </c>
      <c r="I140" s="18" t="str">
        <f aca="false">IF(H140="","",IF(J140&lt;설정!$B$7,"",ROUND(AVERAGEIFS($H$2:$H$1001,$B$2:$B$1001,B140,$A$2:$A$1001,"&lt;"&amp;A140,$A$2:$A$1001,"&gt;="&amp;(A140-설정!$B$6)),1)))</f>
        <v/>
      </c>
      <c r="J140" s="18" t="str">
        <f aca="false">IF(H140="","",COUNTIFS($B$2:$B$1001,B140,$A$2:$A$1001,"&lt;"&amp;A140,$A$2:$A$1001,"&gt;="&amp;(A140-설정!$B$6),$H$2:$H$1001,"&gt;=0"))</f>
        <v/>
      </c>
      <c r="K140" s="21" t="str">
        <f aca="false">IF(I140="","",H140/I140-1)</f>
        <v/>
      </c>
      <c r="L140" s="19" t="str">
        <f aca="false">IF(H140="","",IF(J140&lt;설정!$B$7,"baseline 수집 중",IF(K140&lt;=-설정!$B$8,"저하","정상")))</f>
        <v/>
      </c>
      <c r="M140" s="20"/>
    </row>
    <row r="141" customFormat="false" ht="15" hidden="false" customHeight="false" outlineLevel="0" collapsed="false">
      <c r="A141" s="16"/>
      <c r="B141" s="17"/>
      <c r="C141" s="17"/>
      <c r="D141" s="17"/>
      <c r="E141" s="17"/>
      <c r="F141" s="17"/>
      <c r="G141" s="18" t="str">
        <f aca="false">IF(COUNT(D141:F141)=0,"",MAX(D141:F141))</f>
        <v/>
      </c>
      <c r="H141" s="18" t="str">
        <f aca="false">IF(COUNT(D141:F141)=0,"",ROUND(AVERAGE(D141:F141),1))</f>
        <v/>
      </c>
      <c r="I141" s="18" t="str">
        <f aca="false">IF(H141="","",IF(J141&lt;설정!$B$7,"",ROUND(AVERAGEIFS($H$2:$H$1001,$B$2:$B$1001,B141,$A$2:$A$1001,"&lt;"&amp;A141,$A$2:$A$1001,"&gt;="&amp;(A141-설정!$B$6)),1)))</f>
        <v/>
      </c>
      <c r="J141" s="18" t="str">
        <f aca="false">IF(H141="","",COUNTIFS($B$2:$B$1001,B141,$A$2:$A$1001,"&lt;"&amp;A141,$A$2:$A$1001,"&gt;="&amp;(A141-설정!$B$6),$H$2:$H$1001,"&gt;=0"))</f>
        <v/>
      </c>
      <c r="K141" s="21" t="str">
        <f aca="false">IF(I141="","",H141/I141-1)</f>
        <v/>
      </c>
      <c r="L141" s="19" t="str">
        <f aca="false">IF(H141="","",IF(J141&lt;설정!$B$7,"baseline 수집 중",IF(K141&lt;=-설정!$B$8,"저하","정상")))</f>
        <v/>
      </c>
      <c r="M141" s="20"/>
    </row>
    <row r="142" customFormat="false" ht="15" hidden="false" customHeight="false" outlineLevel="0" collapsed="false">
      <c r="A142" s="16"/>
      <c r="B142" s="17"/>
      <c r="C142" s="17"/>
      <c r="D142" s="17"/>
      <c r="E142" s="17"/>
      <c r="F142" s="17"/>
      <c r="G142" s="18" t="str">
        <f aca="false">IF(COUNT(D142:F142)=0,"",MAX(D142:F142))</f>
        <v/>
      </c>
      <c r="H142" s="18" t="str">
        <f aca="false">IF(COUNT(D142:F142)=0,"",ROUND(AVERAGE(D142:F142),1))</f>
        <v/>
      </c>
      <c r="I142" s="18" t="str">
        <f aca="false">IF(H142="","",IF(J142&lt;설정!$B$7,"",ROUND(AVERAGEIFS($H$2:$H$1001,$B$2:$B$1001,B142,$A$2:$A$1001,"&lt;"&amp;A142,$A$2:$A$1001,"&gt;="&amp;(A142-설정!$B$6)),1)))</f>
        <v/>
      </c>
      <c r="J142" s="18" t="str">
        <f aca="false">IF(H142="","",COUNTIFS($B$2:$B$1001,B142,$A$2:$A$1001,"&lt;"&amp;A142,$A$2:$A$1001,"&gt;="&amp;(A142-설정!$B$6),$H$2:$H$1001,"&gt;=0"))</f>
        <v/>
      </c>
      <c r="K142" s="21" t="str">
        <f aca="false">IF(I142="","",H142/I142-1)</f>
        <v/>
      </c>
      <c r="L142" s="19" t="str">
        <f aca="false">IF(H142="","",IF(J142&lt;설정!$B$7,"baseline 수집 중",IF(K142&lt;=-설정!$B$8,"저하","정상")))</f>
        <v/>
      </c>
      <c r="M142" s="20"/>
    </row>
    <row r="143" customFormat="false" ht="15" hidden="false" customHeight="false" outlineLevel="0" collapsed="false">
      <c r="A143" s="16"/>
      <c r="B143" s="17"/>
      <c r="C143" s="17"/>
      <c r="D143" s="17"/>
      <c r="E143" s="17"/>
      <c r="F143" s="17"/>
      <c r="G143" s="18" t="str">
        <f aca="false">IF(COUNT(D143:F143)=0,"",MAX(D143:F143))</f>
        <v/>
      </c>
      <c r="H143" s="18" t="str">
        <f aca="false">IF(COUNT(D143:F143)=0,"",ROUND(AVERAGE(D143:F143),1))</f>
        <v/>
      </c>
      <c r="I143" s="18" t="str">
        <f aca="false">IF(H143="","",IF(J143&lt;설정!$B$7,"",ROUND(AVERAGEIFS($H$2:$H$1001,$B$2:$B$1001,B143,$A$2:$A$1001,"&lt;"&amp;A143,$A$2:$A$1001,"&gt;="&amp;(A143-설정!$B$6)),1)))</f>
        <v/>
      </c>
      <c r="J143" s="18" t="str">
        <f aca="false">IF(H143="","",COUNTIFS($B$2:$B$1001,B143,$A$2:$A$1001,"&lt;"&amp;A143,$A$2:$A$1001,"&gt;="&amp;(A143-설정!$B$6),$H$2:$H$1001,"&gt;=0"))</f>
        <v/>
      </c>
      <c r="K143" s="21" t="str">
        <f aca="false">IF(I143="","",H143/I143-1)</f>
        <v/>
      </c>
      <c r="L143" s="19" t="str">
        <f aca="false">IF(H143="","",IF(J143&lt;설정!$B$7,"baseline 수집 중",IF(K143&lt;=-설정!$B$8,"저하","정상")))</f>
        <v/>
      </c>
      <c r="M143" s="20"/>
    </row>
    <row r="144" customFormat="false" ht="15" hidden="false" customHeight="false" outlineLevel="0" collapsed="false">
      <c r="A144" s="16"/>
      <c r="B144" s="17"/>
      <c r="C144" s="17"/>
      <c r="D144" s="17"/>
      <c r="E144" s="17"/>
      <c r="F144" s="17"/>
      <c r="G144" s="18" t="str">
        <f aca="false">IF(COUNT(D144:F144)=0,"",MAX(D144:F144))</f>
        <v/>
      </c>
      <c r="H144" s="18" t="str">
        <f aca="false">IF(COUNT(D144:F144)=0,"",ROUND(AVERAGE(D144:F144),1))</f>
        <v/>
      </c>
      <c r="I144" s="18" t="str">
        <f aca="false">IF(H144="","",IF(J144&lt;설정!$B$7,"",ROUND(AVERAGEIFS($H$2:$H$1001,$B$2:$B$1001,B144,$A$2:$A$1001,"&lt;"&amp;A144,$A$2:$A$1001,"&gt;="&amp;(A144-설정!$B$6)),1)))</f>
        <v/>
      </c>
      <c r="J144" s="18" t="str">
        <f aca="false">IF(H144="","",COUNTIFS($B$2:$B$1001,B144,$A$2:$A$1001,"&lt;"&amp;A144,$A$2:$A$1001,"&gt;="&amp;(A144-설정!$B$6),$H$2:$H$1001,"&gt;=0"))</f>
        <v/>
      </c>
      <c r="K144" s="21" t="str">
        <f aca="false">IF(I144="","",H144/I144-1)</f>
        <v/>
      </c>
      <c r="L144" s="19" t="str">
        <f aca="false">IF(H144="","",IF(J144&lt;설정!$B$7,"baseline 수집 중",IF(K144&lt;=-설정!$B$8,"저하","정상")))</f>
        <v/>
      </c>
      <c r="M144" s="20"/>
    </row>
    <row r="145" customFormat="false" ht="15" hidden="false" customHeight="false" outlineLevel="0" collapsed="false">
      <c r="A145" s="16"/>
      <c r="B145" s="17"/>
      <c r="C145" s="17"/>
      <c r="D145" s="17"/>
      <c r="E145" s="17"/>
      <c r="F145" s="17"/>
      <c r="G145" s="18" t="str">
        <f aca="false">IF(COUNT(D145:F145)=0,"",MAX(D145:F145))</f>
        <v/>
      </c>
      <c r="H145" s="18" t="str">
        <f aca="false">IF(COUNT(D145:F145)=0,"",ROUND(AVERAGE(D145:F145),1))</f>
        <v/>
      </c>
      <c r="I145" s="18" t="str">
        <f aca="false">IF(H145="","",IF(J145&lt;설정!$B$7,"",ROUND(AVERAGEIFS($H$2:$H$1001,$B$2:$B$1001,B145,$A$2:$A$1001,"&lt;"&amp;A145,$A$2:$A$1001,"&gt;="&amp;(A145-설정!$B$6)),1)))</f>
        <v/>
      </c>
      <c r="J145" s="18" t="str">
        <f aca="false">IF(H145="","",COUNTIFS($B$2:$B$1001,B145,$A$2:$A$1001,"&lt;"&amp;A145,$A$2:$A$1001,"&gt;="&amp;(A145-설정!$B$6),$H$2:$H$1001,"&gt;=0"))</f>
        <v/>
      </c>
      <c r="K145" s="21" t="str">
        <f aca="false">IF(I145="","",H145/I145-1)</f>
        <v/>
      </c>
      <c r="L145" s="19" t="str">
        <f aca="false">IF(H145="","",IF(J145&lt;설정!$B$7,"baseline 수집 중",IF(K145&lt;=-설정!$B$8,"저하","정상")))</f>
        <v/>
      </c>
      <c r="M145" s="20"/>
    </row>
    <row r="146" customFormat="false" ht="15" hidden="false" customHeight="false" outlineLevel="0" collapsed="false">
      <c r="A146" s="16"/>
      <c r="B146" s="17"/>
      <c r="C146" s="17"/>
      <c r="D146" s="17"/>
      <c r="E146" s="17"/>
      <c r="F146" s="17"/>
      <c r="G146" s="18" t="str">
        <f aca="false">IF(COUNT(D146:F146)=0,"",MAX(D146:F146))</f>
        <v/>
      </c>
      <c r="H146" s="18" t="str">
        <f aca="false">IF(COUNT(D146:F146)=0,"",ROUND(AVERAGE(D146:F146),1))</f>
        <v/>
      </c>
      <c r="I146" s="18" t="str">
        <f aca="false">IF(H146="","",IF(J146&lt;설정!$B$7,"",ROUND(AVERAGEIFS($H$2:$H$1001,$B$2:$B$1001,B146,$A$2:$A$1001,"&lt;"&amp;A146,$A$2:$A$1001,"&gt;="&amp;(A146-설정!$B$6)),1)))</f>
        <v/>
      </c>
      <c r="J146" s="18" t="str">
        <f aca="false">IF(H146="","",COUNTIFS($B$2:$B$1001,B146,$A$2:$A$1001,"&lt;"&amp;A146,$A$2:$A$1001,"&gt;="&amp;(A146-설정!$B$6),$H$2:$H$1001,"&gt;=0"))</f>
        <v/>
      </c>
      <c r="K146" s="21" t="str">
        <f aca="false">IF(I146="","",H146/I146-1)</f>
        <v/>
      </c>
      <c r="L146" s="19" t="str">
        <f aca="false">IF(H146="","",IF(J146&lt;설정!$B$7,"baseline 수집 중",IF(K146&lt;=-설정!$B$8,"저하","정상")))</f>
        <v/>
      </c>
      <c r="M146" s="20"/>
    </row>
    <row r="147" customFormat="false" ht="15" hidden="false" customHeight="false" outlineLevel="0" collapsed="false">
      <c r="A147" s="16"/>
      <c r="B147" s="17"/>
      <c r="C147" s="17"/>
      <c r="D147" s="17"/>
      <c r="E147" s="17"/>
      <c r="F147" s="17"/>
      <c r="G147" s="18" t="str">
        <f aca="false">IF(COUNT(D147:F147)=0,"",MAX(D147:F147))</f>
        <v/>
      </c>
      <c r="H147" s="18" t="str">
        <f aca="false">IF(COUNT(D147:F147)=0,"",ROUND(AVERAGE(D147:F147),1))</f>
        <v/>
      </c>
      <c r="I147" s="18" t="str">
        <f aca="false">IF(H147="","",IF(J147&lt;설정!$B$7,"",ROUND(AVERAGEIFS($H$2:$H$1001,$B$2:$B$1001,B147,$A$2:$A$1001,"&lt;"&amp;A147,$A$2:$A$1001,"&gt;="&amp;(A147-설정!$B$6)),1)))</f>
        <v/>
      </c>
      <c r="J147" s="18" t="str">
        <f aca="false">IF(H147="","",COUNTIFS($B$2:$B$1001,B147,$A$2:$A$1001,"&lt;"&amp;A147,$A$2:$A$1001,"&gt;="&amp;(A147-설정!$B$6),$H$2:$H$1001,"&gt;=0"))</f>
        <v/>
      </c>
      <c r="K147" s="21" t="str">
        <f aca="false">IF(I147="","",H147/I147-1)</f>
        <v/>
      </c>
      <c r="L147" s="19" t="str">
        <f aca="false">IF(H147="","",IF(J147&lt;설정!$B$7,"baseline 수집 중",IF(K147&lt;=-설정!$B$8,"저하","정상")))</f>
        <v/>
      </c>
      <c r="M147" s="20"/>
    </row>
    <row r="148" customFormat="false" ht="15" hidden="false" customHeight="false" outlineLevel="0" collapsed="false">
      <c r="A148" s="16"/>
      <c r="B148" s="17"/>
      <c r="C148" s="17"/>
      <c r="D148" s="17"/>
      <c r="E148" s="17"/>
      <c r="F148" s="17"/>
      <c r="G148" s="18" t="str">
        <f aca="false">IF(COUNT(D148:F148)=0,"",MAX(D148:F148))</f>
        <v/>
      </c>
      <c r="H148" s="18" t="str">
        <f aca="false">IF(COUNT(D148:F148)=0,"",ROUND(AVERAGE(D148:F148),1))</f>
        <v/>
      </c>
      <c r="I148" s="18" t="str">
        <f aca="false">IF(H148="","",IF(J148&lt;설정!$B$7,"",ROUND(AVERAGEIFS($H$2:$H$1001,$B$2:$B$1001,B148,$A$2:$A$1001,"&lt;"&amp;A148,$A$2:$A$1001,"&gt;="&amp;(A148-설정!$B$6)),1)))</f>
        <v/>
      </c>
      <c r="J148" s="18" t="str">
        <f aca="false">IF(H148="","",COUNTIFS($B$2:$B$1001,B148,$A$2:$A$1001,"&lt;"&amp;A148,$A$2:$A$1001,"&gt;="&amp;(A148-설정!$B$6),$H$2:$H$1001,"&gt;=0"))</f>
        <v/>
      </c>
      <c r="K148" s="21" t="str">
        <f aca="false">IF(I148="","",H148/I148-1)</f>
        <v/>
      </c>
      <c r="L148" s="19" t="str">
        <f aca="false">IF(H148="","",IF(J148&lt;설정!$B$7,"baseline 수집 중",IF(K148&lt;=-설정!$B$8,"저하","정상")))</f>
        <v/>
      </c>
      <c r="M148" s="20"/>
    </row>
    <row r="149" customFormat="false" ht="15" hidden="false" customHeight="false" outlineLevel="0" collapsed="false">
      <c r="A149" s="16"/>
      <c r="B149" s="17"/>
      <c r="C149" s="17"/>
      <c r="D149" s="17"/>
      <c r="E149" s="17"/>
      <c r="F149" s="17"/>
      <c r="G149" s="18" t="str">
        <f aca="false">IF(COUNT(D149:F149)=0,"",MAX(D149:F149))</f>
        <v/>
      </c>
      <c r="H149" s="18" t="str">
        <f aca="false">IF(COUNT(D149:F149)=0,"",ROUND(AVERAGE(D149:F149),1))</f>
        <v/>
      </c>
      <c r="I149" s="18" t="str">
        <f aca="false">IF(H149="","",IF(J149&lt;설정!$B$7,"",ROUND(AVERAGEIFS($H$2:$H$1001,$B$2:$B$1001,B149,$A$2:$A$1001,"&lt;"&amp;A149,$A$2:$A$1001,"&gt;="&amp;(A149-설정!$B$6)),1)))</f>
        <v/>
      </c>
      <c r="J149" s="18" t="str">
        <f aca="false">IF(H149="","",COUNTIFS($B$2:$B$1001,B149,$A$2:$A$1001,"&lt;"&amp;A149,$A$2:$A$1001,"&gt;="&amp;(A149-설정!$B$6),$H$2:$H$1001,"&gt;=0"))</f>
        <v/>
      </c>
      <c r="K149" s="21" t="str">
        <f aca="false">IF(I149="","",H149/I149-1)</f>
        <v/>
      </c>
      <c r="L149" s="19" t="str">
        <f aca="false">IF(H149="","",IF(J149&lt;설정!$B$7,"baseline 수집 중",IF(K149&lt;=-설정!$B$8,"저하","정상")))</f>
        <v/>
      </c>
      <c r="M149" s="20"/>
    </row>
    <row r="150" customFormat="false" ht="15" hidden="false" customHeight="false" outlineLevel="0" collapsed="false">
      <c r="A150" s="16"/>
      <c r="B150" s="17"/>
      <c r="C150" s="17"/>
      <c r="D150" s="17"/>
      <c r="E150" s="17"/>
      <c r="F150" s="17"/>
      <c r="G150" s="18" t="str">
        <f aca="false">IF(COUNT(D150:F150)=0,"",MAX(D150:F150))</f>
        <v/>
      </c>
      <c r="H150" s="18" t="str">
        <f aca="false">IF(COUNT(D150:F150)=0,"",ROUND(AVERAGE(D150:F150),1))</f>
        <v/>
      </c>
      <c r="I150" s="18" t="str">
        <f aca="false">IF(H150="","",IF(J150&lt;설정!$B$7,"",ROUND(AVERAGEIFS($H$2:$H$1001,$B$2:$B$1001,B150,$A$2:$A$1001,"&lt;"&amp;A150,$A$2:$A$1001,"&gt;="&amp;(A150-설정!$B$6)),1)))</f>
        <v/>
      </c>
      <c r="J150" s="18" t="str">
        <f aca="false">IF(H150="","",COUNTIFS($B$2:$B$1001,B150,$A$2:$A$1001,"&lt;"&amp;A150,$A$2:$A$1001,"&gt;="&amp;(A150-설정!$B$6),$H$2:$H$1001,"&gt;=0"))</f>
        <v/>
      </c>
      <c r="K150" s="21" t="str">
        <f aca="false">IF(I150="","",H150/I150-1)</f>
        <v/>
      </c>
      <c r="L150" s="19" t="str">
        <f aca="false">IF(H150="","",IF(J150&lt;설정!$B$7,"baseline 수집 중",IF(K150&lt;=-설정!$B$8,"저하","정상")))</f>
        <v/>
      </c>
      <c r="M150" s="20"/>
    </row>
    <row r="151" customFormat="false" ht="15" hidden="false" customHeight="false" outlineLevel="0" collapsed="false">
      <c r="A151" s="16"/>
      <c r="B151" s="17"/>
      <c r="C151" s="17"/>
      <c r="D151" s="17"/>
      <c r="E151" s="17"/>
      <c r="F151" s="17"/>
      <c r="G151" s="18" t="str">
        <f aca="false">IF(COUNT(D151:F151)=0,"",MAX(D151:F151))</f>
        <v/>
      </c>
      <c r="H151" s="18" t="str">
        <f aca="false">IF(COUNT(D151:F151)=0,"",ROUND(AVERAGE(D151:F151),1))</f>
        <v/>
      </c>
      <c r="I151" s="18" t="str">
        <f aca="false">IF(H151="","",IF(J151&lt;설정!$B$7,"",ROUND(AVERAGEIFS($H$2:$H$1001,$B$2:$B$1001,B151,$A$2:$A$1001,"&lt;"&amp;A151,$A$2:$A$1001,"&gt;="&amp;(A151-설정!$B$6)),1)))</f>
        <v/>
      </c>
      <c r="J151" s="18" t="str">
        <f aca="false">IF(H151="","",COUNTIFS($B$2:$B$1001,B151,$A$2:$A$1001,"&lt;"&amp;A151,$A$2:$A$1001,"&gt;="&amp;(A151-설정!$B$6),$H$2:$H$1001,"&gt;=0"))</f>
        <v/>
      </c>
      <c r="K151" s="21" t="str">
        <f aca="false">IF(I151="","",H151/I151-1)</f>
        <v/>
      </c>
      <c r="L151" s="19" t="str">
        <f aca="false">IF(H151="","",IF(J151&lt;설정!$B$7,"baseline 수집 중",IF(K151&lt;=-설정!$B$8,"저하","정상")))</f>
        <v/>
      </c>
      <c r="M151" s="20"/>
    </row>
    <row r="152" customFormat="false" ht="15" hidden="false" customHeight="false" outlineLevel="0" collapsed="false">
      <c r="A152" s="16"/>
      <c r="B152" s="17"/>
      <c r="C152" s="17"/>
      <c r="D152" s="17"/>
      <c r="E152" s="17"/>
      <c r="F152" s="17"/>
      <c r="G152" s="18" t="str">
        <f aca="false">IF(COUNT(D152:F152)=0,"",MAX(D152:F152))</f>
        <v/>
      </c>
      <c r="H152" s="18" t="str">
        <f aca="false">IF(COUNT(D152:F152)=0,"",ROUND(AVERAGE(D152:F152),1))</f>
        <v/>
      </c>
      <c r="I152" s="18" t="str">
        <f aca="false">IF(H152="","",IF(J152&lt;설정!$B$7,"",ROUND(AVERAGEIFS($H$2:$H$1001,$B$2:$B$1001,B152,$A$2:$A$1001,"&lt;"&amp;A152,$A$2:$A$1001,"&gt;="&amp;(A152-설정!$B$6)),1)))</f>
        <v/>
      </c>
      <c r="J152" s="18" t="str">
        <f aca="false">IF(H152="","",COUNTIFS($B$2:$B$1001,B152,$A$2:$A$1001,"&lt;"&amp;A152,$A$2:$A$1001,"&gt;="&amp;(A152-설정!$B$6),$H$2:$H$1001,"&gt;=0"))</f>
        <v/>
      </c>
      <c r="K152" s="21" t="str">
        <f aca="false">IF(I152="","",H152/I152-1)</f>
        <v/>
      </c>
      <c r="L152" s="19" t="str">
        <f aca="false">IF(H152="","",IF(J152&lt;설정!$B$7,"baseline 수집 중",IF(K152&lt;=-설정!$B$8,"저하","정상")))</f>
        <v/>
      </c>
      <c r="M152" s="20"/>
    </row>
    <row r="153" customFormat="false" ht="15" hidden="false" customHeight="false" outlineLevel="0" collapsed="false">
      <c r="A153" s="16"/>
      <c r="B153" s="17"/>
      <c r="C153" s="17"/>
      <c r="D153" s="17"/>
      <c r="E153" s="17"/>
      <c r="F153" s="17"/>
      <c r="G153" s="18" t="str">
        <f aca="false">IF(COUNT(D153:F153)=0,"",MAX(D153:F153))</f>
        <v/>
      </c>
      <c r="H153" s="18" t="str">
        <f aca="false">IF(COUNT(D153:F153)=0,"",ROUND(AVERAGE(D153:F153),1))</f>
        <v/>
      </c>
      <c r="I153" s="18" t="str">
        <f aca="false">IF(H153="","",IF(J153&lt;설정!$B$7,"",ROUND(AVERAGEIFS($H$2:$H$1001,$B$2:$B$1001,B153,$A$2:$A$1001,"&lt;"&amp;A153,$A$2:$A$1001,"&gt;="&amp;(A153-설정!$B$6)),1)))</f>
        <v/>
      </c>
      <c r="J153" s="18" t="str">
        <f aca="false">IF(H153="","",COUNTIFS($B$2:$B$1001,B153,$A$2:$A$1001,"&lt;"&amp;A153,$A$2:$A$1001,"&gt;="&amp;(A153-설정!$B$6),$H$2:$H$1001,"&gt;=0"))</f>
        <v/>
      </c>
      <c r="K153" s="21" t="str">
        <f aca="false">IF(I153="","",H153/I153-1)</f>
        <v/>
      </c>
      <c r="L153" s="19" t="str">
        <f aca="false">IF(H153="","",IF(J153&lt;설정!$B$7,"baseline 수집 중",IF(K153&lt;=-설정!$B$8,"저하","정상")))</f>
        <v/>
      </c>
      <c r="M153" s="20"/>
    </row>
    <row r="154" customFormat="false" ht="15" hidden="false" customHeight="false" outlineLevel="0" collapsed="false">
      <c r="A154" s="16"/>
      <c r="B154" s="17"/>
      <c r="C154" s="17"/>
      <c r="D154" s="17"/>
      <c r="E154" s="17"/>
      <c r="F154" s="17"/>
      <c r="G154" s="18" t="str">
        <f aca="false">IF(COUNT(D154:F154)=0,"",MAX(D154:F154))</f>
        <v/>
      </c>
      <c r="H154" s="18" t="str">
        <f aca="false">IF(COUNT(D154:F154)=0,"",ROUND(AVERAGE(D154:F154),1))</f>
        <v/>
      </c>
      <c r="I154" s="18" t="str">
        <f aca="false">IF(H154="","",IF(J154&lt;설정!$B$7,"",ROUND(AVERAGEIFS($H$2:$H$1001,$B$2:$B$1001,B154,$A$2:$A$1001,"&lt;"&amp;A154,$A$2:$A$1001,"&gt;="&amp;(A154-설정!$B$6)),1)))</f>
        <v/>
      </c>
      <c r="J154" s="18" t="str">
        <f aca="false">IF(H154="","",COUNTIFS($B$2:$B$1001,B154,$A$2:$A$1001,"&lt;"&amp;A154,$A$2:$A$1001,"&gt;="&amp;(A154-설정!$B$6),$H$2:$H$1001,"&gt;=0"))</f>
        <v/>
      </c>
      <c r="K154" s="21" t="str">
        <f aca="false">IF(I154="","",H154/I154-1)</f>
        <v/>
      </c>
      <c r="L154" s="19" t="str">
        <f aca="false">IF(H154="","",IF(J154&lt;설정!$B$7,"baseline 수집 중",IF(K154&lt;=-설정!$B$8,"저하","정상")))</f>
        <v/>
      </c>
      <c r="M154" s="20"/>
    </row>
    <row r="155" customFormat="false" ht="15" hidden="false" customHeight="false" outlineLevel="0" collapsed="false">
      <c r="A155" s="16"/>
      <c r="B155" s="17"/>
      <c r="C155" s="17"/>
      <c r="D155" s="17"/>
      <c r="E155" s="17"/>
      <c r="F155" s="17"/>
      <c r="G155" s="18" t="str">
        <f aca="false">IF(COUNT(D155:F155)=0,"",MAX(D155:F155))</f>
        <v/>
      </c>
      <c r="H155" s="18" t="str">
        <f aca="false">IF(COUNT(D155:F155)=0,"",ROUND(AVERAGE(D155:F155),1))</f>
        <v/>
      </c>
      <c r="I155" s="18" t="str">
        <f aca="false">IF(H155="","",IF(J155&lt;설정!$B$7,"",ROUND(AVERAGEIFS($H$2:$H$1001,$B$2:$B$1001,B155,$A$2:$A$1001,"&lt;"&amp;A155,$A$2:$A$1001,"&gt;="&amp;(A155-설정!$B$6)),1)))</f>
        <v/>
      </c>
      <c r="J155" s="18" t="str">
        <f aca="false">IF(H155="","",COUNTIFS($B$2:$B$1001,B155,$A$2:$A$1001,"&lt;"&amp;A155,$A$2:$A$1001,"&gt;="&amp;(A155-설정!$B$6),$H$2:$H$1001,"&gt;=0"))</f>
        <v/>
      </c>
      <c r="K155" s="21" t="str">
        <f aca="false">IF(I155="","",H155/I155-1)</f>
        <v/>
      </c>
      <c r="L155" s="19" t="str">
        <f aca="false">IF(H155="","",IF(J155&lt;설정!$B$7,"baseline 수집 중",IF(K155&lt;=-설정!$B$8,"저하","정상")))</f>
        <v/>
      </c>
      <c r="M155" s="20"/>
    </row>
    <row r="156" customFormat="false" ht="15" hidden="false" customHeight="false" outlineLevel="0" collapsed="false">
      <c r="A156" s="16"/>
      <c r="B156" s="17"/>
      <c r="C156" s="17"/>
      <c r="D156" s="17"/>
      <c r="E156" s="17"/>
      <c r="F156" s="17"/>
      <c r="G156" s="18" t="str">
        <f aca="false">IF(COUNT(D156:F156)=0,"",MAX(D156:F156))</f>
        <v/>
      </c>
      <c r="H156" s="18" t="str">
        <f aca="false">IF(COUNT(D156:F156)=0,"",ROUND(AVERAGE(D156:F156),1))</f>
        <v/>
      </c>
      <c r="I156" s="18" t="str">
        <f aca="false">IF(H156="","",IF(J156&lt;설정!$B$7,"",ROUND(AVERAGEIFS($H$2:$H$1001,$B$2:$B$1001,B156,$A$2:$A$1001,"&lt;"&amp;A156,$A$2:$A$1001,"&gt;="&amp;(A156-설정!$B$6)),1)))</f>
        <v/>
      </c>
      <c r="J156" s="18" t="str">
        <f aca="false">IF(H156="","",COUNTIFS($B$2:$B$1001,B156,$A$2:$A$1001,"&lt;"&amp;A156,$A$2:$A$1001,"&gt;="&amp;(A156-설정!$B$6),$H$2:$H$1001,"&gt;=0"))</f>
        <v/>
      </c>
      <c r="K156" s="21" t="str">
        <f aca="false">IF(I156="","",H156/I156-1)</f>
        <v/>
      </c>
      <c r="L156" s="19" t="str">
        <f aca="false">IF(H156="","",IF(J156&lt;설정!$B$7,"baseline 수집 중",IF(K156&lt;=-설정!$B$8,"저하","정상")))</f>
        <v/>
      </c>
      <c r="M156" s="20"/>
    </row>
    <row r="157" customFormat="false" ht="15" hidden="false" customHeight="false" outlineLevel="0" collapsed="false">
      <c r="A157" s="16"/>
      <c r="B157" s="17"/>
      <c r="C157" s="17"/>
      <c r="D157" s="17"/>
      <c r="E157" s="17"/>
      <c r="F157" s="17"/>
      <c r="G157" s="18" t="str">
        <f aca="false">IF(COUNT(D157:F157)=0,"",MAX(D157:F157))</f>
        <v/>
      </c>
      <c r="H157" s="18" t="str">
        <f aca="false">IF(COUNT(D157:F157)=0,"",ROUND(AVERAGE(D157:F157),1))</f>
        <v/>
      </c>
      <c r="I157" s="18" t="str">
        <f aca="false">IF(H157="","",IF(J157&lt;설정!$B$7,"",ROUND(AVERAGEIFS($H$2:$H$1001,$B$2:$B$1001,B157,$A$2:$A$1001,"&lt;"&amp;A157,$A$2:$A$1001,"&gt;="&amp;(A157-설정!$B$6)),1)))</f>
        <v/>
      </c>
      <c r="J157" s="18" t="str">
        <f aca="false">IF(H157="","",COUNTIFS($B$2:$B$1001,B157,$A$2:$A$1001,"&lt;"&amp;A157,$A$2:$A$1001,"&gt;="&amp;(A157-설정!$B$6),$H$2:$H$1001,"&gt;=0"))</f>
        <v/>
      </c>
      <c r="K157" s="21" t="str">
        <f aca="false">IF(I157="","",H157/I157-1)</f>
        <v/>
      </c>
      <c r="L157" s="19" t="str">
        <f aca="false">IF(H157="","",IF(J157&lt;설정!$B$7,"baseline 수집 중",IF(K157&lt;=-설정!$B$8,"저하","정상")))</f>
        <v/>
      </c>
      <c r="M157" s="20"/>
    </row>
    <row r="158" customFormat="false" ht="15" hidden="false" customHeight="false" outlineLevel="0" collapsed="false">
      <c r="A158" s="16"/>
      <c r="B158" s="17"/>
      <c r="C158" s="17"/>
      <c r="D158" s="17"/>
      <c r="E158" s="17"/>
      <c r="F158" s="17"/>
      <c r="G158" s="18" t="str">
        <f aca="false">IF(COUNT(D158:F158)=0,"",MAX(D158:F158))</f>
        <v/>
      </c>
      <c r="H158" s="18" t="str">
        <f aca="false">IF(COUNT(D158:F158)=0,"",ROUND(AVERAGE(D158:F158),1))</f>
        <v/>
      </c>
      <c r="I158" s="18" t="str">
        <f aca="false">IF(H158="","",IF(J158&lt;설정!$B$7,"",ROUND(AVERAGEIFS($H$2:$H$1001,$B$2:$B$1001,B158,$A$2:$A$1001,"&lt;"&amp;A158,$A$2:$A$1001,"&gt;="&amp;(A158-설정!$B$6)),1)))</f>
        <v/>
      </c>
      <c r="J158" s="18" t="str">
        <f aca="false">IF(H158="","",COUNTIFS($B$2:$B$1001,B158,$A$2:$A$1001,"&lt;"&amp;A158,$A$2:$A$1001,"&gt;="&amp;(A158-설정!$B$6),$H$2:$H$1001,"&gt;=0"))</f>
        <v/>
      </c>
      <c r="K158" s="21" t="str">
        <f aca="false">IF(I158="","",H158/I158-1)</f>
        <v/>
      </c>
      <c r="L158" s="19" t="str">
        <f aca="false">IF(H158="","",IF(J158&lt;설정!$B$7,"baseline 수집 중",IF(K158&lt;=-설정!$B$8,"저하","정상")))</f>
        <v/>
      </c>
      <c r="M158" s="20"/>
    </row>
    <row r="159" customFormat="false" ht="15" hidden="false" customHeight="false" outlineLevel="0" collapsed="false">
      <c r="A159" s="16"/>
      <c r="B159" s="17"/>
      <c r="C159" s="17"/>
      <c r="D159" s="17"/>
      <c r="E159" s="17"/>
      <c r="F159" s="17"/>
      <c r="G159" s="18" t="str">
        <f aca="false">IF(COUNT(D159:F159)=0,"",MAX(D159:F159))</f>
        <v/>
      </c>
      <c r="H159" s="18" t="str">
        <f aca="false">IF(COUNT(D159:F159)=0,"",ROUND(AVERAGE(D159:F159),1))</f>
        <v/>
      </c>
      <c r="I159" s="18" t="str">
        <f aca="false">IF(H159="","",IF(J159&lt;설정!$B$7,"",ROUND(AVERAGEIFS($H$2:$H$1001,$B$2:$B$1001,B159,$A$2:$A$1001,"&lt;"&amp;A159,$A$2:$A$1001,"&gt;="&amp;(A159-설정!$B$6)),1)))</f>
        <v/>
      </c>
      <c r="J159" s="18" t="str">
        <f aca="false">IF(H159="","",COUNTIFS($B$2:$B$1001,B159,$A$2:$A$1001,"&lt;"&amp;A159,$A$2:$A$1001,"&gt;="&amp;(A159-설정!$B$6),$H$2:$H$1001,"&gt;=0"))</f>
        <v/>
      </c>
      <c r="K159" s="21" t="str">
        <f aca="false">IF(I159="","",H159/I159-1)</f>
        <v/>
      </c>
      <c r="L159" s="19" t="str">
        <f aca="false">IF(H159="","",IF(J159&lt;설정!$B$7,"baseline 수집 중",IF(K159&lt;=-설정!$B$8,"저하","정상")))</f>
        <v/>
      </c>
      <c r="M159" s="20"/>
    </row>
    <row r="160" customFormat="false" ht="15" hidden="false" customHeight="false" outlineLevel="0" collapsed="false">
      <c r="A160" s="16"/>
      <c r="B160" s="17"/>
      <c r="C160" s="17"/>
      <c r="D160" s="17"/>
      <c r="E160" s="17"/>
      <c r="F160" s="17"/>
      <c r="G160" s="18" t="str">
        <f aca="false">IF(COUNT(D160:F160)=0,"",MAX(D160:F160))</f>
        <v/>
      </c>
      <c r="H160" s="18" t="str">
        <f aca="false">IF(COUNT(D160:F160)=0,"",ROUND(AVERAGE(D160:F160),1))</f>
        <v/>
      </c>
      <c r="I160" s="18" t="str">
        <f aca="false">IF(H160="","",IF(J160&lt;설정!$B$7,"",ROUND(AVERAGEIFS($H$2:$H$1001,$B$2:$B$1001,B160,$A$2:$A$1001,"&lt;"&amp;A160,$A$2:$A$1001,"&gt;="&amp;(A160-설정!$B$6)),1)))</f>
        <v/>
      </c>
      <c r="J160" s="18" t="str">
        <f aca="false">IF(H160="","",COUNTIFS($B$2:$B$1001,B160,$A$2:$A$1001,"&lt;"&amp;A160,$A$2:$A$1001,"&gt;="&amp;(A160-설정!$B$6),$H$2:$H$1001,"&gt;=0"))</f>
        <v/>
      </c>
      <c r="K160" s="21" t="str">
        <f aca="false">IF(I160="","",H160/I160-1)</f>
        <v/>
      </c>
      <c r="L160" s="19" t="str">
        <f aca="false">IF(H160="","",IF(J160&lt;설정!$B$7,"baseline 수집 중",IF(K160&lt;=-설정!$B$8,"저하","정상")))</f>
        <v/>
      </c>
      <c r="M160" s="20"/>
    </row>
    <row r="161" customFormat="false" ht="15" hidden="false" customHeight="false" outlineLevel="0" collapsed="false">
      <c r="A161" s="16"/>
      <c r="B161" s="17"/>
      <c r="C161" s="17"/>
      <c r="D161" s="17"/>
      <c r="E161" s="17"/>
      <c r="F161" s="17"/>
      <c r="G161" s="18" t="str">
        <f aca="false">IF(COUNT(D161:F161)=0,"",MAX(D161:F161))</f>
        <v/>
      </c>
      <c r="H161" s="18" t="str">
        <f aca="false">IF(COUNT(D161:F161)=0,"",ROUND(AVERAGE(D161:F161),1))</f>
        <v/>
      </c>
      <c r="I161" s="18" t="str">
        <f aca="false">IF(H161="","",IF(J161&lt;설정!$B$7,"",ROUND(AVERAGEIFS($H$2:$H$1001,$B$2:$B$1001,B161,$A$2:$A$1001,"&lt;"&amp;A161,$A$2:$A$1001,"&gt;="&amp;(A161-설정!$B$6)),1)))</f>
        <v/>
      </c>
      <c r="J161" s="18" t="str">
        <f aca="false">IF(H161="","",COUNTIFS($B$2:$B$1001,B161,$A$2:$A$1001,"&lt;"&amp;A161,$A$2:$A$1001,"&gt;="&amp;(A161-설정!$B$6),$H$2:$H$1001,"&gt;=0"))</f>
        <v/>
      </c>
      <c r="K161" s="21" t="str">
        <f aca="false">IF(I161="","",H161/I161-1)</f>
        <v/>
      </c>
      <c r="L161" s="19" t="str">
        <f aca="false">IF(H161="","",IF(J161&lt;설정!$B$7,"baseline 수집 중",IF(K161&lt;=-설정!$B$8,"저하","정상")))</f>
        <v/>
      </c>
      <c r="M161" s="20"/>
    </row>
    <row r="162" customFormat="false" ht="15" hidden="false" customHeight="false" outlineLevel="0" collapsed="false">
      <c r="A162" s="16"/>
      <c r="B162" s="17"/>
      <c r="C162" s="17"/>
      <c r="D162" s="17"/>
      <c r="E162" s="17"/>
      <c r="F162" s="17"/>
      <c r="G162" s="18" t="str">
        <f aca="false">IF(COUNT(D162:F162)=0,"",MAX(D162:F162))</f>
        <v/>
      </c>
      <c r="H162" s="18" t="str">
        <f aca="false">IF(COUNT(D162:F162)=0,"",ROUND(AVERAGE(D162:F162),1))</f>
        <v/>
      </c>
      <c r="I162" s="18" t="str">
        <f aca="false">IF(H162="","",IF(J162&lt;설정!$B$7,"",ROUND(AVERAGEIFS($H$2:$H$1001,$B$2:$B$1001,B162,$A$2:$A$1001,"&lt;"&amp;A162,$A$2:$A$1001,"&gt;="&amp;(A162-설정!$B$6)),1)))</f>
        <v/>
      </c>
      <c r="J162" s="18" t="str">
        <f aca="false">IF(H162="","",COUNTIFS($B$2:$B$1001,B162,$A$2:$A$1001,"&lt;"&amp;A162,$A$2:$A$1001,"&gt;="&amp;(A162-설정!$B$6),$H$2:$H$1001,"&gt;=0"))</f>
        <v/>
      </c>
      <c r="K162" s="21" t="str">
        <f aca="false">IF(I162="","",H162/I162-1)</f>
        <v/>
      </c>
      <c r="L162" s="19" t="str">
        <f aca="false">IF(H162="","",IF(J162&lt;설정!$B$7,"baseline 수집 중",IF(K162&lt;=-설정!$B$8,"저하","정상")))</f>
        <v/>
      </c>
      <c r="M162" s="20"/>
    </row>
    <row r="163" customFormat="false" ht="15" hidden="false" customHeight="false" outlineLevel="0" collapsed="false">
      <c r="A163" s="16"/>
      <c r="B163" s="17"/>
      <c r="C163" s="17"/>
      <c r="D163" s="17"/>
      <c r="E163" s="17"/>
      <c r="F163" s="17"/>
      <c r="G163" s="18" t="str">
        <f aca="false">IF(COUNT(D163:F163)=0,"",MAX(D163:F163))</f>
        <v/>
      </c>
      <c r="H163" s="18" t="str">
        <f aca="false">IF(COUNT(D163:F163)=0,"",ROUND(AVERAGE(D163:F163),1))</f>
        <v/>
      </c>
      <c r="I163" s="18" t="str">
        <f aca="false">IF(H163="","",IF(J163&lt;설정!$B$7,"",ROUND(AVERAGEIFS($H$2:$H$1001,$B$2:$B$1001,B163,$A$2:$A$1001,"&lt;"&amp;A163,$A$2:$A$1001,"&gt;="&amp;(A163-설정!$B$6)),1)))</f>
        <v/>
      </c>
      <c r="J163" s="18" t="str">
        <f aca="false">IF(H163="","",COUNTIFS($B$2:$B$1001,B163,$A$2:$A$1001,"&lt;"&amp;A163,$A$2:$A$1001,"&gt;="&amp;(A163-설정!$B$6),$H$2:$H$1001,"&gt;=0"))</f>
        <v/>
      </c>
      <c r="K163" s="21" t="str">
        <f aca="false">IF(I163="","",H163/I163-1)</f>
        <v/>
      </c>
      <c r="L163" s="19" t="str">
        <f aca="false">IF(H163="","",IF(J163&lt;설정!$B$7,"baseline 수집 중",IF(K163&lt;=-설정!$B$8,"저하","정상")))</f>
        <v/>
      </c>
      <c r="M163" s="20"/>
    </row>
    <row r="164" customFormat="false" ht="15" hidden="false" customHeight="false" outlineLevel="0" collapsed="false">
      <c r="A164" s="16"/>
      <c r="B164" s="17"/>
      <c r="C164" s="17"/>
      <c r="D164" s="17"/>
      <c r="E164" s="17"/>
      <c r="F164" s="17"/>
      <c r="G164" s="18" t="str">
        <f aca="false">IF(COUNT(D164:F164)=0,"",MAX(D164:F164))</f>
        <v/>
      </c>
      <c r="H164" s="18" t="str">
        <f aca="false">IF(COUNT(D164:F164)=0,"",ROUND(AVERAGE(D164:F164),1))</f>
        <v/>
      </c>
      <c r="I164" s="18" t="str">
        <f aca="false">IF(H164="","",IF(J164&lt;설정!$B$7,"",ROUND(AVERAGEIFS($H$2:$H$1001,$B$2:$B$1001,B164,$A$2:$A$1001,"&lt;"&amp;A164,$A$2:$A$1001,"&gt;="&amp;(A164-설정!$B$6)),1)))</f>
        <v/>
      </c>
      <c r="J164" s="18" t="str">
        <f aca="false">IF(H164="","",COUNTIFS($B$2:$B$1001,B164,$A$2:$A$1001,"&lt;"&amp;A164,$A$2:$A$1001,"&gt;="&amp;(A164-설정!$B$6),$H$2:$H$1001,"&gt;=0"))</f>
        <v/>
      </c>
      <c r="K164" s="21" t="str">
        <f aca="false">IF(I164="","",H164/I164-1)</f>
        <v/>
      </c>
      <c r="L164" s="19" t="str">
        <f aca="false">IF(H164="","",IF(J164&lt;설정!$B$7,"baseline 수집 중",IF(K164&lt;=-설정!$B$8,"저하","정상")))</f>
        <v/>
      </c>
      <c r="M164" s="20"/>
    </row>
    <row r="165" customFormat="false" ht="15" hidden="false" customHeight="false" outlineLevel="0" collapsed="false">
      <c r="A165" s="16"/>
      <c r="B165" s="17"/>
      <c r="C165" s="17"/>
      <c r="D165" s="17"/>
      <c r="E165" s="17"/>
      <c r="F165" s="17"/>
      <c r="G165" s="18" t="str">
        <f aca="false">IF(COUNT(D165:F165)=0,"",MAX(D165:F165))</f>
        <v/>
      </c>
      <c r="H165" s="18" t="str">
        <f aca="false">IF(COUNT(D165:F165)=0,"",ROUND(AVERAGE(D165:F165),1))</f>
        <v/>
      </c>
      <c r="I165" s="18" t="str">
        <f aca="false">IF(H165="","",IF(J165&lt;설정!$B$7,"",ROUND(AVERAGEIFS($H$2:$H$1001,$B$2:$B$1001,B165,$A$2:$A$1001,"&lt;"&amp;A165,$A$2:$A$1001,"&gt;="&amp;(A165-설정!$B$6)),1)))</f>
        <v/>
      </c>
      <c r="J165" s="18" t="str">
        <f aca="false">IF(H165="","",COUNTIFS($B$2:$B$1001,B165,$A$2:$A$1001,"&lt;"&amp;A165,$A$2:$A$1001,"&gt;="&amp;(A165-설정!$B$6),$H$2:$H$1001,"&gt;=0"))</f>
        <v/>
      </c>
      <c r="K165" s="21" t="str">
        <f aca="false">IF(I165="","",H165/I165-1)</f>
        <v/>
      </c>
      <c r="L165" s="19" t="str">
        <f aca="false">IF(H165="","",IF(J165&lt;설정!$B$7,"baseline 수집 중",IF(K165&lt;=-설정!$B$8,"저하","정상")))</f>
        <v/>
      </c>
      <c r="M165" s="20"/>
    </row>
    <row r="166" customFormat="false" ht="15" hidden="false" customHeight="false" outlineLevel="0" collapsed="false">
      <c r="A166" s="16"/>
      <c r="B166" s="17"/>
      <c r="C166" s="17"/>
      <c r="D166" s="17"/>
      <c r="E166" s="17"/>
      <c r="F166" s="17"/>
      <c r="G166" s="18" t="str">
        <f aca="false">IF(COUNT(D166:F166)=0,"",MAX(D166:F166))</f>
        <v/>
      </c>
      <c r="H166" s="18" t="str">
        <f aca="false">IF(COUNT(D166:F166)=0,"",ROUND(AVERAGE(D166:F166),1))</f>
        <v/>
      </c>
      <c r="I166" s="18" t="str">
        <f aca="false">IF(H166="","",IF(J166&lt;설정!$B$7,"",ROUND(AVERAGEIFS($H$2:$H$1001,$B$2:$B$1001,B166,$A$2:$A$1001,"&lt;"&amp;A166,$A$2:$A$1001,"&gt;="&amp;(A166-설정!$B$6)),1)))</f>
        <v/>
      </c>
      <c r="J166" s="18" t="str">
        <f aca="false">IF(H166="","",COUNTIFS($B$2:$B$1001,B166,$A$2:$A$1001,"&lt;"&amp;A166,$A$2:$A$1001,"&gt;="&amp;(A166-설정!$B$6),$H$2:$H$1001,"&gt;=0"))</f>
        <v/>
      </c>
      <c r="K166" s="21" t="str">
        <f aca="false">IF(I166="","",H166/I166-1)</f>
        <v/>
      </c>
      <c r="L166" s="19" t="str">
        <f aca="false">IF(H166="","",IF(J166&lt;설정!$B$7,"baseline 수집 중",IF(K166&lt;=-설정!$B$8,"저하","정상")))</f>
        <v/>
      </c>
      <c r="M166" s="20"/>
    </row>
    <row r="167" customFormat="false" ht="15" hidden="false" customHeight="false" outlineLevel="0" collapsed="false">
      <c r="A167" s="16"/>
      <c r="B167" s="17"/>
      <c r="C167" s="17"/>
      <c r="D167" s="17"/>
      <c r="E167" s="17"/>
      <c r="F167" s="17"/>
      <c r="G167" s="18" t="str">
        <f aca="false">IF(COUNT(D167:F167)=0,"",MAX(D167:F167))</f>
        <v/>
      </c>
      <c r="H167" s="18" t="str">
        <f aca="false">IF(COUNT(D167:F167)=0,"",ROUND(AVERAGE(D167:F167),1))</f>
        <v/>
      </c>
      <c r="I167" s="18" t="str">
        <f aca="false">IF(H167="","",IF(J167&lt;설정!$B$7,"",ROUND(AVERAGEIFS($H$2:$H$1001,$B$2:$B$1001,B167,$A$2:$A$1001,"&lt;"&amp;A167,$A$2:$A$1001,"&gt;="&amp;(A167-설정!$B$6)),1)))</f>
        <v/>
      </c>
      <c r="J167" s="18" t="str">
        <f aca="false">IF(H167="","",COUNTIFS($B$2:$B$1001,B167,$A$2:$A$1001,"&lt;"&amp;A167,$A$2:$A$1001,"&gt;="&amp;(A167-설정!$B$6),$H$2:$H$1001,"&gt;=0"))</f>
        <v/>
      </c>
      <c r="K167" s="21" t="str">
        <f aca="false">IF(I167="","",H167/I167-1)</f>
        <v/>
      </c>
      <c r="L167" s="19" t="str">
        <f aca="false">IF(H167="","",IF(J167&lt;설정!$B$7,"baseline 수집 중",IF(K167&lt;=-설정!$B$8,"저하","정상")))</f>
        <v/>
      </c>
      <c r="M167" s="20"/>
    </row>
    <row r="168" customFormat="false" ht="15" hidden="false" customHeight="false" outlineLevel="0" collapsed="false">
      <c r="A168" s="16"/>
      <c r="B168" s="17"/>
      <c r="C168" s="17"/>
      <c r="D168" s="17"/>
      <c r="E168" s="17"/>
      <c r="F168" s="17"/>
      <c r="G168" s="18" t="str">
        <f aca="false">IF(COUNT(D168:F168)=0,"",MAX(D168:F168))</f>
        <v/>
      </c>
      <c r="H168" s="18" t="str">
        <f aca="false">IF(COUNT(D168:F168)=0,"",ROUND(AVERAGE(D168:F168),1))</f>
        <v/>
      </c>
      <c r="I168" s="18" t="str">
        <f aca="false">IF(H168="","",IF(J168&lt;설정!$B$7,"",ROUND(AVERAGEIFS($H$2:$H$1001,$B$2:$B$1001,B168,$A$2:$A$1001,"&lt;"&amp;A168,$A$2:$A$1001,"&gt;="&amp;(A168-설정!$B$6)),1)))</f>
        <v/>
      </c>
      <c r="J168" s="18" t="str">
        <f aca="false">IF(H168="","",COUNTIFS($B$2:$B$1001,B168,$A$2:$A$1001,"&lt;"&amp;A168,$A$2:$A$1001,"&gt;="&amp;(A168-설정!$B$6),$H$2:$H$1001,"&gt;=0"))</f>
        <v/>
      </c>
      <c r="K168" s="21" t="str">
        <f aca="false">IF(I168="","",H168/I168-1)</f>
        <v/>
      </c>
      <c r="L168" s="19" t="str">
        <f aca="false">IF(H168="","",IF(J168&lt;설정!$B$7,"baseline 수집 중",IF(K168&lt;=-설정!$B$8,"저하","정상")))</f>
        <v/>
      </c>
      <c r="M168" s="20"/>
    </row>
    <row r="169" customFormat="false" ht="15" hidden="false" customHeight="false" outlineLevel="0" collapsed="false">
      <c r="A169" s="16"/>
      <c r="B169" s="17"/>
      <c r="C169" s="17"/>
      <c r="D169" s="17"/>
      <c r="E169" s="17"/>
      <c r="F169" s="17"/>
      <c r="G169" s="18" t="str">
        <f aca="false">IF(COUNT(D169:F169)=0,"",MAX(D169:F169))</f>
        <v/>
      </c>
      <c r="H169" s="18" t="str">
        <f aca="false">IF(COUNT(D169:F169)=0,"",ROUND(AVERAGE(D169:F169),1))</f>
        <v/>
      </c>
      <c r="I169" s="18" t="str">
        <f aca="false">IF(H169="","",IF(J169&lt;설정!$B$7,"",ROUND(AVERAGEIFS($H$2:$H$1001,$B$2:$B$1001,B169,$A$2:$A$1001,"&lt;"&amp;A169,$A$2:$A$1001,"&gt;="&amp;(A169-설정!$B$6)),1)))</f>
        <v/>
      </c>
      <c r="J169" s="18" t="str">
        <f aca="false">IF(H169="","",COUNTIFS($B$2:$B$1001,B169,$A$2:$A$1001,"&lt;"&amp;A169,$A$2:$A$1001,"&gt;="&amp;(A169-설정!$B$6),$H$2:$H$1001,"&gt;=0"))</f>
        <v/>
      </c>
      <c r="K169" s="21" t="str">
        <f aca="false">IF(I169="","",H169/I169-1)</f>
        <v/>
      </c>
      <c r="L169" s="19" t="str">
        <f aca="false">IF(H169="","",IF(J169&lt;설정!$B$7,"baseline 수집 중",IF(K169&lt;=-설정!$B$8,"저하","정상")))</f>
        <v/>
      </c>
      <c r="M169" s="20"/>
    </row>
    <row r="170" customFormat="false" ht="15" hidden="false" customHeight="false" outlineLevel="0" collapsed="false">
      <c r="A170" s="16"/>
      <c r="B170" s="17"/>
      <c r="C170" s="17"/>
      <c r="D170" s="17"/>
      <c r="E170" s="17"/>
      <c r="F170" s="17"/>
      <c r="G170" s="18" t="str">
        <f aca="false">IF(COUNT(D170:F170)=0,"",MAX(D170:F170))</f>
        <v/>
      </c>
      <c r="H170" s="18" t="str">
        <f aca="false">IF(COUNT(D170:F170)=0,"",ROUND(AVERAGE(D170:F170),1))</f>
        <v/>
      </c>
      <c r="I170" s="18" t="str">
        <f aca="false">IF(H170="","",IF(J170&lt;설정!$B$7,"",ROUND(AVERAGEIFS($H$2:$H$1001,$B$2:$B$1001,B170,$A$2:$A$1001,"&lt;"&amp;A170,$A$2:$A$1001,"&gt;="&amp;(A170-설정!$B$6)),1)))</f>
        <v/>
      </c>
      <c r="J170" s="18" t="str">
        <f aca="false">IF(H170="","",COUNTIFS($B$2:$B$1001,B170,$A$2:$A$1001,"&lt;"&amp;A170,$A$2:$A$1001,"&gt;="&amp;(A170-설정!$B$6),$H$2:$H$1001,"&gt;=0"))</f>
        <v/>
      </c>
      <c r="K170" s="21" t="str">
        <f aca="false">IF(I170="","",H170/I170-1)</f>
        <v/>
      </c>
      <c r="L170" s="19" t="str">
        <f aca="false">IF(H170="","",IF(J170&lt;설정!$B$7,"baseline 수집 중",IF(K170&lt;=-설정!$B$8,"저하","정상")))</f>
        <v/>
      </c>
      <c r="M170" s="20"/>
    </row>
    <row r="171" customFormat="false" ht="15" hidden="false" customHeight="false" outlineLevel="0" collapsed="false">
      <c r="A171" s="16"/>
      <c r="B171" s="17"/>
      <c r="C171" s="17"/>
      <c r="D171" s="17"/>
      <c r="E171" s="17"/>
      <c r="F171" s="17"/>
      <c r="G171" s="18" t="str">
        <f aca="false">IF(COUNT(D171:F171)=0,"",MAX(D171:F171))</f>
        <v/>
      </c>
      <c r="H171" s="18" t="str">
        <f aca="false">IF(COUNT(D171:F171)=0,"",ROUND(AVERAGE(D171:F171),1))</f>
        <v/>
      </c>
      <c r="I171" s="18" t="str">
        <f aca="false">IF(H171="","",IF(J171&lt;설정!$B$7,"",ROUND(AVERAGEIFS($H$2:$H$1001,$B$2:$B$1001,B171,$A$2:$A$1001,"&lt;"&amp;A171,$A$2:$A$1001,"&gt;="&amp;(A171-설정!$B$6)),1)))</f>
        <v/>
      </c>
      <c r="J171" s="18" t="str">
        <f aca="false">IF(H171="","",COUNTIFS($B$2:$B$1001,B171,$A$2:$A$1001,"&lt;"&amp;A171,$A$2:$A$1001,"&gt;="&amp;(A171-설정!$B$6),$H$2:$H$1001,"&gt;=0"))</f>
        <v/>
      </c>
      <c r="K171" s="21" t="str">
        <f aca="false">IF(I171="","",H171/I171-1)</f>
        <v/>
      </c>
      <c r="L171" s="19" t="str">
        <f aca="false">IF(H171="","",IF(J171&lt;설정!$B$7,"baseline 수집 중",IF(K171&lt;=-설정!$B$8,"저하","정상")))</f>
        <v/>
      </c>
      <c r="M171" s="20"/>
    </row>
    <row r="172" customFormat="false" ht="15" hidden="false" customHeight="false" outlineLevel="0" collapsed="false">
      <c r="A172" s="16"/>
      <c r="B172" s="17"/>
      <c r="C172" s="17"/>
      <c r="D172" s="17"/>
      <c r="E172" s="17"/>
      <c r="F172" s="17"/>
      <c r="G172" s="18" t="str">
        <f aca="false">IF(COUNT(D172:F172)=0,"",MAX(D172:F172))</f>
        <v/>
      </c>
      <c r="H172" s="18" t="str">
        <f aca="false">IF(COUNT(D172:F172)=0,"",ROUND(AVERAGE(D172:F172),1))</f>
        <v/>
      </c>
      <c r="I172" s="18" t="str">
        <f aca="false">IF(H172="","",IF(J172&lt;설정!$B$7,"",ROUND(AVERAGEIFS($H$2:$H$1001,$B$2:$B$1001,B172,$A$2:$A$1001,"&lt;"&amp;A172,$A$2:$A$1001,"&gt;="&amp;(A172-설정!$B$6)),1)))</f>
        <v/>
      </c>
      <c r="J172" s="18" t="str">
        <f aca="false">IF(H172="","",COUNTIFS($B$2:$B$1001,B172,$A$2:$A$1001,"&lt;"&amp;A172,$A$2:$A$1001,"&gt;="&amp;(A172-설정!$B$6),$H$2:$H$1001,"&gt;=0"))</f>
        <v/>
      </c>
      <c r="K172" s="21" t="str">
        <f aca="false">IF(I172="","",H172/I172-1)</f>
        <v/>
      </c>
      <c r="L172" s="19" t="str">
        <f aca="false">IF(H172="","",IF(J172&lt;설정!$B$7,"baseline 수집 중",IF(K172&lt;=-설정!$B$8,"저하","정상")))</f>
        <v/>
      </c>
      <c r="M172" s="20"/>
    </row>
    <row r="173" customFormat="false" ht="15" hidden="false" customHeight="false" outlineLevel="0" collapsed="false">
      <c r="A173" s="16"/>
      <c r="B173" s="17"/>
      <c r="C173" s="17"/>
      <c r="D173" s="17"/>
      <c r="E173" s="17"/>
      <c r="F173" s="17"/>
      <c r="G173" s="18" t="str">
        <f aca="false">IF(COUNT(D173:F173)=0,"",MAX(D173:F173))</f>
        <v/>
      </c>
      <c r="H173" s="18" t="str">
        <f aca="false">IF(COUNT(D173:F173)=0,"",ROUND(AVERAGE(D173:F173),1))</f>
        <v/>
      </c>
      <c r="I173" s="18" t="str">
        <f aca="false">IF(H173="","",IF(J173&lt;설정!$B$7,"",ROUND(AVERAGEIFS($H$2:$H$1001,$B$2:$B$1001,B173,$A$2:$A$1001,"&lt;"&amp;A173,$A$2:$A$1001,"&gt;="&amp;(A173-설정!$B$6)),1)))</f>
        <v/>
      </c>
      <c r="J173" s="18" t="str">
        <f aca="false">IF(H173="","",COUNTIFS($B$2:$B$1001,B173,$A$2:$A$1001,"&lt;"&amp;A173,$A$2:$A$1001,"&gt;="&amp;(A173-설정!$B$6),$H$2:$H$1001,"&gt;=0"))</f>
        <v/>
      </c>
      <c r="K173" s="21" t="str">
        <f aca="false">IF(I173="","",H173/I173-1)</f>
        <v/>
      </c>
      <c r="L173" s="19" t="str">
        <f aca="false">IF(H173="","",IF(J173&lt;설정!$B$7,"baseline 수집 중",IF(K173&lt;=-설정!$B$8,"저하","정상")))</f>
        <v/>
      </c>
      <c r="M173" s="20"/>
    </row>
    <row r="174" customFormat="false" ht="15" hidden="false" customHeight="false" outlineLevel="0" collapsed="false">
      <c r="A174" s="16"/>
      <c r="B174" s="17"/>
      <c r="C174" s="17"/>
      <c r="D174" s="17"/>
      <c r="E174" s="17"/>
      <c r="F174" s="17"/>
      <c r="G174" s="18" t="str">
        <f aca="false">IF(COUNT(D174:F174)=0,"",MAX(D174:F174))</f>
        <v/>
      </c>
      <c r="H174" s="18" t="str">
        <f aca="false">IF(COUNT(D174:F174)=0,"",ROUND(AVERAGE(D174:F174),1))</f>
        <v/>
      </c>
      <c r="I174" s="18" t="str">
        <f aca="false">IF(H174="","",IF(J174&lt;설정!$B$7,"",ROUND(AVERAGEIFS($H$2:$H$1001,$B$2:$B$1001,B174,$A$2:$A$1001,"&lt;"&amp;A174,$A$2:$A$1001,"&gt;="&amp;(A174-설정!$B$6)),1)))</f>
        <v/>
      </c>
      <c r="J174" s="18" t="str">
        <f aca="false">IF(H174="","",COUNTIFS($B$2:$B$1001,B174,$A$2:$A$1001,"&lt;"&amp;A174,$A$2:$A$1001,"&gt;="&amp;(A174-설정!$B$6),$H$2:$H$1001,"&gt;=0"))</f>
        <v/>
      </c>
      <c r="K174" s="21" t="str">
        <f aca="false">IF(I174="","",H174/I174-1)</f>
        <v/>
      </c>
      <c r="L174" s="19" t="str">
        <f aca="false">IF(H174="","",IF(J174&lt;설정!$B$7,"baseline 수집 중",IF(K174&lt;=-설정!$B$8,"저하","정상")))</f>
        <v/>
      </c>
      <c r="M174" s="20"/>
    </row>
    <row r="175" customFormat="false" ht="15" hidden="false" customHeight="false" outlineLevel="0" collapsed="false">
      <c r="A175" s="16"/>
      <c r="B175" s="17"/>
      <c r="C175" s="17"/>
      <c r="D175" s="17"/>
      <c r="E175" s="17"/>
      <c r="F175" s="17"/>
      <c r="G175" s="18" t="str">
        <f aca="false">IF(COUNT(D175:F175)=0,"",MAX(D175:F175))</f>
        <v/>
      </c>
      <c r="H175" s="18" t="str">
        <f aca="false">IF(COUNT(D175:F175)=0,"",ROUND(AVERAGE(D175:F175),1))</f>
        <v/>
      </c>
      <c r="I175" s="18" t="str">
        <f aca="false">IF(H175="","",IF(J175&lt;설정!$B$7,"",ROUND(AVERAGEIFS($H$2:$H$1001,$B$2:$B$1001,B175,$A$2:$A$1001,"&lt;"&amp;A175,$A$2:$A$1001,"&gt;="&amp;(A175-설정!$B$6)),1)))</f>
        <v/>
      </c>
      <c r="J175" s="18" t="str">
        <f aca="false">IF(H175="","",COUNTIFS($B$2:$B$1001,B175,$A$2:$A$1001,"&lt;"&amp;A175,$A$2:$A$1001,"&gt;="&amp;(A175-설정!$B$6),$H$2:$H$1001,"&gt;=0"))</f>
        <v/>
      </c>
      <c r="K175" s="21" t="str">
        <f aca="false">IF(I175="","",H175/I175-1)</f>
        <v/>
      </c>
      <c r="L175" s="19" t="str">
        <f aca="false">IF(H175="","",IF(J175&lt;설정!$B$7,"baseline 수집 중",IF(K175&lt;=-설정!$B$8,"저하","정상")))</f>
        <v/>
      </c>
      <c r="M175" s="20"/>
    </row>
    <row r="176" customFormat="false" ht="15" hidden="false" customHeight="false" outlineLevel="0" collapsed="false">
      <c r="A176" s="16"/>
      <c r="B176" s="17"/>
      <c r="C176" s="17"/>
      <c r="D176" s="17"/>
      <c r="E176" s="17"/>
      <c r="F176" s="17"/>
      <c r="G176" s="18" t="str">
        <f aca="false">IF(COUNT(D176:F176)=0,"",MAX(D176:F176))</f>
        <v/>
      </c>
      <c r="H176" s="18" t="str">
        <f aca="false">IF(COUNT(D176:F176)=0,"",ROUND(AVERAGE(D176:F176),1))</f>
        <v/>
      </c>
      <c r="I176" s="18" t="str">
        <f aca="false">IF(H176="","",IF(J176&lt;설정!$B$7,"",ROUND(AVERAGEIFS($H$2:$H$1001,$B$2:$B$1001,B176,$A$2:$A$1001,"&lt;"&amp;A176,$A$2:$A$1001,"&gt;="&amp;(A176-설정!$B$6)),1)))</f>
        <v/>
      </c>
      <c r="J176" s="18" t="str">
        <f aca="false">IF(H176="","",COUNTIFS($B$2:$B$1001,B176,$A$2:$A$1001,"&lt;"&amp;A176,$A$2:$A$1001,"&gt;="&amp;(A176-설정!$B$6),$H$2:$H$1001,"&gt;=0"))</f>
        <v/>
      </c>
      <c r="K176" s="21" t="str">
        <f aca="false">IF(I176="","",H176/I176-1)</f>
        <v/>
      </c>
      <c r="L176" s="19" t="str">
        <f aca="false">IF(H176="","",IF(J176&lt;설정!$B$7,"baseline 수집 중",IF(K176&lt;=-설정!$B$8,"저하","정상")))</f>
        <v/>
      </c>
      <c r="M176" s="20"/>
    </row>
    <row r="177" customFormat="false" ht="15" hidden="false" customHeight="false" outlineLevel="0" collapsed="false">
      <c r="A177" s="16"/>
      <c r="B177" s="17"/>
      <c r="C177" s="17"/>
      <c r="D177" s="17"/>
      <c r="E177" s="17"/>
      <c r="F177" s="17"/>
      <c r="G177" s="18" t="str">
        <f aca="false">IF(COUNT(D177:F177)=0,"",MAX(D177:F177))</f>
        <v/>
      </c>
      <c r="H177" s="18" t="str">
        <f aca="false">IF(COUNT(D177:F177)=0,"",ROUND(AVERAGE(D177:F177),1))</f>
        <v/>
      </c>
      <c r="I177" s="18" t="str">
        <f aca="false">IF(H177="","",IF(J177&lt;설정!$B$7,"",ROUND(AVERAGEIFS($H$2:$H$1001,$B$2:$B$1001,B177,$A$2:$A$1001,"&lt;"&amp;A177,$A$2:$A$1001,"&gt;="&amp;(A177-설정!$B$6)),1)))</f>
        <v/>
      </c>
      <c r="J177" s="18" t="str">
        <f aca="false">IF(H177="","",COUNTIFS($B$2:$B$1001,B177,$A$2:$A$1001,"&lt;"&amp;A177,$A$2:$A$1001,"&gt;="&amp;(A177-설정!$B$6),$H$2:$H$1001,"&gt;=0"))</f>
        <v/>
      </c>
      <c r="K177" s="21" t="str">
        <f aca="false">IF(I177="","",H177/I177-1)</f>
        <v/>
      </c>
      <c r="L177" s="19" t="str">
        <f aca="false">IF(H177="","",IF(J177&lt;설정!$B$7,"baseline 수집 중",IF(K177&lt;=-설정!$B$8,"저하","정상")))</f>
        <v/>
      </c>
      <c r="M177" s="20"/>
    </row>
    <row r="178" customFormat="false" ht="15" hidden="false" customHeight="false" outlineLevel="0" collapsed="false">
      <c r="A178" s="16"/>
      <c r="B178" s="17"/>
      <c r="C178" s="17"/>
      <c r="D178" s="17"/>
      <c r="E178" s="17"/>
      <c r="F178" s="17"/>
      <c r="G178" s="18" t="str">
        <f aca="false">IF(COUNT(D178:F178)=0,"",MAX(D178:F178))</f>
        <v/>
      </c>
      <c r="H178" s="18" t="str">
        <f aca="false">IF(COUNT(D178:F178)=0,"",ROUND(AVERAGE(D178:F178),1))</f>
        <v/>
      </c>
      <c r="I178" s="18" t="str">
        <f aca="false">IF(H178="","",IF(J178&lt;설정!$B$7,"",ROUND(AVERAGEIFS($H$2:$H$1001,$B$2:$B$1001,B178,$A$2:$A$1001,"&lt;"&amp;A178,$A$2:$A$1001,"&gt;="&amp;(A178-설정!$B$6)),1)))</f>
        <v/>
      </c>
      <c r="J178" s="18" t="str">
        <f aca="false">IF(H178="","",COUNTIFS($B$2:$B$1001,B178,$A$2:$A$1001,"&lt;"&amp;A178,$A$2:$A$1001,"&gt;="&amp;(A178-설정!$B$6),$H$2:$H$1001,"&gt;=0"))</f>
        <v/>
      </c>
      <c r="K178" s="21" t="str">
        <f aca="false">IF(I178="","",H178/I178-1)</f>
        <v/>
      </c>
      <c r="L178" s="19" t="str">
        <f aca="false">IF(H178="","",IF(J178&lt;설정!$B$7,"baseline 수집 중",IF(K178&lt;=-설정!$B$8,"저하","정상")))</f>
        <v/>
      </c>
      <c r="M178" s="20"/>
    </row>
    <row r="179" customFormat="false" ht="15" hidden="false" customHeight="false" outlineLevel="0" collapsed="false">
      <c r="A179" s="16"/>
      <c r="B179" s="17"/>
      <c r="C179" s="17"/>
      <c r="D179" s="17"/>
      <c r="E179" s="17"/>
      <c r="F179" s="17"/>
      <c r="G179" s="18" t="str">
        <f aca="false">IF(COUNT(D179:F179)=0,"",MAX(D179:F179))</f>
        <v/>
      </c>
      <c r="H179" s="18" t="str">
        <f aca="false">IF(COUNT(D179:F179)=0,"",ROUND(AVERAGE(D179:F179),1))</f>
        <v/>
      </c>
      <c r="I179" s="18" t="str">
        <f aca="false">IF(H179="","",IF(J179&lt;설정!$B$7,"",ROUND(AVERAGEIFS($H$2:$H$1001,$B$2:$B$1001,B179,$A$2:$A$1001,"&lt;"&amp;A179,$A$2:$A$1001,"&gt;="&amp;(A179-설정!$B$6)),1)))</f>
        <v/>
      </c>
      <c r="J179" s="18" t="str">
        <f aca="false">IF(H179="","",COUNTIFS($B$2:$B$1001,B179,$A$2:$A$1001,"&lt;"&amp;A179,$A$2:$A$1001,"&gt;="&amp;(A179-설정!$B$6),$H$2:$H$1001,"&gt;=0"))</f>
        <v/>
      </c>
      <c r="K179" s="21" t="str">
        <f aca="false">IF(I179="","",H179/I179-1)</f>
        <v/>
      </c>
      <c r="L179" s="19" t="str">
        <f aca="false">IF(H179="","",IF(J179&lt;설정!$B$7,"baseline 수집 중",IF(K179&lt;=-설정!$B$8,"저하","정상")))</f>
        <v/>
      </c>
      <c r="M179" s="20"/>
    </row>
    <row r="180" customFormat="false" ht="15" hidden="false" customHeight="false" outlineLevel="0" collapsed="false">
      <c r="A180" s="16"/>
      <c r="B180" s="17"/>
      <c r="C180" s="17"/>
      <c r="D180" s="17"/>
      <c r="E180" s="17"/>
      <c r="F180" s="17"/>
      <c r="G180" s="18" t="str">
        <f aca="false">IF(COUNT(D180:F180)=0,"",MAX(D180:F180))</f>
        <v/>
      </c>
      <c r="H180" s="18" t="str">
        <f aca="false">IF(COUNT(D180:F180)=0,"",ROUND(AVERAGE(D180:F180),1))</f>
        <v/>
      </c>
      <c r="I180" s="18" t="str">
        <f aca="false">IF(H180="","",IF(J180&lt;설정!$B$7,"",ROUND(AVERAGEIFS($H$2:$H$1001,$B$2:$B$1001,B180,$A$2:$A$1001,"&lt;"&amp;A180,$A$2:$A$1001,"&gt;="&amp;(A180-설정!$B$6)),1)))</f>
        <v/>
      </c>
      <c r="J180" s="18" t="str">
        <f aca="false">IF(H180="","",COUNTIFS($B$2:$B$1001,B180,$A$2:$A$1001,"&lt;"&amp;A180,$A$2:$A$1001,"&gt;="&amp;(A180-설정!$B$6),$H$2:$H$1001,"&gt;=0"))</f>
        <v/>
      </c>
      <c r="K180" s="21" t="str">
        <f aca="false">IF(I180="","",H180/I180-1)</f>
        <v/>
      </c>
      <c r="L180" s="19" t="str">
        <f aca="false">IF(H180="","",IF(J180&lt;설정!$B$7,"baseline 수집 중",IF(K180&lt;=-설정!$B$8,"저하","정상")))</f>
        <v/>
      </c>
      <c r="M180" s="20"/>
    </row>
    <row r="181" customFormat="false" ht="15" hidden="false" customHeight="false" outlineLevel="0" collapsed="false">
      <c r="A181" s="16"/>
      <c r="B181" s="17"/>
      <c r="C181" s="17"/>
      <c r="D181" s="17"/>
      <c r="E181" s="17"/>
      <c r="F181" s="17"/>
      <c r="G181" s="18" t="str">
        <f aca="false">IF(COUNT(D181:F181)=0,"",MAX(D181:F181))</f>
        <v/>
      </c>
      <c r="H181" s="18" t="str">
        <f aca="false">IF(COUNT(D181:F181)=0,"",ROUND(AVERAGE(D181:F181),1))</f>
        <v/>
      </c>
      <c r="I181" s="18" t="str">
        <f aca="false">IF(H181="","",IF(J181&lt;설정!$B$7,"",ROUND(AVERAGEIFS($H$2:$H$1001,$B$2:$B$1001,B181,$A$2:$A$1001,"&lt;"&amp;A181,$A$2:$A$1001,"&gt;="&amp;(A181-설정!$B$6)),1)))</f>
        <v/>
      </c>
      <c r="J181" s="18" t="str">
        <f aca="false">IF(H181="","",COUNTIFS($B$2:$B$1001,B181,$A$2:$A$1001,"&lt;"&amp;A181,$A$2:$A$1001,"&gt;="&amp;(A181-설정!$B$6),$H$2:$H$1001,"&gt;=0"))</f>
        <v/>
      </c>
      <c r="K181" s="21" t="str">
        <f aca="false">IF(I181="","",H181/I181-1)</f>
        <v/>
      </c>
      <c r="L181" s="19" t="str">
        <f aca="false">IF(H181="","",IF(J181&lt;설정!$B$7,"baseline 수집 중",IF(K181&lt;=-설정!$B$8,"저하","정상")))</f>
        <v/>
      </c>
      <c r="M181" s="20"/>
    </row>
    <row r="182" customFormat="false" ht="15" hidden="false" customHeight="false" outlineLevel="0" collapsed="false">
      <c r="A182" s="16"/>
      <c r="B182" s="17"/>
      <c r="C182" s="17"/>
      <c r="D182" s="17"/>
      <c r="E182" s="17"/>
      <c r="F182" s="17"/>
      <c r="G182" s="18" t="str">
        <f aca="false">IF(COUNT(D182:F182)=0,"",MAX(D182:F182))</f>
        <v/>
      </c>
      <c r="H182" s="18" t="str">
        <f aca="false">IF(COUNT(D182:F182)=0,"",ROUND(AVERAGE(D182:F182),1))</f>
        <v/>
      </c>
      <c r="I182" s="18" t="str">
        <f aca="false">IF(H182="","",IF(J182&lt;설정!$B$7,"",ROUND(AVERAGEIFS($H$2:$H$1001,$B$2:$B$1001,B182,$A$2:$A$1001,"&lt;"&amp;A182,$A$2:$A$1001,"&gt;="&amp;(A182-설정!$B$6)),1)))</f>
        <v/>
      </c>
      <c r="J182" s="18" t="str">
        <f aca="false">IF(H182="","",COUNTIFS($B$2:$B$1001,B182,$A$2:$A$1001,"&lt;"&amp;A182,$A$2:$A$1001,"&gt;="&amp;(A182-설정!$B$6),$H$2:$H$1001,"&gt;=0"))</f>
        <v/>
      </c>
      <c r="K182" s="21" t="str">
        <f aca="false">IF(I182="","",H182/I182-1)</f>
        <v/>
      </c>
      <c r="L182" s="19" t="str">
        <f aca="false">IF(H182="","",IF(J182&lt;설정!$B$7,"baseline 수집 중",IF(K182&lt;=-설정!$B$8,"저하","정상")))</f>
        <v/>
      </c>
      <c r="M182" s="20"/>
    </row>
    <row r="183" customFormat="false" ht="15" hidden="false" customHeight="false" outlineLevel="0" collapsed="false">
      <c r="A183" s="16"/>
      <c r="B183" s="17"/>
      <c r="C183" s="17"/>
      <c r="D183" s="17"/>
      <c r="E183" s="17"/>
      <c r="F183" s="17"/>
      <c r="G183" s="18" t="str">
        <f aca="false">IF(COUNT(D183:F183)=0,"",MAX(D183:F183))</f>
        <v/>
      </c>
      <c r="H183" s="18" t="str">
        <f aca="false">IF(COUNT(D183:F183)=0,"",ROUND(AVERAGE(D183:F183),1))</f>
        <v/>
      </c>
      <c r="I183" s="18" t="str">
        <f aca="false">IF(H183="","",IF(J183&lt;설정!$B$7,"",ROUND(AVERAGEIFS($H$2:$H$1001,$B$2:$B$1001,B183,$A$2:$A$1001,"&lt;"&amp;A183,$A$2:$A$1001,"&gt;="&amp;(A183-설정!$B$6)),1)))</f>
        <v/>
      </c>
      <c r="J183" s="18" t="str">
        <f aca="false">IF(H183="","",COUNTIFS($B$2:$B$1001,B183,$A$2:$A$1001,"&lt;"&amp;A183,$A$2:$A$1001,"&gt;="&amp;(A183-설정!$B$6),$H$2:$H$1001,"&gt;=0"))</f>
        <v/>
      </c>
      <c r="K183" s="21" t="str">
        <f aca="false">IF(I183="","",H183/I183-1)</f>
        <v/>
      </c>
      <c r="L183" s="19" t="str">
        <f aca="false">IF(H183="","",IF(J183&lt;설정!$B$7,"baseline 수집 중",IF(K183&lt;=-설정!$B$8,"저하","정상")))</f>
        <v/>
      </c>
      <c r="M183" s="20"/>
    </row>
    <row r="184" customFormat="false" ht="15" hidden="false" customHeight="false" outlineLevel="0" collapsed="false">
      <c r="A184" s="16"/>
      <c r="B184" s="17"/>
      <c r="C184" s="17"/>
      <c r="D184" s="17"/>
      <c r="E184" s="17"/>
      <c r="F184" s="17"/>
      <c r="G184" s="18" t="str">
        <f aca="false">IF(COUNT(D184:F184)=0,"",MAX(D184:F184))</f>
        <v/>
      </c>
      <c r="H184" s="18" t="str">
        <f aca="false">IF(COUNT(D184:F184)=0,"",ROUND(AVERAGE(D184:F184),1))</f>
        <v/>
      </c>
      <c r="I184" s="18" t="str">
        <f aca="false">IF(H184="","",IF(J184&lt;설정!$B$7,"",ROUND(AVERAGEIFS($H$2:$H$1001,$B$2:$B$1001,B184,$A$2:$A$1001,"&lt;"&amp;A184,$A$2:$A$1001,"&gt;="&amp;(A184-설정!$B$6)),1)))</f>
        <v/>
      </c>
      <c r="J184" s="18" t="str">
        <f aca="false">IF(H184="","",COUNTIFS($B$2:$B$1001,B184,$A$2:$A$1001,"&lt;"&amp;A184,$A$2:$A$1001,"&gt;="&amp;(A184-설정!$B$6),$H$2:$H$1001,"&gt;=0"))</f>
        <v/>
      </c>
      <c r="K184" s="21" t="str">
        <f aca="false">IF(I184="","",H184/I184-1)</f>
        <v/>
      </c>
      <c r="L184" s="19" t="str">
        <f aca="false">IF(H184="","",IF(J184&lt;설정!$B$7,"baseline 수집 중",IF(K184&lt;=-설정!$B$8,"저하","정상")))</f>
        <v/>
      </c>
      <c r="M184" s="20"/>
    </row>
    <row r="185" customFormat="false" ht="15" hidden="false" customHeight="false" outlineLevel="0" collapsed="false">
      <c r="A185" s="16"/>
      <c r="B185" s="17"/>
      <c r="C185" s="17"/>
      <c r="D185" s="17"/>
      <c r="E185" s="17"/>
      <c r="F185" s="17"/>
      <c r="G185" s="18" t="str">
        <f aca="false">IF(COUNT(D185:F185)=0,"",MAX(D185:F185))</f>
        <v/>
      </c>
      <c r="H185" s="18" t="str">
        <f aca="false">IF(COUNT(D185:F185)=0,"",ROUND(AVERAGE(D185:F185),1))</f>
        <v/>
      </c>
      <c r="I185" s="18" t="str">
        <f aca="false">IF(H185="","",IF(J185&lt;설정!$B$7,"",ROUND(AVERAGEIFS($H$2:$H$1001,$B$2:$B$1001,B185,$A$2:$A$1001,"&lt;"&amp;A185,$A$2:$A$1001,"&gt;="&amp;(A185-설정!$B$6)),1)))</f>
        <v/>
      </c>
      <c r="J185" s="18" t="str">
        <f aca="false">IF(H185="","",COUNTIFS($B$2:$B$1001,B185,$A$2:$A$1001,"&lt;"&amp;A185,$A$2:$A$1001,"&gt;="&amp;(A185-설정!$B$6),$H$2:$H$1001,"&gt;=0"))</f>
        <v/>
      </c>
      <c r="K185" s="21" t="str">
        <f aca="false">IF(I185="","",H185/I185-1)</f>
        <v/>
      </c>
      <c r="L185" s="19" t="str">
        <f aca="false">IF(H185="","",IF(J185&lt;설정!$B$7,"baseline 수집 중",IF(K185&lt;=-설정!$B$8,"저하","정상")))</f>
        <v/>
      </c>
      <c r="M185" s="20"/>
    </row>
    <row r="186" customFormat="false" ht="15" hidden="false" customHeight="false" outlineLevel="0" collapsed="false">
      <c r="A186" s="16"/>
      <c r="B186" s="17"/>
      <c r="C186" s="17"/>
      <c r="D186" s="17"/>
      <c r="E186" s="17"/>
      <c r="F186" s="17"/>
      <c r="G186" s="18" t="str">
        <f aca="false">IF(COUNT(D186:F186)=0,"",MAX(D186:F186))</f>
        <v/>
      </c>
      <c r="H186" s="18" t="str">
        <f aca="false">IF(COUNT(D186:F186)=0,"",ROUND(AVERAGE(D186:F186),1))</f>
        <v/>
      </c>
      <c r="I186" s="18" t="str">
        <f aca="false">IF(H186="","",IF(J186&lt;설정!$B$7,"",ROUND(AVERAGEIFS($H$2:$H$1001,$B$2:$B$1001,B186,$A$2:$A$1001,"&lt;"&amp;A186,$A$2:$A$1001,"&gt;="&amp;(A186-설정!$B$6)),1)))</f>
        <v/>
      </c>
      <c r="J186" s="18" t="str">
        <f aca="false">IF(H186="","",COUNTIFS($B$2:$B$1001,B186,$A$2:$A$1001,"&lt;"&amp;A186,$A$2:$A$1001,"&gt;="&amp;(A186-설정!$B$6),$H$2:$H$1001,"&gt;=0"))</f>
        <v/>
      </c>
      <c r="K186" s="21" t="str">
        <f aca="false">IF(I186="","",H186/I186-1)</f>
        <v/>
      </c>
      <c r="L186" s="19" t="str">
        <f aca="false">IF(H186="","",IF(J186&lt;설정!$B$7,"baseline 수집 중",IF(K186&lt;=-설정!$B$8,"저하","정상")))</f>
        <v/>
      </c>
      <c r="M186" s="20"/>
    </row>
    <row r="187" customFormat="false" ht="15" hidden="false" customHeight="false" outlineLevel="0" collapsed="false">
      <c r="A187" s="16"/>
      <c r="B187" s="17"/>
      <c r="C187" s="17"/>
      <c r="D187" s="17"/>
      <c r="E187" s="17"/>
      <c r="F187" s="17"/>
      <c r="G187" s="18" t="str">
        <f aca="false">IF(COUNT(D187:F187)=0,"",MAX(D187:F187))</f>
        <v/>
      </c>
      <c r="H187" s="18" t="str">
        <f aca="false">IF(COUNT(D187:F187)=0,"",ROUND(AVERAGE(D187:F187),1))</f>
        <v/>
      </c>
      <c r="I187" s="18" t="str">
        <f aca="false">IF(H187="","",IF(J187&lt;설정!$B$7,"",ROUND(AVERAGEIFS($H$2:$H$1001,$B$2:$B$1001,B187,$A$2:$A$1001,"&lt;"&amp;A187,$A$2:$A$1001,"&gt;="&amp;(A187-설정!$B$6)),1)))</f>
        <v/>
      </c>
      <c r="J187" s="18" t="str">
        <f aca="false">IF(H187="","",COUNTIFS($B$2:$B$1001,B187,$A$2:$A$1001,"&lt;"&amp;A187,$A$2:$A$1001,"&gt;="&amp;(A187-설정!$B$6),$H$2:$H$1001,"&gt;=0"))</f>
        <v/>
      </c>
      <c r="K187" s="21" t="str">
        <f aca="false">IF(I187="","",H187/I187-1)</f>
        <v/>
      </c>
      <c r="L187" s="19" t="str">
        <f aca="false">IF(H187="","",IF(J187&lt;설정!$B$7,"baseline 수집 중",IF(K187&lt;=-설정!$B$8,"저하","정상")))</f>
        <v/>
      </c>
      <c r="M187" s="20"/>
    </row>
    <row r="188" customFormat="false" ht="15" hidden="false" customHeight="false" outlineLevel="0" collapsed="false">
      <c r="A188" s="16"/>
      <c r="B188" s="17"/>
      <c r="C188" s="17"/>
      <c r="D188" s="17"/>
      <c r="E188" s="17"/>
      <c r="F188" s="17"/>
      <c r="G188" s="18" t="str">
        <f aca="false">IF(COUNT(D188:F188)=0,"",MAX(D188:F188))</f>
        <v/>
      </c>
      <c r="H188" s="18" t="str">
        <f aca="false">IF(COUNT(D188:F188)=0,"",ROUND(AVERAGE(D188:F188),1))</f>
        <v/>
      </c>
      <c r="I188" s="18" t="str">
        <f aca="false">IF(H188="","",IF(J188&lt;설정!$B$7,"",ROUND(AVERAGEIFS($H$2:$H$1001,$B$2:$B$1001,B188,$A$2:$A$1001,"&lt;"&amp;A188,$A$2:$A$1001,"&gt;="&amp;(A188-설정!$B$6)),1)))</f>
        <v/>
      </c>
      <c r="J188" s="18" t="str">
        <f aca="false">IF(H188="","",COUNTIFS($B$2:$B$1001,B188,$A$2:$A$1001,"&lt;"&amp;A188,$A$2:$A$1001,"&gt;="&amp;(A188-설정!$B$6),$H$2:$H$1001,"&gt;=0"))</f>
        <v/>
      </c>
      <c r="K188" s="21" t="str">
        <f aca="false">IF(I188="","",H188/I188-1)</f>
        <v/>
      </c>
      <c r="L188" s="19" t="str">
        <f aca="false">IF(H188="","",IF(J188&lt;설정!$B$7,"baseline 수집 중",IF(K188&lt;=-설정!$B$8,"저하","정상")))</f>
        <v/>
      </c>
      <c r="M188" s="20"/>
    </row>
    <row r="189" customFormat="false" ht="15" hidden="false" customHeight="false" outlineLevel="0" collapsed="false">
      <c r="A189" s="16"/>
      <c r="B189" s="17"/>
      <c r="C189" s="17"/>
      <c r="D189" s="17"/>
      <c r="E189" s="17"/>
      <c r="F189" s="17"/>
      <c r="G189" s="18" t="str">
        <f aca="false">IF(COUNT(D189:F189)=0,"",MAX(D189:F189))</f>
        <v/>
      </c>
      <c r="H189" s="18" t="str">
        <f aca="false">IF(COUNT(D189:F189)=0,"",ROUND(AVERAGE(D189:F189),1))</f>
        <v/>
      </c>
      <c r="I189" s="18" t="str">
        <f aca="false">IF(H189="","",IF(J189&lt;설정!$B$7,"",ROUND(AVERAGEIFS($H$2:$H$1001,$B$2:$B$1001,B189,$A$2:$A$1001,"&lt;"&amp;A189,$A$2:$A$1001,"&gt;="&amp;(A189-설정!$B$6)),1)))</f>
        <v/>
      </c>
      <c r="J189" s="18" t="str">
        <f aca="false">IF(H189="","",COUNTIFS($B$2:$B$1001,B189,$A$2:$A$1001,"&lt;"&amp;A189,$A$2:$A$1001,"&gt;="&amp;(A189-설정!$B$6),$H$2:$H$1001,"&gt;=0"))</f>
        <v/>
      </c>
      <c r="K189" s="21" t="str">
        <f aca="false">IF(I189="","",H189/I189-1)</f>
        <v/>
      </c>
      <c r="L189" s="19" t="str">
        <f aca="false">IF(H189="","",IF(J189&lt;설정!$B$7,"baseline 수집 중",IF(K189&lt;=-설정!$B$8,"저하","정상")))</f>
        <v/>
      </c>
      <c r="M189" s="20"/>
    </row>
    <row r="190" customFormat="false" ht="15" hidden="false" customHeight="false" outlineLevel="0" collapsed="false">
      <c r="A190" s="16"/>
      <c r="B190" s="17"/>
      <c r="C190" s="17"/>
      <c r="D190" s="17"/>
      <c r="E190" s="17"/>
      <c r="F190" s="17"/>
      <c r="G190" s="18" t="str">
        <f aca="false">IF(COUNT(D190:F190)=0,"",MAX(D190:F190))</f>
        <v/>
      </c>
      <c r="H190" s="18" t="str">
        <f aca="false">IF(COUNT(D190:F190)=0,"",ROUND(AVERAGE(D190:F190),1))</f>
        <v/>
      </c>
      <c r="I190" s="18" t="str">
        <f aca="false">IF(H190="","",IF(J190&lt;설정!$B$7,"",ROUND(AVERAGEIFS($H$2:$H$1001,$B$2:$B$1001,B190,$A$2:$A$1001,"&lt;"&amp;A190,$A$2:$A$1001,"&gt;="&amp;(A190-설정!$B$6)),1)))</f>
        <v/>
      </c>
      <c r="J190" s="18" t="str">
        <f aca="false">IF(H190="","",COUNTIFS($B$2:$B$1001,B190,$A$2:$A$1001,"&lt;"&amp;A190,$A$2:$A$1001,"&gt;="&amp;(A190-설정!$B$6),$H$2:$H$1001,"&gt;=0"))</f>
        <v/>
      </c>
      <c r="K190" s="21" t="str">
        <f aca="false">IF(I190="","",H190/I190-1)</f>
        <v/>
      </c>
      <c r="L190" s="19" t="str">
        <f aca="false">IF(H190="","",IF(J190&lt;설정!$B$7,"baseline 수집 중",IF(K190&lt;=-설정!$B$8,"저하","정상")))</f>
        <v/>
      </c>
      <c r="M190" s="20"/>
    </row>
    <row r="191" customFormat="false" ht="15" hidden="false" customHeight="false" outlineLevel="0" collapsed="false">
      <c r="A191" s="16"/>
      <c r="B191" s="17"/>
      <c r="C191" s="17"/>
      <c r="D191" s="17"/>
      <c r="E191" s="17"/>
      <c r="F191" s="17"/>
      <c r="G191" s="18" t="str">
        <f aca="false">IF(COUNT(D191:F191)=0,"",MAX(D191:F191))</f>
        <v/>
      </c>
      <c r="H191" s="18" t="str">
        <f aca="false">IF(COUNT(D191:F191)=0,"",ROUND(AVERAGE(D191:F191),1))</f>
        <v/>
      </c>
      <c r="I191" s="18" t="str">
        <f aca="false">IF(H191="","",IF(J191&lt;설정!$B$7,"",ROUND(AVERAGEIFS($H$2:$H$1001,$B$2:$B$1001,B191,$A$2:$A$1001,"&lt;"&amp;A191,$A$2:$A$1001,"&gt;="&amp;(A191-설정!$B$6)),1)))</f>
        <v/>
      </c>
      <c r="J191" s="18" t="str">
        <f aca="false">IF(H191="","",COUNTIFS($B$2:$B$1001,B191,$A$2:$A$1001,"&lt;"&amp;A191,$A$2:$A$1001,"&gt;="&amp;(A191-설정!$B$6),$H$2:$H$1001,"&gt;=0"))</f>
        <v/>
      </c>
      <c r="K191" s="21" t="str">
        <f aca="false">IF(I191="","",H191/I191-1)</f>
        <v/>
      </c>
      <c r="L191" s="19" t="str">
        <f aca="false">IF(H191="","",IF(J191&lt;설정!$B$7,"baseline 수집 중",IF(K191&lt;=-설정!$B$8,"저하","정상")))</f>
        <v/>
      </c>
      <c r="M191" s="20"/>
    </row>
    <row r="192" customFormat="false" ht="15" hidden="false" customHeight="false" outlineLevel="0" collapsed="false">
      <c r="A192" s="16"/>
      <c r="B192" s="17"/>
      <c r="C192" s="17"/>
      <c r="D192" s="17"/>
      <c r="E192" s="17"/>
      <c r="F192" s="17"/>
      <c r="G192" s="18" t="str">
        <f aca="false">IF(COUNT(D192:F192)=0,"",MAX(D192:F192))</f>
        <v/>
      </c>
      <c r="H192" s="18" t="str">
        <f aca="false">IF(COUNT(D192:F192)=0,"",ROUND(AVERAGE(D192:F192),1))</f>
        <v/>
      </c>
      <c r="I192" s="18" t="str">
        <f aca="false">IF(H192="","",IF(J192&lt;설정!$B$7,"",ROUND(AVERAGEIFS($H$2:$H$1001,$B$2:$B$1001,B192,$A$2:$A$1001,"&lt;"&amp;A192,$A$2:$A$1001,"&gt;="&amp;(A192-설정!$B$6)),1)))</f>
        <v/>
      </c>
      <c r="J192" s="18" t="str">
        <f aca="false">IF(H192="","",COUNTIFS($B$2:$B$1001,B192,$A$2:$A$1001,"&lt;"&amp;A192,$A$2:$A$1001,"&gt;="&amp;(A192-설정!$B$6),$H$2:$H$1001,"&gt;=0"))</f>
        <v/>
      </c>
      <c r="K192" s="21" t="str">
        <f aca="false">IF(I192="","",H192/I192-1)</f>
        <v/>
      </c>
      <c r="L192" s="19" t="str">
        <f aca="false">IF(H192="","",IF(J192&lt;설정!$B$7,"baseline 수집 중",IF(K192&lt;=-설정!$B$8,"저하","정상")))</f>
        <v/>
      </c>
      <c r="M192" s="20"/>
    </row>
    <row r="193" customFormat="false" ht="15" hidden="false" customHeight="false" outlineLevel="0" collapsed="false">
      <c r="A193" s="16"/>
      <c r="B193" s="17"/>
      <c r="C193" s="17"/>
      <c r="D193" s="17"/>
      <c r="E193" s="17"/>
      <c r="F193" s="17"/>
      <c r="G193" s="18" t="str">
        <f aca="false">IF(COUNT(D193:F193)=0,"",MAX(D193:F193))</f>
        <v/>
      </c>
      <c r="H193" s="18" t="str">
        <f aca="false">IF(COUNT(D193:F193)=0,"",ROUND(AVERAGE(D193:F193),1))</f>
        <v/>
      </c>
      <c r="I193" s="18" t="str">
        <f aca="false">IF(H193="","",IF(J193&lt;설정!$B$7,"",ROUND(AVERAGEIFS($H$2:$H$1001,$B$2:$B$1001,B193,$A$2:$A$1001,"&lt;"&amp;A193,$A$2:$A$1001,"&gt;="&amp;(A193-설정!$B$6)),1)))</f>
        <v/>
      </c>
      <c r="J193" s="18" t="str">
        <f aca="false">IF(H193="","",COUNTIFS($B$2:$B$1001,B193,$A$2:$A$1001,"&lt;"&amp;A193,$A$2:$A$1001,"&gt;="&amp;(A193-설정!$B$6),$H$2:$H$1001,"&gt;=0"))</f>
        <v/>
      </c>
      <c r="K193" s="21" t="str">
        <f aca="false">IF(I193="","",H193/I193-1)</f>
        <v/>
      </c>
      <c r="L193" s="19" t="str">
        <f aca="false">IF(H193="","",IF(J193&lt;설정!$B$7,"baseline 수집 중",IF(K193&lt;=-설정!$B$8,"저하","정상")))</f>
        <v/>
      </c>
      <c r="M193" s="20"/>
    </row>
    <row r="194" customFormat="false" ht="15" hidden="false" customHeight="false" outlineLevel="0" collapsed="false">
      <c r="A194" s="16"/>
      <c r="B194" s="17"/>
      <c r="C194" s="17"/>
      <c r="D194" s="17"/>
      <c r="E194" s="17"/>
      <c r="F194" s="17"/>
      <c r="G194" s="18" t="str">
        <f aca="false">IF(COUNT(D194:F194)=0,"",MAX(D194:F194))</f>
        <v/>
      </c>
      <c r="H194" s="18" t="str">
        <f aca="false">IF(COUNT(D194:F194)=0,"",ROUND(AVERAGE(D194:F194),1))</f>
        <v/>
      </c>
      <c r="I194" s="18" t="str">
        <f aca="false">IF(H194="","",IF(J194&lt;설정!$B$7,"",ROUND(AVERAGEIFS($H$2:$H$1001,$B$2:$B$1001,B194,$A$2:$A$1001,"&lt;"&amp;A194,$A$2:$A$1001,"&gt;="&amp;(A194-설정!$B$6)),1)))</f>
        <v/>
      </c>
      <c r="J194" s="18" t="str">
        <f aca="false">IF(H194="","",COUNTIFS($B$2:$B$1001,B194,$A$2:$A$1001,"&lt;"&amp;A194,$A$2:$A$1001,"&gt;="&amp;(A194-설정!$B$6),$H$2:$H$1001,"&gt;=0"))</f>
        <v/>
      </c>
      <c r="K194" s="21" t="str">
        <f aca="false">IF(I194="","",H194/I194-1)</f>
        <v/>
      </c>
      <c r="L194" s="19" t="str">
        <f aca="false">IF(H194="","",IF(J194&lt;설정!$B$7,"baseline 수집 중",IF(K194&lt;=-설정!$B$8,"저하","정상")))</f>
        <v/>
      </c>
      <c r="M194" s="20"/>
    </row>
    <row r="195" customFormat="false" ht="15" hidden="false" customHeight="false" outlineLevel="0" collapsed="false">
      <c r="A195" s="16"/>
      <c r="B195" s="17"/>
      <c r="C195" s="17"/>
      <c r="D195" s="17"/>
      <c r="E195" s="17"/>
      <c r="F195" s="17"/>
      <c r="G195" s="18" t="str">
        <f aca="false">IF(COUNT(D195:F195)=0,"",MAX(D195:F195))</f>
        <v/>
      </c>
      <c r="H195" s="18" t="str">
        <f aca="false">IF(COUNT(D195:F195)=0,"",ROUND(AVERAGE(D195:F195),1))</f>
        <v/>
      </c>
      <c r="I195" s="18" t="str">
        <f aca="false">IF(H195="","",IF(J195&lt;설정!$B$7,"",ROUND(AVERAGEIFS($H$2:$H$1001,$B$2:$B$1001,B195,$A$2:$A$1001,"&lt;"&amp;A195,$A$2:$A$1001,"&gt;="&amp;(A195-설정!$B$6)),1)))</f>
        <v/>
      </c>
      <c r="J195" s="18" t="str">
        <f aca="false">IF(H195="","",COUNTIFS($B$2:$B$1001,B195,$A$2:$A$1001,"&lt;"&amp;A195,$A$2:$A$1001,"&gt;="&amp;(A195-설정!$B$6),$H$2:$H$1001,"&gt;=0"))</f>
        <v/>
      </c>
      <c r="K195" s="21" t="str">
        <f aca="false">IF(I195="","",H195/I195-1)</f>
        <v/>
      </c>
      <c r="L195" s="19" t="str">
        <f aca="false">IF(H195="","",IF(J195&lt;설정!$B$7,"baseline 수집 중",IF(K195&lt;=-설정!$B$8,"저하","정상")))</f>
        <v/>
      </c>
      <c r="M195" s="20"/>
    </row>
    <row r="196" customFormat="false" ht="15" hidden="false" customHeight="false" outlineLevel="0" collapsed="false">
      <c r="A196" s="16"/>
      <c r="B196" s="17"/>
      <c r="C196" s="17"/>
      <c r="D196" s="17"/>
      <c r="E196" s="17"/>
      <c r="F196" s="17"/>
      <c r="G196" s="18" t="str">
        <f aca="false">IF(COUNT(D196:F196)=0,"",MAX(D196:F196))</f>
        <v/>
      </c>
      <c r="H196" s="18" t="str">
        <f aca="false">IF(COUNT(D196:F196)=0,"",ROUND(AVERAGE(D196:F196),1))</f>
        <v/>
      </c>
      <c r="I196" s="18" t="str">
        <f aca="false">IF(H196="","",IF(J196&lt;설정!$B$7,"",ROUND(AVERAGEIFS($H$2:$H$1001,$B$2:$B$1001,B196,$A$2:$A$1001,"&lt;"&amp;A196,$A$2:$A$1001,"&gt;="&amp;(A196-설정!$B$6)),1)))</f>
        <v/>
      </c>
      <c r="J196" s="18" t="str">
        <f aca="false">IF(H196="","",COUNTIFS($B$2:$B$1001,B196,$A$2:$A$1001,"&lt;"&amp;A196,$A$2:$A$1001,"&gt;="&amp;(A196-설정!$B$6),$H$2:$H$1001,"&gt;=0"))</f>
        <v/>
      </c>
      <c r="K196" s="21" t="str">
        <f aca="false">IF(I196="","",H196/I196-1)</f>
        <v/>
      </c>
      <c r="L196" s="19" t="str">
        <f aca="false">IF(H196="","",IF(J196&lt;설정!$B$7,"baseline 수집 중",IF(K196&lt;=-설정!$B$8,"저하","정상")))</f>
        <v/>
      </c>
      <c r="M196" s="20"/>
    </row>
    <row r="197" customFormat="false" ht="15" hidden="false" customHeight="false" outlineLevel="0" collapsed="false">
      <c r="A197" s="16"/>
      <c r="B197" s="17"/>
      <c r="C197" s="17"/>
      <c r="D197" s="17"/>
      <c r="E197" s="17"/>
      <c r="F197" s="17"/>
      <c r="G197" s="18" t="str">
        <f aca="false">IF(COUNT(D197:F197)=0,"",MAX(D197:F197))</f>
        <v/>
      </c>
      <c r="H197" s="18" t="str">
        <f aca="false">IF(COUNT(D197:F197)=0,"",ROUND(AVERAGE(D197:F197),1))</f>
        <v/>
      </c>
      <c r="I197" s="18" t="str">
        <f aca="false">IF(H197="","",IF(J197&lt;설정!$B$7,"",ROUND(AVERAGEIFS($H$2:$H$1001,$B$2:$B$1001,B197,$A$2:$A$1001,"&lt;"&amp;A197,$A$2:$A$1001,"&gt;="&amp;(A197-설정!$B$6)),1)))</f>
        <v/>
      </c>
      <c r="J197" s="18" t="str">
        <f aca="false">IF(H197="","",COUNTIFS($B$2:$B$1001,B197,$A$2:$A$1001,"&lt;"&amp;A197,$A$2:$A$1001,"&gt;="&amp;(A197-설정!$B$6),$H$2:$H$1001,"&gt;=0"))</f>
        <v/>
      </c>
      <c r="K197" s="21" t="str">
        <f aca="false">IF(I197="","",H197/I197-1)</f>
        <v/>
      </c>
      <c r="L197" s="19" t="str">
        <f aca="false">IF(H197="","",IF(J197&lt;설정!$B$7,"baseline 수집 중",IF(K197&lt;=-설정!$B$8,"저하","정상")))</f>
        <v/>
      </c>
      <c r="M197" s="20"/>
    </row>
    <row r="198" customFormat="false" ht="15" hidden="false" customHeight="false" outlineLevel="0" collapsed="false">
      <c r="A198" s="16"/>
      <c r="B198" s="17"/>
      <c r="C198" s="17"/>
      <c r="D198" s="17"/>
      <c r="E198" s="17"/>
      <c r="F198" s="17"/>
      <c r="G198" s="18" t="str">
        <f aca="false">IF(COUNT(D198:F198)=0,"",MAX(D198:F198))</f>
        <v/>
      </c>
      <c r="H198" s="18" t="str">
        <f aca="false">IF(COUNT(D198:F198)=0,"",ROUND(AVERAGE(D198:F198),1))</f>
        <v/>
      </c>
      <c r="I198" s="18" t="str">
        <f aca="false">IF(H198="","",IF(J198&lt;설정!$B$7,"",ROUND(AVERAGEIFS($H$2:$H$1001,$B$2:$B$1001,B198,$A$2:$A$1001,"&lt;"&amp;A198,$A$2:$A$1001,"&gt;="&amp;(A198-설정!$B$6)),1)))</f>
        <v/>
      </c>
      <c r="J198" s="18" t="str">
        <f aca="false">IF(H198="","",COUNTIFS($B$2:$B$1001,B198,$A$2:$A$1001,"&lt;"&amp;A198,$A$2:$A$1001,"&gt;="&amp;(A198-설정!$B$6),$H$2:$H$1001,"&gt;=0"))</f>
        <v/>
      </c>
      <c r="K198" s="21" t="str">
        <f aca="false">IF(I198="","",H198/I198-1)</f>
        <v/>
      </c>
      <c r="L198" s="19" t="str">
        <f aca="false">IF(H198="","",IF(J198&lt;설정!$B$7,"baseline 수집 중",IF(K198&lt;=-설정!$B$8,"저하","정상")))</f>
        <v/>
      </c>
      <c r="M198" s="20"/>
    </row>
    <row r="199" customFormat="false" ht="15" hidden="false" customHeight="false" outlineLevel="0" collapsed="false">
      <c r="A199" s="16"/>
      <c r="B199" s="17"/>
      <c r="C199" s="17"/>
      <c r="D199" s="17"/>
      <c r="E199" s="17"/>
      <c r="F199" s="17"/>
      <c r="G199" s="18" t="str">
        <f aca="false">IF(COUNT(D199:F199)=0,"",MAX(D199:F199))</f>
        <v/>
      </c>
      <c r="H199" s="18" t="str">
        <f aca="false">IF(COUNT(D199:F199)=0,"",ROUND(AVERAGE(D199:F199),1))</f>
        <v/>
      </c>
      <c r="I199" s="18" t="str">
        <f aca="false">IF(H199="","",IF(J199&lt;설정!$B$7,"",ROUND(AVERAGEIFS($H$2:$H$1001,$B$2:$B$1001,B199,$A$2:$A$1001,"&lt;"&amp;A199,$A$2:$A$1001,"&gt;="&amp;(A199-설정!$B$6)),1)))</f>
        <v/>
      </c>
      <c r="J199" s="18" t="str">
        <f aca="false">IF(H199="","",COUNTIFS($B$2:$B$1001,B199,$A$2:$A$1001,"&lt;"&amp;A199,$A$2:$A$1001,"&gt;="&amp;(A199-설정!$B$6),$H$2:$H$1001,"&gt;=0"))</f>
        <v/>
      </c>
      <c r="K199" s="21" t="str">
        <f aca="false">IF(I199="","",H199/I199-1)</f>
        <v/>
      </c>
      <c r="L199" s="19" t="str">
        <f aca="false">IF(H199="","",IF(J199&lt;설정!$B$7,"baseline 수집 중",IF(K199&lt;=-설정!$B$8,"저하","정상")))</f>
        <v/>
      </c>
      <c r="M199" s="20"/>
    </row>
    <row r="200" customFormat="false" ht="15" hidden="false" customHeight="false" outlineLevel="0" collapsed="false">
      <c r="A200" s="16"/>
      <c r="B200" s="17"/>
      <c r="C200" s="17"/>
      <c r="D200" s="17"/>
      <c r="E200" s="17"/>
      <c r="F200" s="17"/>
      <c r="G200" s="18" t="str">
        <f aca="false">IF(COUNT(D200:F200)=0,"",MAX(D200:F200))</f>
        <v/>
      </c>
      <c r="H200" s="18" t="str">
        <f aca="false">IF(COUNT(D200:F200)=0,"",ROUND(AVERAGE(D200:F200),1))</f>
        <v/>
      </c>
      <c r="I200" s="18" t="str">
        <f aca="false">IF(H200="","",IF(J200&lt;설정!$B$7,"",ROUND(AVERAGEIFS($H$2:$H$1001,$B$2:$B$1001,B200,$A$2:$A$1001,"&lt;"&amp;A200,$A$2:$A$1001,"&gt;="&amp;(A200-설정!$B$6)),1)))</f>
        <v/>
      </c>
      <c r="J200" s="18" t="str">
        <f aca="false">IF(H200="","",COUNTIFS($B$2:$B$1001,B200,$A$2:$A$1001,"&lt;"&amp;A200,$A$2:$A$1001,"&gt;="&amp;(A200-설정!$B$6),$H$2:$H$1001,"&gt;=0"))</f>
        <v/>
      </c>
      <c r="K200" s="21" t="str">
        <f aca="false">IF(I200="","",H200/I200-1)</f>
        <v/>
      </c>
      <c r="L200" s="19" t="str">
        <f aca="false">IF(H200="","",IF(J200&lt;설정!$B$7,"baseline 수집 중",IF(K200&lt;=-설정!$B$8,"저하","정상")))</f>
        <v/>
      </c>
      <c r="M200" s="20"/>
    </row>
    <row r="201" customFormat="false" ht="15" hidden="false" customHeight="false" outlineLevel="0" collapsed="false">
      <c r="A201" s="16"/>
      <c r="B201" s="17"/>
      <c r="C201" s="17"/>
      <c r="D201" s="17"/>
      <c r="E201" s="17"/>
      <c r="F201" s="17"/>
      <c r="G201" s="18" t="str">
        <f aca="false">IF(COUNT(D201:F201)=0,"",MAX(D201:F201))</f>
        <v/>
      </c>
      <c r="H201" s="18" t="str">
        <f aca="false">IF(COUNT(D201:F201)=0,"",ROUND(AVERAGE(D201:F201),1))</f>
        <v/>
      </c>
      <c r="I201" s="18" t="str">
        <f aca="false">IF(H201="","",IF(J201&lt;설정!$B$7,"",ROUND(AVERAGEIFS($H$2:$H$1001,$B$2:$B$1001,B201,$A$2:$A$1001,"&lt;"&amp;A201,$A$2:$A$1001,"&gt;="&amp;(A201-설정!$B$6)),1)))</f>
        <v/>
      </c>
      <c r="J201" s="18" t="str">
        <f aca="false">IF(H201="","",COUNTIFS($B$2:$B$1001,B201,$A$2:$A$1001,"&lt;"&amp;A201,$A$2:$A$1001,"&gt;="&amp;(A201-설정!$B$6),$H$2:$H$1001,"&gt;=0"))</f>
        <v/>
      </c>
      <c r="K201" s="21" t="str">
        <f aca="false">IF(I201="","",H201/I201-1)</f>
        <v/>
      </c>
      <c r="L201" s="19" t="str">
        <f aca="false">IF(H201="","",IF(J201&lt;설정!$B$7,"baseline 수집 중",IF(K201&lt;=-설정!$B$8,"저하","정상")))</f>
        <v/>
      </c>
      <c r="M201" s="20"/>
    </row>
    <row r="202" customFormat="false" ht="15" hidden="false" customHeight="false" outlineLevel="0" collapsed="false">
      <c r="A202" s="16"/>
      <c r="B202" s="17"/>
      <c r="C202" s="17"/>
      <c r="D202" s="17"/>
      <c r="E202" s="17"/>
      <c r="F202" s="17"/>
      <c r="G202" s="18" t="str">
        <f aca="false">IF(COUNT(D202:F202)=0,"",MAX(D202:F202))</f>
        <v/>
      </c>
      <c r="H202" s="18" t="str">
        <f aca="false">IF(COUNT(D202:F202)=0,"",ROUND(AVERAGE(D202:F202),1))</f>
        <v/>
      </c>
      <c r="I202" s="18" t="str">
        <f aca="false">IF(H202="","",IF(J202&lt;설정!$B$7,"",ROUND(AVERAGEIFS($H$2:$H$1001,$B$2:$B$1001,B202,$A$2:$A$1001,"&lt;"&amp;A202,$A$2:$A$1001,"&gt;="&amp;(A202-설정!$B$6)),1)))</f>
        <v/>
      </c>
      <c r="J202" s="18" t="str">
        <f aca="false">IF(H202="","",COUNTIFS($B$2:$B$1001,B202,$A$2:$A$1001,"&lt;"&amp;A202,$A$2:$A$1001,"&gt;="&amp;(A202-설정!$B$6),$H$2:$H$1001,"&gt;=0"))</f>
        <v/>
      </c>
      <c r="K202" s="21" t="str">
        <f aca="false">IF(I202="","",H202/I202-1)</f>
        <v/>
      </c>
      <c r="L202" s="19" t="str">
        <f aca="false">IF(H202="","",IF(J202&lt;설정!$B$7,"baseline 수집 중",IF(K202&lt;=-설정!$B$8,"저하","정상")))</f>
        <v/>
      </c>
      <c r="M202" s="20"/>
    </row>
    <row r="203" customFormat="false" ht="15" hidden="false" customHeight="false" outlineLevel="0" collapsed="false">
      <c r="A203" s="16"/>
      <c r="B203" s="17"/>
      <c r="C203" s="17"/>
      <c r="D203" s="17"/>
      <c r="E203" s="17"/>
      <c r="F203" s="17"/>
      <c r="G203" s="18" t="str">
        <f aca="false">IF(COUNT(D203:F203)=0,"",MAX(D203:F203))</f>
        <v/>
      </c>
      <c r="H203" s="18" t="str">
        <f aca="false">IF(COUNT(D203:F203)=0,"",ROUND(AVERAGE(D203:F203),1))</f>
        <v/>
      </c>
      <c r="I203" s="18" t="str">
        <f aca="false">IF(H203="","",IF(J203&lt;설정!$B$7,"",ROUND(AVERAGEIFS($H$2:$H$1001,$B$2:$B$1001,B203,$A$2:$A$1001,"&lt;"&amp;A203,$A$2:$A$1001,"&gt;="&amp;(A203-설정!$B$6)),1)))</f>
        <v/>
      </c>
      <c r="J203" s="18" t="str">
        <f aca="false">IF(H203="","",COUNTIFS($B$2:$B$1001,B203,$A$2:$A$1001,"&lt;"&amp;A203,$A$2:$A$1001,"&gt;="&amp;(A203-설정!$B$6),$H$2:$H$1001,"&gt;=0"))</f>
        <v/>
      </c>
      <c r="K203" s="21" t="str">
        <f aca="false">IF(I203="","",H203/I203-1)</f>
        <v/>
      </c>
      <c r="L203" s="19" t="str">
        <f aca="false">IF(H203="","",IF(J203&lt;설정!$B$7,"baseline 수집 중",IF(K203&lt;=-설정!$B$8,"저하","정상")))</f>
        <v/>
      </c>
      <c r="M203" s="20"/>
    </row>
    <row r="204" customFormat="false" ht="15" hidden="false" customHeight="false" outlineLevel="0" collapsed="false">
      <c r="A204" s="16"/>
      <c r="B204" s="17"/>
      <c r="C204" s="17"/>
      <c r="D204" s="17"/>
      <c r="E204" s="17"/>
      <c r="F204" s="17"/>
      <c r="G204" s="18" t="str">
        <f aca="false">IF(COUNT(D204:F204)=0,"",MAX(D204:F204))</f>
        <v/>
      </c>
      <c r="H204" s="18" t="str">
        <f aca="false">IF(COUNT(D204:F204)=0,"",ROUND(AVERAGE(D204:F204),1))</f>
        <v/>
      </c>
      <c r="I204" s="18" t="str">
        <f aca="false">IF(H204="","",IF(J204&lt;설정!$B$7,"",ROUND(AVERAGEIFS($H$2:$H$1001,$B$2:$B$1001,B204,$A$2:$A$1001,"&lt;"&amp;A204,$A$2:$A$1001,"&gt;="&amp;(A204-설정!$B$6)),1)))</f>
        <v/>
      </c>
      <c r="J204" s="18" t="str">
        <f aca="false">IF(H204="","",COUNTIFS($B$2:$B$1001,B204,$A$2:$A$1001,"&lt;"&amp;A204,$A$2:$A$1001,"&gt;="&amp;(A204-설정!$B$6),$H$2:$H$1001,"&gt;=0"))</f>
        <v/>
      </c>
      <c r="K204" s="21" t="str">
        <f aca="false">IF(I204="","",H204/I204-1)</f>
        <v/>
      </c>
      <c r="L204" s="19" t="str">
        <f aca="false">IF(H204="","",IF(J204&lt;설정!$B$7,"baseline 수집 중",IF(K204&lt;=-설정!$B$8,"저하","정상")))</f>
        <v/>
      </c>
      <c r="M204" s="20"/>
    </row>
    <row r="205" customFormat="false" ht="15" hidden="false" customHeight="false" outlineLevel="0" collapsed="false">
      <c r="A205" s="16"/>
      <c r="B205" s="17"/>
      <c r="C205" s="17"/>
      <c r="D205" s="17"/>
      <c r="E205" s="17"/>
      <c r="F205" s="17"/>
      <c r="G205" s="18" t="str">
        <f aca="false">IF(COUNT(D205:F205)=0,"",MAX(D205:F205))</f>
        <v/>
      </c>
      <c r="H205" s="18" t="str">
        <f aca="false">IF(COUNT(D205:F205)=0,"",ROUND(AVERAGE(D205:F205),1))</f>
        <v/>
      </c>
      <c r="I205" s="18" t="str">
        <f aca="false">IF(H205="","",IF(J205&lt;설정!$B$7,"",ROUND(AVERAGEIFS($H$2:$H$1001,$B$2:$B$1001,B205,$A$2:$A$1001,"&lt;"&amp;A205,$A$2:$A$1001,"&gt;="&amp;(A205-설정!$B$6)),1)))</f>
        <v/>
      </c>
      <c r="J205" s="18" t="str">
        <f aca="false">IF(H205="","",COUNTIFS($B$2:$B$1001,B205,$A$2:$A$1001,"&lt;"&amp;A205,$A$2:$A$1001,"&gt;="&amp;(A205-설정!$B$6),$H$2:$H$1001,"&gt;=0"))</f>
        <v/>
      </c>
      <c r="K205" s="21" t="str">
        <f aca="false">IF(I205="","",H205/I205-1)</f>
        <v/>
      </c>
      <c r="L205" s="19" t="str">
        <f aca="false">IF(H205="","",IF(J205&lt;설정!$B$7,"baseline 수집 중",IF(K205&lt;=-설정!$B$8,"저하","정상")))</f>
        <v/>
      </c>
      <c r="M205" s="20"/>
    </row>
    <row r="206" customFormat="false" ht="15" hidden="false" customHeight="false" outlineLevel="0" collapsed="false">
      <c r="A206" s="16"/>
      <c r="B206" s="17"/>
      <c r="C206" s="17"/>
      <c r="D206" s="17"/>
      <c r="E206" s="17"/>
      <c r="F206" s="17"/>
      <c r="G206" s="18" t="str">
        <f aca="false">IF(COUNT(D206:F206)=0,"",MAX(D206:F206))</f>
        <v/>
      </c>
      <c r="H206" s="18" t="str">
        <f aca="false">IF(COUNT(D206:F206)=0,"",ROUND(AVERAGE(D206:F206),1))</f>
        <v/>
      </c>
      <c r="I206" s="18" t="str">
        <f aca="false">IF(H206="","",IF(J206&lt;설정!$B$7,"",ROUND(AVERAGEIFS($H$2:$H$1001,$B$2:$B$1001,B206,$A$2:$A$1001,"&lt;"&amp;A206,$A$2:$A$1001,"&gt;="&amp;(A206-설정!$B$6)),1)))</f>
        <v/>
      </c>
      <c r="J206" s="18" t="str">
        <f aca="false">IF(H206="","",COUNTIFS($B$2:$B$1001,B206,$A$2:$A$1001,"&lt;"&amp;A206,$A$2:$A$1001,"&gt;="&amp;(A206-설정!$B$6),$H$2:$H$1001,"&gt;=0"))</f>
        <v/>
      </c>
      <c r="K206" s="21" t="str">
        <f aca="false">IF(I206="","",H206/I206-1)</f>
        <v/>
      </c>
      <c r="L206" s="19" t="str">
        <f aca="false">IF(H206="","",IF(J206&lt;설정!$B$7,"baseline 수집 중",IF(K206&lt;=-설정!$B$8,"저하","정상")))</f>
        <v/>
      </c>
      <c r="M206" s="20"/>
    </row>
    <row r="207" customFormat="false" ht="15" hidden="false" customHeight="false" outlineLevel="0" collapsed="false">
      <c r="A207" s="16"/>
      <c r="B207" s="17"/>
      <c r="C207" s="17"/>
      <c r="D207" s="17"/>
      <c r="E207" s="17"/>
      <c r="F207" s="17"/>
      <c r="G207" s="18" t="str">
        <f aca="false">IF(COUNT(D207:F207)=0,"",MAX(D207:F207))</f>
        <v/>
      </c>
      <c r="H207" s="18" t="str">
        <f aca="false">IF(COUNT(D207:F207)=0,"",ROUND(AVERAGE(D207:F207),1))</f>
        <v/>
      </c>
      <c r="I207" s="18" t="str">
        <f aca="false">IF(H207="","",IF(J207&lt;설정!$B$7,"",ROUND(AVERAGEIFS($H$2:$H$1001,$B$2:$B$1001,B207,$A$2:$A$1001,"&lt;"&amp;A207,$A$2:$A$1001,"&gt;="&amp;(A207-설정!$B$6)),1)))</f>
        <v/>
      </c>
      <c r="J207" s="18" t="str">
        <f aca="false">IF(H207="","",COUNTIFS($B$2:$B$1001,B207,$A$2:$A$1001,"&lt;"&amp;A207,$A$2:$A$1001,"&gt;="&amp;(A207-설정!$B$6),$H$2:$H$1001,"&gt;=0"))</f>
        <v/>
      </c>
      <c r="K207" s="21" t="str">
        <f aca="false">IF(I207="","",H207/I207-1)</f>
        <v/>
      </c>
      <c r="L207" s="19" t="str">
        <f aca="false">IF(H207="","",IF(J207&lt;설정!$B$7,"baseline 수집 중",IF(K207&lt;=-설정!$B$8,"저하","정상")))</f>
        <v/>
      </c>
      <c r="M207" s="20"/>
    </row>
    <row r="208" customFormat="false" ht="15" hidden="false" customHeight="false" outlineLevel="0" collapsed="false">
      <c r="A208" s="16"/>
      <c r="B208" s="17"/>
      <c r="C208" s="17"/>
      <c r="D208" s="17"/>
      <c r="E208" s="17"/>
      <c r="F208" s="17"/>
      <c r="G208" s="18" t="str">
        <f aca="false">IF(COUNT(D208:F208)=0,"",MAX(D208:F208))</f>
        <v/>
      </c>
      <c r="H208" s="18" t="str">
        <f aca="false">IF(COUNT(D208:F208)=0,"",ROUND(AVERAGE(D208:F208),1))</f>
        <v/>
      </c>
      <c r="I208" s="18" t="str">
        <f aca="false">IF(H208="","",IF(J208&lt;설정!$B$7,"",ROUND(AVERAGEIFS($H$2:$H$1001,$B$2:$B$1001,B208,$A$2:$A$1001,"&lt;"&amp;A208,$A$2:$A$1001,"&gt;="&amp;(A208-설정!$B$6)),1)))</f>
        <v/>
      </c>
      <c r="J208" s="18" t="str">
        <f aca="false">IF(H208="","",COUNTIFS($B$2:$B$1001,B208,$A$2:$A$1001,"&lt;"&amp;A208,$A$2:$A$1001,"&gt;="&amp;(A208-설정!$B$6),$H$2:$H$1001,"&gt;=0"))</f>
        <v/>
      </c>
      <c r="K208" s="21" t="str">
        <f aca="false">IF(I208="","",H208/I208-1)</f>
        <v/>
      </c>
      <c r="L208" s="19" t="str">
        <f aca="false">IF(H208="","",IF(J208&lt;설정!$B$7,"baseline 수집 중",IF(K208&lt;=-설정!$B$8,"저하","정상")))</f>
        <v/>
      </c>
      <c r="M208" s="20"/>
    </row>
    <row r="209" customFormat="false" ht="15" hidden="false" customHeight="false" outlineLevel="0" collapsed="false">
      <c r="A209" s="16"/>
      <c r="B209" s="17"/>
      <c r="C209" s="17"/>
      <c r="D209" s="17"/>
      <c r="E209" s="17"/>
      <c r="F209" s="17"/>
      <c r="G209" s="18" t="str">
        <f aca="false">IF(COUNT(D209:F209)=0,"",MAX(D209:F209))</f>
        <v/>
      </c>
      <c r="H209" s="18" t="str">
        <f aca="false">IF(COUNT(D209:F209)=0,"",ROUND(AVERAGE(D209:F209),1))</f>
        <v/>
      </c>
      <c r="I209" s="18" t="str">
        <f aca="false">IF(H209="","",IF(J209&lt;설정!$B$7,"",ROUND(AVERAGEIFS($H$2:$H$1001,$B$2:$B$1001,B209,$A$2:$A$1001,"&lt;"&amp;A209,$A$2:$A$1001,"&gt;="&amp;(A209-설정!$B$6)),1)))</f>
        <v/>
      </c>
      <c r="J209" s="18" t="str">
        <f aca="false">IF(H209="","",COUNTIFS($B$2:$B$1001,B209,$A$2:$A$1001,"&lt;"&amp;A209,$A$2:$A$1001,"&gt;="&amp;(A209-설정!$B$6),$H$2:$H$1001,"&gt;=0"))</f>
        <v/>
      </c>
      <c r="K209" s="21" t="str">
        <f aca="false">IF(I209="","",H209/I209-1)</f>
        <v/>
      </c>
      <c r="L209" s="19" t="str">
        <f aca="false">IF(H209="","",IF(J209&lt;설정!$B$7,"baseline 수집 중",IF(K209&lt;=-설정!$B$8,"저하","정상")))</f>
        <v/>
      </c>
      <c r="M209" s="20"/>
    </row>
    <row r="210" customFormat="false" ht="15" hidden="false" customHeight="false" outlineLevel="0" collapsed="false">
      <c r="A210" s="16"/>
      <c r="B210" s="17"/>
      <c r="C210" s="17"/>
      <c r="D210" s="17"/>
      <c r="E210" s="17"/>
      <c r="F210" s="17"/>
      <c r="G210" s="18" t="str">
        <f aca="false">IF(COUNT(D210:F210)=0,"",MAX(D210:F210))</f>
        <v/>
      </c>
      <c r="H210" s="18" t="str">
        <f aca="false">IF(COUNT(D210:F210)=0,"",ROUND(AVERAGE(D210:F210),1))</f>
        <v/>
      </c>
      <c r="I210" s="18" t="str">
        <f aca="false">IF(H210="","",IF(J210&lt;설정!$B$7,"",ROUND(AVERAGEIFS($H$2:$H$1001,$B$2:$B$1001,B210,$A$2:$A$1001,"&lt;"&amp;A210,$A$2:$A$1001,"&gt;="&amp;(A210-설정!$B$6)),1)))</f>
        <v/>
      </c>
      <c r="J210" s="18" t="str">
        <f aca="false">IF(H210="","",COUNTIFS($B$2:$B$1001,B210,$A$2:$A$1001,"&lt;"&amp;A210,$A$2:$A$1001,"&gt;="&amp;(A210-설정!$B$6),$H$2:$H$1001,"&gt;=0"))</f>
        <v/>
      </c>
      <c r="K210" s="21" t="str">
        <f aca="false">IF(I210="","",H210/I210-1)</f>
        <v/>
      </c>
      <c r="L210" s="19" t="str">
        <f aca="false">IF(H210="","",IF(J210&lt;설정!$B$7,"baseline 수집 중",IF(K210&lt;=-설정!$B$8,"저하","정상")))</f>
        <v/>
      </c>
      <c r="M210" s="20"/>
    </row>
    <row r="211" customFormat="false" ht="15" hidden="false" customHeight="false" outlineLevel="0" collapsed="false">
      <c r="A211" s="16"/>
      <c r="B211" s="17"/>
      <c r="C211" s="17"/>
      <c r="D211" s="17"/>
      <c r="E211" s="17"/>
      <c r="F211" s="17"/>
      <c r="G211" s="18" t="str">
        <f aca="false">IF(COUNT(D211:F211)=0,"",MAX(D211:F211))</f>
        <v/>
      </c>
      <c r="H211" s="18" t="str">
        <f aca="false">IF(COUNT(D211:F211)=0,"",ROUND(AVERAGE(D211:F211),1))</f>
        <v/>
      </c>
      <c r="I211" s="18" t="str">
        <f aca="false">IF(H211="","",IF(J211&lt;설정!$B$7,"",ROUND(AVERAGEIFS($H$2:$H$1001,$B$2:$B$1001,B211,$A$2:$A$1001,"&lt;"&amp;A211,$A$2:$A$1001,"&gt;="&amp;(A211-설정!$B$6)),1)))</f>
        <v/>
      </c>
      <c r="J211" s="18" t="str">
        <f aca="false">IF(H211="","",COUNTIFS($B$2:$B$1001,B211,$A$2:$A$1001,"&lt;"&amp;A211,$A$2:$A$1001,"&gt;="&amp;(A211-설정!$B$6),$H$2:$H$1001,"&gt;=0"))</f>
        <v/>
      </c>
      <c r="K211" s="21" t="str">
        <f aca="false">IF(I211="","",H211/I211-1)</f>
        <v/>
      </c>
      <c r="L211" s="19" t="str">
        <f aca="false">IF(H211="","",IF(J211&lt;설정!$B$7,"baseline 수집 중",IF(K211&lt;=-설정!$B$8,"저하","정상")))</f>
        <v/>
      </c>
      <c r="M211" s="20"/>
    </row>
    <row r="212" customFormat="false" ht="15" hidden="false" customHeight="false" outlineLevel="0" collapsed="false">
      <c r="A212" s="16"/>
      <c r="B212" s="17"/>
      <c r="C212" s="17"/>
      <c r="D212" s="17"/>
      <c r="E212" s="17"/>
      <c r="F212" s="17"/>
      <c r="G212" s="18" t="str">
        <f aca="false">IF(COUNT(D212:F212)=0,"",MAX(D212:F212))</f>
        <v/>
      </c>
      <c r="H212" s="18" t="str">
        <f aca="false">IF(COUNT(D212:F212)=0,"",ROUND(AVERAGE(D212:F212),1))</f>
        <v/>
      </c>
      <c r="I212" s="18" t="str">
        <f aca="false">IF(H212="","",IF(J212&lt;설정!$B$7,"",ROUND(AVERAGEIFS($H$2:$H$1001,$B$2:$B$1001,B212,$A$2:$A$1001,"&lt;"&amp;A212,$A$2:$A$1001,"&gt;="&amp;(A212-설정!$B$6)),1)))</f>
        <v/>
      </c>
      <c r="J212" s="18" t="str">
        <f aca="false">IF(H212="","",COUNTIFS($B$2:$B$1001,B212,$A$2:$A$1001,"&lt;"&amp;A212,$A$2:$A$1001,"&gt;="&amp;(A212-설정!$B$6),$H$2:$H$1001,"&gt;=0"))</f>
        <v/>
      </c>
      <c r="K212" s="21" t="str">
        <f aca="false">IF(I212="","",H212/I212-1)</f>
        <v/>
      </c>
      <c r="L212" s="19" t="str">
        <f aca="false">IF(H212="","",IF(J212&lt;설정!$B$7,"baseline 수집 중",IF(K212&lt;=-설정!$B$8,"저하","정상")))</f>
        <v/>
      </c>
      <c r="M212" s="20"/>
    </row>
    <row r="213" customFormat="false" ht="15" hidden="false" customHeight="false" outlineLevel="0" collapsed="false">
      <c r="A213" s="16"/>
      <c r="B213" s="17"/>
      <c r="C213" s="17"/>
      <c r="D213" s="17"/>
      <c r="E213" s="17"/>
      <c r="F213" s="17"/>
      <c r="G213" s="18" t="str">
        <f aca="false">IF(COUNT(D213:F213)=0,"",MAX(D213:F213))</f>
        <v/>
      </c>
      <c r="H213" s="18" t="str">
        <f aca="false">IF(COUNT(D213:F213)=0,"",ROUND(AVERAGE(D213:F213),1))</f>
        <v/>
      </c>
      <c r="I213" s="18" t="str">
        <f aca="false">IF(H213="","",IF(J213&lt;설정!$B$7,"",ROUND(AVERAGEIFS($H$2:$H$1001,$B$2:$B$1001,B213,$A$2:$A$1001,"&lt;"&amp;A213,$A$2:$A$1001,"&gt;="&amp;(A213-설정!$B$6)),1)))</f>
        <v/>
      </c>
      <c r="J213" s="18" t="str">
        <f aca="false">IF(H213="","",COUNTIFS($B$2:$B$1001,B213,$A$2:$A$1001,"&lt;"&amp;A213,$A$2:$A$1001,"&gt;="&amp;(A213-설정!$B$6),$H$2:$H$1001,"&gt;=0"))</f>
        <v/>
      </c>
      <c r="K213" s="21" t="str">
        <f aca="false">IF(I213="","",H213/I213-1)</f>
        <v/>
      </c>
      <c r="L213" s="19" t="str">
        <f aca="false">IF(H213="","",IF(J213&lt;설정!$B$7,"baseline 수집 중",IF(K213&lt;=-설정!$B$8,"저하","정상")))</f>
        <v/>
      </c>
      <c r="M213" s="20"/>
    </row>
    <row r="214" customFormat="false" ht="15" hidden="false" customHeight="false" outlineLevel="0" collapsed="false">
      <c r="A214" s="16"/>
      <c r="B214" s="17"/>
      <c r="C214" s="17"/>
      <c r="D214" s="17"/>
      <c r="E214" s="17"/>
      <c r="F214" s="17"/>
      <c r="G214" s="18" t="str">
        <f aca="false">IF(COUNT(D214:F214)=0,"",MAX(D214:F214))</f>
        <v/>
      </c>
      <c r="H214" s="18" t="str">
        <f aca="false">IF(COUNT(D214:F214)=0,"",ROUND(AVERAGE(D214:F214),1))</f>
        <v/>
      </c>
      <c r="I214" s="18" t="str">
        <f aca="false">IF(H214="","",IF(J214&lt;설정!$B$7,"",ROUND(AVERAGEIFS($H$2:$H$1001,$B$2:$B$1001,B214,$A$2:$A$1001,"&lt;"&amp;A214,$A$2:$A$1001,"&gt;="&amp;(A214-설정!$B$6)),1)))</f>
        <v/>
      </c>
      <c r="J214" s="18" t="str">
        <f aca="false">IF(H214="","",COUNTIFS($B$2:$B$1001,B214,$A$2:$A$1001,"&lt;"&amp;A214,$A$2:$A$1001,"&gt;="&amp;(A214-설정!$B$6),$H$2:$H$1001,"&gt;=0"))</f>
        <v/>
      </c>
      <c r="K214" s="21" t="str">
        <f aca="false">IF(I214="","",H214/I214-1)</f>
        <v/>
      </c>
      <c r="L214" s="19" t="str">
        <f aca="false">IF(H214="","",IF(J214&lt;설정!$B$7,"baseline 수집 중",IF(K214&lt;=-설정!$B$8,"저하","정상")))</f>
        <v/>
      </c>
      <c r="M214" s="20"/>
    </row>
    <row r="215" customFormat="false" ht="15" hidden="false" customHeight="false" outlineLevel="0" collapsed="false">
      <c r="A215" s="16"/>
      <c r="B215" s="17"/>
      <c r="C215" s="17"/>
      <c r="D215" s="17"/>
      <c r="E215" s="17"/>
      <c r="F215" s="17"/>
      <c r="G215" s="18" t="str">
        <f aca="false">IF(COUNT(D215:F215)=0,"",MAX(D215:F215))</f>
        <v/>
      </c>
      <c r="H215" s="18" t="str">
        <f aca="false">IF(COUNT(D215:F215)=0,"",ROUND(AVERAGE(D215:F215),1))</f>
        <v/>
      </c>
      <c r="I215" s="18" t="str">
        <f aca="false">IF(H215="","",IF(J215&lt;설정!$B$7,"",ROUND(AVERAGEIFS($H$2:$H$1001,$B$2:$B$1001,B215,$A$2:$A$1001,"&lt;"&amp;A215,$A$2:$A$1001,"&gt;="&amp;(A215-설정!$B$6)),1)))</f>
        <v/>
      </c>
      <c r="J215" s="18" t="str">
        <f aca="false">IF(H215="","",COUNTIFS($B$2:$B$1001,B215,$A$2:$A$1001,"&lt;"&amp;A215,$A$2:$A$1001,"&gt;="&amp;(A215-설정!$B$6),$H$2:$H$1001,"&gt;=0"))</f>
        <v/>
      </c>
      <c r="K215" s="21" t="str">
        <f aca="false">IF(I215="","",H215/I215-1)</f>
        <v/>
      </c>
      <c r="L215" s="19" t="str">
        <f aca="false">IF(H215="","",IF(J215&lt;설정!$B$7,"baseline 수집 중",IF(K215&lt;=-설정!$B$8,"저하","정상")))</f>
        <v/>
      </c>
      <c r="M215" s="20"/>
    </row>
    <row r="216" customFormat="false" ht="15" hidden="false" customHeight="false" outlineLevel="0" collapsed="false">
      <c r="A216" s="16"/>
      <c r="B216" s="17"/>
      <c r="C216" s="17"/>
      <c r="D216" s="17"/>
      <c r="E216" s="17"/>
      <c r="F216" s="17"/>
      <c r="G216" s="18" t="str">
        <f aca="false">IF(COUNT(D216:F216)=0,"",MAX(D216:F216))</f>
        <v/>
      </c>
      <c r="H216" s="18" t="str">
        <f aca="false">IF(COUNT(D216:F216)=0,"",ROUND(AVERAGE(D216:F216),1))</f>
        <v/>
      </c>
      <c r="I216" s="18" t="str">
        <f aca="false">IF(H216="","",IF(J216&lt;설정!$B$7,"",ROUND(AVERAGEIFS($H$2:$H$1001,$B$2:$B$1001,B216,$A$2:$A$1001,"&lt;"&amp;A216,$A$2:$A$1001,"&gt;="&amp;(A216-설정!$B$6)),1)))</f>
        <v/>
      </c>
      <c r="J216" s="18" t="str">
        <f aca="false">IF(H216="","",COUNTIFS($B$2:$B$1001,B216,$A$2:$A$1001,"&lt;"&amp;A216,$A$2:$A$1001,"&gt;="&amp;(A216-설정!$B$6),$H$2:$H$1001,"&gt;=0"))</f>
        <v/>
      </c>
      <c r="K216" s="21" t="str">
        <f aca="false">IF(I216="","",H216/I216-1)</f>
        <v/>
      </c>
      <c r="L216" s="19" t="str">
        <f aca="false">IF(H216="","",IF(J216&lt;설정!$B$7,"baseline 수집 중",IF(K216&lt;=-설정!$B$8,"저하","정상")))</f>
        <v/>
      </c>
      <c r="M216" s="20"/>
    </row>
    <row r="217" customFormat="false" ht="15" hidden="false" customHeight="false" outlineLevel="0" collapsed="false">
      <c r="A217" s="16"/>
      <c r="B217" s="17"/>
      <c r="C217" s="17"/>
      <c r="D217" s="17"/>
      <c r="E217" s="17"/>
      <c r="F217" s="17"/>
      <c r="G217" s="18" t="str">
        <f aca="false">IF(COUNT(D217:F217)=0,"",MAX(D217:F217))</f>
        <v/>
      </c>
      <c r="H217" s="18" t="str">
        <f aca="false">IF(COUNT(D217:F217)=0,"",ROUND(AVERAGE(D217:F217),1))</f>
        <v/>
      </c>
      <c r="I217" s="18" t="str">
        <f aca="false">IF(H217="","",IF(J217&lt;설정!$B$7,"",ROUND(AVERAGEIFS($H$2:$H$1001,$B$2:$B$1001,B217,$A$2:$A$1001,"&lt;"&amp;A217,$A$2:$A$1001,"&gt;="&amp;(A217-설정!$B$6)),1)))</f>
        <v/>
      </c>
      <c r="J217" s="18" t="str">
        <f aca="false">IF(H217="","",COUNTIFS($B$2:$B$1001,B217,$A$2:$A$1001,"&lt;"&amp;A217,$A$2:$A$1001,"&gt;="&amp;(A217-설정!$B$6),$H$2:$H$1001,"&gt;=0"))</f>
        <v/>
      </c>
      <c r="K217" s="21" t="str">
        <f aca="false">IF(I217="","",H217/I217-1)</f>
        <v/>
      </c>
      <c r="L217" s="19" t="str">
        <f aca="false">IF(H217="","",IF(J217&lt;설정!$B$7,"baseline 수집 중",IF(K217&lt;=-설정!$B$8,"저하","정상")))</f>
        <v/>
      </c>
      <c r="M217" s="20"/>
    </row>
    <row r="218" customFormat="false" ht="15" hidden="false" customHeight="false" outlineLevel="0" collapsed="false">
      <c r="A218" s="16"/>
      <c r="B218" s="17"/>
      <c r="C218" s="17"/>
      <c r="D218" s="17"/>
      <c r="E218" s="17"/>
      <c r="F218" s="17"/>
      <c r="G218" s="18" t="str">
        <f aca="false">IF(COUNT(D218:F218)=0,"",MAX(D218:F218))</f>
        <v/>
      </c>
      <c r="H218" s="18" t="str">
        <f aca="false">IF(COUNT(D218:F218)=0,"",ROUND(AVERAGE(D218:F218),1))</f>
        <v/>
      </c>
      <c r="I218" s="18" t="str">
        <f aca="false">IF(H218="","",IF(J218&lt;설정!$B$7,"",ROUND(AVERAGEIFS($H$2:$H$1001,$B$2:$B$1001,B218,$A$2:$A$1001,"&lt;"&amp;A218,$A$2:$A$1001,"&gt;="&amp;(A218-설정!$B$6)),1)))</f>
        <v/>
      </c>
      <c r="J218" s="18" t="str">
        <f aca="false">IF(H218="","",COUNTIFS($B$2:$B$1001,B218,$A$2:$A$1001,"&lt;"&amp;A218,$A$2:$A$1001,"&gt;="&amp;(A218-설정!$B$6),$H$2:$H$1001,"&gt;=0"))</f>
        <v/>
      </c>
      <c r="K218" s="21" t="str">
        <f aca="false">IF(I218="","",H218/I218-1)</f>
        <v/>
      </c>
      <c r="L218" s="19" t="str">
        <f aca="false">IF(H218="","",IF(J218&lt;설정!$B$7,"baseline 수집 중",IF(K218&lt;=-설정!$B$8,"저하","정상")))</f>
        <v/>
      </c>
      <c r="M218" s="20"/>
    </row>
    <row r="219" customFormat="false" ht="15" hidden="false" customHeight="false" outlineLevel="0" collapsed="false">
      <c r="A219" s="16"/>
      <c r="B219" s="17"/>
      <c r="C219" s="17"/>
      <c r="D219" s="17"/>
      <c r="E219" s="17"/>
      <c r="F219" s="17"/>
      <c r="G219" s="18" t="str">
        <f aca="false">IF(COUNT(D219:F219)=0,"",MAX(D219:F219))</f>
        <v/>
      </c>
      <c r="H219" s="18" t="str">
        <f aca="false">IF(COUNT(D219:F219)=0,"",ROUND(AVERAGE(D219:F219),1))</f>
        <v/>
      </c>
      <c r="I219" s="18" t="str">
        <f aca="false">IF(H219="","",IF(J219&lt;설정!$B$7,"",ROUND(AVERAGEIFS($H$2:$H$1001,$B$2:$B$1001,B219,$A$2:$A$1001,"&lt;"&amp;A219,$A$2:$A$1001,"&gt;="&amp;(A219-설정!$B$6)),1)))</f>
        <v/>
      </c>
      <c r="J219" s="18" t="str">
        <f aca="false">IF(H219="","",COUNTIFS($B$2:$B$1001,B219,$A$2:$A$1001,"&lt;"&amp;A219,$A$2:$A$1001,"&gt;="&amp;(A219-설정!$B$6),$H$2:$H$1001,"&gt;=0"))</f>
        <v/>
      </c>
      <c r="K219" s="21" t="str">
        <f aca="false">IF(I219="","",H219/I219-1)</f>
        <v/>
      </c>
      <c r="L219" s="19" t="str">
        <f aca="false">IF(H219="","",IF(J219&lt;설정!$B$7,"baseline 수집 중",IF(K219&lt;=-설정!$B$8,"저하","정상")))</f>
        <v/>
      </c>
      <c r="M219" s="20"/>
    </row>
    <row r="220" customFormat="false" ht="15" hidden="false" customHeight="false" outlineLevel="0" collapsed="false">
      <c r="A220" s="16"/>
      <c r="B220" s="17"/>
      <c r="C220" s="17"/>
      <c r="D220" s="17"/>
      <c r="E220" s="17"/>
      <c r="F220" s="17"/>
      <c r="G220" s="18" t="str">
        <f aca="false">IF(COUNT(D220:F220)=0,"",MAX(D220:F220))</f>
        <v/>
      </c>
      <c r="H220" s="18" t="str">
        <f aca="false">IF(COUNT(D220:F220)=0,"",ROUND(AVERAGE(D220:F220),1))</f>
        <v/>
      </c>
      <c r="I220" s="18" t="str">
        <f aca="false">IF(H220="","",IF(J220&lt;설정!$B$7,"",ROUND(AVERAGEIFS($H$2:$H$1001,$B$2:$B$1001,B220,$A$2:$A$1001,"&lt;"&amp;A220,$A$2:$A$1001,"&gt;="&amp;(A220-설정!$B$6)),1)))</f>
        <v/>
      </c>
      <c r="J220" s="18" t="str">
        <f aca="false">IF(H220="","",COUNTIFS($B$2:$B$1001,B220,$A$2:$A$1001,"&lt;"&amp;A220,$A$2:$A$1001,"&gt;="&amp;(A220-설정!$B$6),$H$2:$H$1001,"&gt;=0"))</f>
        <v/>
      </c>
      <c r="K220" s="21" t="str">
        <f aca="false">IF(I220="","",H220/I220-1)</f>
        <v/>
      </c>
      <c r="L220" s="19" t="str">
        <f aca="false">IF(H220="","",IF(J220&lt;설정!$B$7,"baseline 수집 중",IF(K220&lt;=-설정!$B$8,"저하","정상")))</f>
        <v/>
      </c>
      <c r="M220" s="20"/>
    </row>
    <row r="221" customFormat="false" ht="15" hidden="false" customHeight="false" outlineLevel="0" collapsed="false">
      <c r="A221" s="16"/>
      <c r="B221" s="17"/>
      <c r="C221" s="17"/>
      <c r="D221" s="17"/>
      <c r="E221" s="17"/>
      <c r="F221" s="17"/>
      <c r="G221" s="18" t="str">
        <f aca="false">IF(COUNT(D221:F221)=0,"",MAX(D221:F221))</f>
        <v/>
      </c>
      <c r="H221" s="18" t="str">
        <f aca="false">IF(COUNT(D221:F221)=0,"",ROUND(AVERAGE(D221:F221),1))</f>
        <v/>
      </c>
      <c r="I221" s="18" t="str">
        <f aca="false">IF(H221="","",IF(J221&lt;설정!$B$7,"",ROUND(AVERAGEIFS($H$2:$H$1001,$B$2:$B$1001,B221,$A$2:$A$1001,"&lt;"&amp;A221,$A$2:$A$1001,"&gt;="&amp;(A221-설정!$B$6)),1)))</f>
        <v/>
      </c>
      <c r="J221" s="18" t="str">
        <f aca="false">IF(H221="","",COUNTIFS($B$2:$B$1001,B221,$A$2:$A$1001,"&lt;"&amp;A221,$A$2:$A$1001,"&gt;="&amp;(A221-설정!$B$6),$H$2:$H$1001,"&gt;=0"))</f>
        <v/>
      </c>
      <c r="K221" s="21" t="str">
        <f aca="false">IF(I221="","",H221/I221-1)</f>
        <v/>
      </c>
      <c r="L221" s="19" t="str">
        <f aca="false">IF(H221="","",IF(J221&lt;설정!$B$7,"baseline 수집 중",IF(K221&lt;=-설정!$B$8,"저하","정상")))</f>
        <v/>
      </c>
      <c r="M221" s="20"/>
    </row>
    <row r="222" customFormat="false" ht="15" hidden="false" customHeight="false" outlineLevel="0" collapsed="false">
      <c r="A222" s="16"/>
      <c r="B222" s="17"/>
      <c r="C222" s="17"/>
      <c r="D222" s="17"/>
      <c r="E222" s="17"/>
      <c r="F222" s="17"/>
      <c r="G222" s="18" t="str">
        <f aca="false">IF(COUNT(D222:F222)=0,"",MAX(D222:F222))</f>
        <v/>
      </c>
      <c r="H222" s="18" t="str">
        <f aca="false">IF(COUNT(D222:F222)=0,"",ROUND(AVERAGE(D222:F222),1))</f>
        <v/>
      </c>
      <c r="I222" s="18" t="str">
        <f aca="false">IF(H222="","",IF(J222&lt;설정!$B$7,"",ROUND(AVERAGEIFS($H$2:$H$1001,$B$2:$B$1001,B222,$A$2:$A$1001,"&lt;"&amp;A222,$A$2:$A$1001,"&gt;="&amp;(A222-설정!$B$6)),1)))</f>
        <v/>
      </c>
      <c r="J222" s="18" t="str">
        <f aca="false">IF(H222="","",COUNTIFS($B$2:$B$1001,B222,$A$2:$A$1001,"&lt;"&amp;A222,$A$2:$A$1001,"&gt;="&amp;(A222-설정!$B$6),$H$2:$H$1001,"&gt;=0"))</f>
        <v/>
      </c>
      <c r="K222" s="21" t="str">
        <f aca="false">IF(I222="","",H222/I222-1)</f>
        <v/>
      </c>
      <c r="L222" s="19" t="str">
        <f aca="false">IF(H222="","",IF(J222&lt;설정!$B$7,"baseline 수집 중",IF(K222&lt;=-설정!$B$8,"저하","정상")))</f>
        <v/>
      </c>
      <c r="M222" s="20"/>
    </row>
    <row r="223" customFormat="false" ht="15" hidden="false" customHeight="false" outlineLevel="0" collapsed="false">
      <c r="A223" s="16"/>
      <c r="B223" s="17"/>
      <c r="C223" s="17"/>
      <c r="D223" s="17"/>
      <c r="E223" s="17"/>
      <c r="F223" s="17"/>
      <c r="G223" s="18" t="str">
        <f aca="false">IF(COUNT(D223:F223)=0,"",MAX(D223:F223))</f>
        <v/>
      </c>
      <c r="H223" s="18" t="str">
        <f aca="false">IF(COUNT(D223:F223)=0,"",ROUND(AVERAGE(D223:F223),1))</f>
        <v/>
      </c>
      <c r="I223" s="18" t="str">
        <f aca="false">IF(H223="","",IF(J223&lt;설정!$B$7,"",ROUND(AVERAGEIFS($H$2:$H$1001,$B$2:$B$1001,B223,$A$2:$A$1001,"&lt;"&amp;A223,$A$2:$A$1001,"&gt;="&amp;(A223-설정!$B$6)),1)))</f>
        <v/>
      </c>
      <c r="J223" s="18" t="str">
        <f aca="false">IF(H223="","",COUNTIFS($B$2:$B$1001,B223,$A$2:$A$1001,"&lt;"&amp;A223,$A$2:$A$1001,"&gt;="&amp;(A223-설정!$B$6),$H$2:$H$1001,"&gt;=0"))</f>
        <v/>
      </c>
      <c r="K223" s="21" t="str">
        <f aca="false">IF(I223="","",H223/I223-1)</f>
        <v/>
      </c>
      <c r="L223" s="19" t="str">
        <f aca="false">IF(H223="","",IF(J223&lt;설정!$B$7,"baseline 수집 중",IF(K223&lt;=-설정!$B$8,"저하","정상")))</f>
        <v/>
      </c>
      <c r="M223" s="20"/>
    </row>
    <row r="224" customFormat="false" ht="15" hidden="false" customHeight="false" outlineLevel="0" collapsed="false">
      <c r="A224" s="16"/>
      <c r="B224" s="17"/>
      <c r="C224" s="17"/>
      <c r="D224" s="17"/>
      <c r="E224" s="17"/>
      <c r="F224" s="17"/>
      <c r="G224" s="18" t="str">
        <f aca="false">IF(COUNT(D224:F224)=0,"",MAX(D224:F224))</f>
        <v/>
      </c>
      <c r="H224" s="18" t="str">
        <f aca="false">IF(COUNT(D224:F224)=0,"",ROUND(AVERAGE(D224:F224),1))</f>
        <v/>
      </c>
      <c r="I224" s="18" t="str">
        <f aca="false">IF(H224="","",IF(J224&lt;설정!$B$7,"",ROUND(AVERAGEIFS($H$2:$H$1001,$B$2:$B$1001,B224,$A$2:$A$1001,"&lt;"&amp;A224,$A$2:$A$1001,"&gt;="&amp;(A224-설정!$B$6)),1)))</f>
        <v/>
      </c>
      <c r="J224" s="18" t="str">
        <f aca="false">IF(H224="","",COUNTIFS($B$2:$B$1001,B224,$A$2:$A$1001,"&lt;"&amp;A224,$A$2:$A$1001,"&gt;="&amp;(A224-설정!$B$6),$H$2:$H$1001,"&gt;=0"))</f>
        <v/>
      </c>
      <c r="K224" s="21" t="str">
        <f aca="false">IF(I224="","",H224/I224-1)</f>
        <v/>
      </c>
      <c r="L224" s="19" t="str">
        <f aca="false">IF(H224="","",IF(J224&lt;설정!$B$7,"baseline 수집 중",IF(K224&lt;=-설정!$B$8,"저하","정상")))</f>
        <v/>
      </c>
      <c r="M224" s="20"/>
    </row>
    <row r="225" customFormat="false" ht="15" hidden="false" customHeight="false" outlineLevel="0" collapsed="false">
      <c r="A225" s="16"/>
      <c r="B225" s="17"/>
      <c r="C225" s="17"/>
      <c r="D225" s="17"/>
      <c r="E225" s="17"/>
      <c r="F225" s="17"/>
      <c r="G225" s="18" t="str">
        <f aca="false">IF(COUNT(D225:F225)=0,"",MAX(D225:F225))</f>
        <v/>
      </c>
      <c r="H225" s="18" t="str">
        <f aca="false">IF(COUNT(D225:F225)=0,"",ROUND(AVERAGE(D225:F225),1))</f>
        <v/>
      </c>
      <c r="I225" s="18" t="str">
        <f aca="false">IF(H225="","",IF(J225&lt;설정!$B$7,"",ROUND(AVERAGEIFS($H$2:$H$1001,$B$2:$B$1001,B225,$A$2:$A$1001,"&lt;"&amp;A225,$A$2:$A$1001,"&gt;="&amp;(A225-설정!$B$6)),1)))</f>
        <v/>
      </c>
      <c r="J225" s="18" t="str">
        <f aca="false">IF(H225="","",COUNTIFS($B$2:$B$1001,B225,$A$2:$A$1001,"&lt;"&amp;A225,$A$2:$A$1001,"&gt;="&amp;(A225-설정!$B$6),$H$2:$H$1001,"&gt;=0"))</f>
        <v/>
      </c>
      <c r="K225" s="21" t="str">
        <f aca="false">IF(I225="","",H225/I225-1)</f>
        <v/>
      </c>
      <c r="L225" s="19" t="str">
        <f aca="false">IF(H225="","",IF(J225&lt;설정!$B$7,"baseline 수집 중",IF(K225&lt;=-설정!$B$8,"저하","정상")))</f>
        <v/>
      </c>
      <c r="M225" s="20"/>
    </row>
    <row r="226" customFormat="false" ht="15" hidden="false" customHeight="false" outlineLevel="0" collapsed="false">
      <c r="A226" s="16"/>
      <c r="B226" s="17"/>
      <c r="C226" s="17"/>
      <c r="D226" s="17"/>
      <c r="E226" s="17"/>
      <c r="F226" s="17"/>
      <c r="G226" s="18" t="str">
        <f aca="false">IF(COUNT(D226:F226)=0,"",MAX(D226:F226))</f>
        <v/>
      </c>
      <c r="H226" s="18" t="str">
        <f aca="false">IF(COUNT(D226:F226)=0,"",ROUND(AVERAGE(D226:F226),1))</f>
        <v/>
      </c>
      <c r="I226" s="18" t="str">
        <f aca="false">IF(H226="","",IF(J226&lt;설정!$B$7,"",ROUND(AVERAGEIFS($H$2:$H$1001,$B$2:$B$1001,B226,$A$2:$A$1001,"&lt;"&amp;A226,$A$2:$A$1001,"&gt;="&amp;(A226-설정!$B$6)),1)))</f>
        <v/>
      </c>
      <c r="J226" s="18" t="str">
        <f aca="false">IF(H226="","",COUNTIFS($B$2:$B$1001,B226,$A$2:$A$1001,"&lt;"&amp;A226,$A$2:$A$1001,"&gt;="&amp;(A226-설정!$B$6),$H$2:$H$1001,"&gt;=0"))</f>
        <v/>
      </c>
      <c r="K226" s="21" t="str">
        <f aca="false">IF(I226="","",H226/I226-1)</f>
        <v/>
      </c>
      <c r="L226" s="19" t="str">
        <f aca="false">IF(H226="","",IF(J226&lt;설정!$B$7,"baseline 수집 중",IF(K226&lt;=-설정!$B$8,"저하","정상")))</f>
        <v/>
      </c>
      <c r="M226" s="20"/>
    </row>
    <row r="227" customFormat="false" ht="15" hidden="false" customHeight="false" outlineLevel="0" collapsed="false">
      <c r="A227" s="16"/>
      <c r="B227" s="17"/>
      <c r="C227" s="17"/>
      <c r="D227" s="17"/>
      <c r="E227" s="17"/>
      <c r="F227" s="17"/>
      <c r="G227" s="18" t="str">
        <f aca="false">IF(COUNT(D227:F227)=0,"",MAX(D227:F227))</f>
        <v/>
      </c>
      <c r="H227" s="18" t="str">
        <f aca="false">IF(COUNT(D227:F227)=0,"",ROUND(AVERAGE(D227:F227),1))</f>
        <v/>
      </c>
      <c r="I227" s="18" t="str">
        <f aca="false">IF(H227="","",IF(J227&lt;설정!$B$7,"",ROUND(AVERAGEIFS($H$2:$H$1001,$B$2:$B$1001,B227,$A$2:$A$1001,"&lt;"&amp;A227,$A$2:$A$1001,"&gt;="&amp;(A227-설정!$B$6)),1)))</f>
        <v/>
      </c>
      <c r="J227" s="18" t="str">
        <f aca="false">IF(H227="","",COUNTIFS($B$2:$B$1001,B227,$A$2:$A$1001,"&lt;"&amp;A227,$A$2:$A$1001,"&gt;="&amp;(A227-설정!$B$6),$H$2:$H$1001,"&gt;=0"))</f>
        <v/>
      </c>
      <c r="K227" s="21" t="str">
        <f aca="false">IF(I227="","",H227/I227-1)</f>
        <v/>
      </c>
      <c r="L227" s="19" t="str">
        <f aca="false">IF(H227="","",IF(J227&lt;설정!$B$7,"baseline 수집 중",IF(K227&lt;=-설정!$B$8,"저하","정상")))</f>
        <v/>
      </c>
      <c r="M227" s="20"/>
    </row>
    <row r="228" customFormat="false" ht="15" hidden="false" customHeight="false" outlineLevel="0" collapsed="false">
      <c r="A228" s="16"/>
      <c r="B228" s="17"/>
      <c r="C228" s="17"/>
      <c r="D228" s="17"/>
      <c r="E228" s="17"/>
      <c r="F228" s="17"/>
      <c r="G228" s="18" t="str">
        <f aca="false">IF(COUNT(D228:F228)=0,"",MAX(D228:F228))</f>
        <v/>
      </c>
      <c r="H228" s="18" t="str">
        <f aca="false">IF(COUNT(D228:F228)=0,"",ROUND(AVERAGE(D228:F228),1))</f>
        <v/>
      </c>
      <c r="I228" s="18" t="str">
        <f aca="false">IF(H228="","",IF(J228&lt;설정!$B$7,"",ROUND(AVERAGEIFS($H$2:$H$1001,$B$2:$B$1001,B228,$A$2:$A$1001,"&lt;"&amp;A228,$A$2:$A$1001,"&gt;="&amp;(A228-설정!$B$6)),1)))</f>
        <v/>
      </c>
      <c r="J228" s="18" t="str">
        <f aca="false">IF(H228="","",COUNTIFS($B$2:$B$1001,B228,$A$2:$A$1001,"&lt;"&amp;A228,$A$2:$A$1001,"&gt;="&amp;(A228-설정!$B$6),$H$2:$H$1001,"&gt;=0"))</f>
        <v/>
      </c>
      <c r="K228" s="21" t="str">
        <f aca="false">IF(I228="","",H228/I228-1)</f>
        <v/>
      </c>
      <c r="L228" s="19" t="str">
        <f aca="false">IF(H228="","",IF(J228&lt;설정!$B$7,"baseline 수집 중",IF(K228&lt;=-설정!$B$8,"저하","정상")))</f>
        <v/>
      </c>
      <c r="M228" s="20"/>
    </row>
    <row r="229" customFormat="false" ht="15" hidden="false" customHeight="false" outlineLevel="0" collapsed="false">
      <c r="A229" s="16"/>
      <c r="B229" s="17"/>
      <c r="C229" s="17"/>
      <c r="D229" s="17"/>
      <c r="E229" s="17"/>
      <c r="F229" s="17"/>
      <c r="G229" s="18" t="str">
        <f aca="false">IF(COUNT(D229:F229)=0,"",MAX(D229:F229))</f>
        <v/>
      </c>
      <c r="H229" s="18" t="str">
        <f aca="false">IF(COUNT(D229:F229)=0,"",ROUND(AVERAGE(D229:F229),1))</f>
        <v/>
      </c>
      <c r="I229" s="18" t="str">
        <f aca="false">IF(H229="","",IF(J229&lt;설정!$B$7,"",ROUND(AVERAGEIFS($H$2:$H$1001,$B$2:$B$1001,B229,$A$2:$A$1001,"&lt;"&amp;A229,$A$2:$A$1001,"&gt;="&amp;(A229-설정!$B$6)),1)))</f>
        <v/>
      </c>
      <c r="J229" s="18" t="str">
        <f aca="false">IF(H229="","",COUNTIFS($B$2:$B$1001,B229,$A$2:$A$1001,"&lt;"&amp;A229,$A$2:$A$1001,"&gt;="&amp;(A229-설정!$B$6),$H$2:$H$1001,"&gt;=0"))</f>
        <v/>
      </c>
      <c r="K229" s="21" t="str">
        <f aca="false">IF(I229="","",H229/I229-1)</f>
        <v/>
      </c>
      <c r="L229" s="19" t="str">
        <f aca="false">IF(H229="","",IF(J229&lt;설정!$B$7,"baseline 수집 중",IF(K229&lt;=-설정!$B$8,"저하","정상")))</f>
        <v/>
      </c>
      <c r="M229" s="20"/>
    </row>
    <row r="230" customFormat="false" ht="15" hidden="false" customHeight="false" outlineLevel="0" collapsed="false">
      <c r="A230" s="16"/>
      <c r="B230" s="17"/>
      <c r="C230" s="17"/>
      <c r="D230" s="17"/>
      <c r="E230" s="17"/>
      <c r="F230" s="17"/>
      <c r="G230" s="18" t="str">
        <f aca="false">IF(COUNT(D230:F230)=0,"",MAX(D230:F230))</f>
        <v/>
      </c>
      <c r="H230" s="18" t="str">
        <f aca="false">IF(COUNT(D230:F230)=0,"",ROUND(AVERAGE(D230:F230),1))</f>
        <v/>
      </c>
      <c r="I230" s="18" t="str">
        <f aca="false">IF(H230="","",IF(J230&lt;설정!$B$7,"",ROUND(AVERAGEIFS($H$2:$H$1001,$B$2:$B$1001,B230,$A$2:$A$1001,"&lt;"&amp;A230,$A$2:$A$1001,"&gt;="&amp;(A230-설정!$B$6)),1)))</f>
        <v/>
      </c>
      <c r="J230" s="18" t="str">
        <f aca="false">IF(H230="","",COUNTIFS($B$2:$B$1001,B230,$A$2:$A$1001,"&lt;"&amp;A230,$A$2:$A$1001,"&gt;="&amp;(A230-설정!$B$6),$H$2:$H$1001,"&gt;=0"))</f>
        <v/>
      </c>
      <c r="K230" s="21" t="str">
        <f aca="false">IF(I230="","",H230/I230-1)</f>
        <v/>
      </c>
      <c r="L230" s="19" t="str">
        <f aca="false">IF(H230="","",IF(J230&lt;설정!$B$7,"baseline 수집 중",IF(K230&lt;=-설정!$B$8,"저하","정상")))</f>
        <v/>
      </c>
      <c r="M230" s="20"/>
    </row>
    <row r="231" customFormat="false" ht="15" hidden="false" customHeight="false" outlineLevel="0" collapsed="false">
      <c r="A231" s="16"/>
      <c r="B231" s="17"/>
      <c r="C231" s="17"/>
      <c r="D231" s="17"/>
      <c r="E231" s="17"/>
      <c r="F231" s="17"/>
      <c r="G231" s="18" t="str">
        <f aca="false">IF(COUNT(D231:F231)=0,"",MAX(D231:F231))</f>
        <v/>
      </c>
      <c r="H231" s="18" t="str">
        <f aca="false">IF(COUNT(D231:F231)=0,"",ROUND(AVERAGE(D231:F231),1))</f>
        <v/>
      </c>
      <c r="I231" s="18" t="str">
        <f aca="false">IF(H231="","",IF(J231&lt;설정!$B$7,"",ROUND(AVERAGEIFS($H$2:$H$1001,$B$2:$B$1001,B231,$A$2:$A$1001,"&lt;"&amp;A231,$A$2:$A$1001,"&gt;="&amp;(A231-설정!$B$6)),1)))</f>
        <v/>
      </c>
      <c r="J231" s="18" t="str">
        <f aca="false">IF(H231="","",COUNTIFS($B$2:$B$1001,B231,$A$2:$A$1001,"&lt;"&amp;A231,$A$2:$A$1001,"&gt;="&amp;(A231-설정!$B$6),$H$2:$H$1001,"&gt;=0"))</f>
        <v/>
      </c>
      <c r="K231" s="21" t="str">
        <f aca="false">IF(I231="","",H231/I231-1)</f>
        <v/>
      </c>
      <c r="L231" s="19" t="str">
        <f aca="false">IF(H231="","",IF(J231&lt;설정!$B$7,"baseline 수집 중",IF(K231&lt;=-설정!$B$8,"저하","정상")))</f>
        <v/>
      </c>
      <c r="M231" s="20"/>
    </row>
    <row r="232" customFormat="false" ht="15" hidden="false" customHeight="false" outlineLevel="0" collapsed="false">
      <c r="A232" s="16"/>
      <c r="B232" s="17"/>
      <c r="C232" s="17"/>
      <c r="D232" s="17"/>
      <c r="E232" s="17"/>
      <c r="F232" s="17"/>
      <c r="G232" s="18" t="str">
        <f aca="false">IF(COUNT(D232:F232)=0,"",MAX(D232:F232))</f>
        <v/>
      </c>
      <c r="H232" s="18" t="str">
        <f aca="false">IF(COUNT(D232:F232)=0,"",ROUND(AVERAGE(D232:F232),1))</f>
        <v/>
      </c>
      <c r="I232" s="18" t="str">
        <f aca="false">IF(H232="","",IF(J232&lt;설정!$B$7,"",ROUND(AVERAGEIFS($H$2:$H$1001,$B$2:$B$1001,B232,$A$2:$A$1001,"&lt;"&amp;A232,$A$2:$A$1001,"&gt;="&amp;(A232-설정!$B$6)),1)))</f>
        <v/>
      </c>
      <c r="J232" s="18" t="str">
        <f aca="false">IF(H232="","",COUNTIFS($B$2:$B$1001,B232,$A$2:$A$1001,"&lt;"&amp;A232,$A$2:$A$1001,"&gt;="&amp;(A232-설정!$B$6),$H$2:$H$1001,"&gt;=0"))</f>
        <v/>
      </c>
      <c r="K232" s="21" t="str">
        <f aca="false">IF(I232="","",H232/I232-1)</f>
        <v/>
      </c>
      <c r="L232" s="19" t="str">
        <f aca="false">IF(H232="","",IF(J232&lt;설정!$B$7,"baseline 수집 중",IF(K232&lt;=-설정!$B$8,"저하","정상")))</f>
        <v/>
      </c>
      <c r="M232" s="20"/>
    </row>
    <row r="233" customFormat="false" ht="15" hidden="false" customHeight="false" outlineLevel="0" collapsed="false">
      <c r="A233" s="16"/>
      <c r="B233" s="17"/>
      <c r="C233" s="17"/>
      <c r="D233" s="17"/>
      <c r="E233" s="17"/>
      <c r="F233" s="17"/>
      <c r="G233" s="18" t="str">
        <f aca="false">IF(COUNT(D233:F233)=0,"",MAX(D233:F233))</f>
        <v/>
      </c>
      <c r="H233" s="18" t="str">
        <f aca="false">IF(COUNT(D233:F233)=0,"",ROUND(AVERAGE(D233:F233),1))</f>
        <v/>
      </c>
      <c r="I233" s="18" t="str">
        <f aca="false">IF(H233="","",IF(J233&lt;설정!$B$7,"",ROUND(AVERAGEIFS($H$2:$H$1001,$B$2:$B$1001,B233,$A$2:$A$1001,"&lt;"&amp;A233,$A$2:$A$1001,"&gt;="&amp;(A233-설정!$B$6)),1)))</f>
        <v/>
      </c>
      <c r="J233" s="18" t="str">
        <f aca="false">IF(H233="","",COUNTIFS($B$2:$B$1001,B233,$A$2:$A$1001,"&lt;"&amp;A233,$A$2:$A$1001,"&gt;="&amp;(A233-설정!$B$6),$H$2:$H$1001,"&gt;=0"))</f>
        <v/>
      </c>
      <c r="K233" s="21" t="str">
        <f aca="false">IF(I233="","",H233/I233-1)</f>
        <v/>
      </c>
      <c r="L233" s="19" t="str">
        <f aca="false">IF(H233="","",IF(J233&lt;설정!$B$7,"baseline 수집 중",IF(K233&lt;=-설정!$B$8,"저하","정상")))</f>
        <v/>
      </c>
      <c r="M233" s="20"/>
    </row>
    <row r="234" customFormat="false" ht="15" hidden="false" customHeight="false" outlineLevel="0" collapsed="false">
      <c r="A234" s="16"/>
      <c r="B234" s="17"/>
      <c r="C234" s="17"/>
      <c r="D234" s="17"/>
      <c r="E234" s="17"/>
      <c r="F234" s="17"/>
      <c r="G234" s="18" t="str">
        <f aca="false">IF(COUNT(D234:F234)=0,"",MAX(D234:F234))</f>
        <v/>
      </c>
      <c r="H234" s="18" t="str">
        <f aca="false">IF(COUNT(D234:F234)=0,"",ROUND(AVERAGE(D234:F234),1))</f>
        <v/>
      </c>
      <c r="I234" s="18" t="str">
        <f aca="false">IF(H234="","",IF(J234&lt;설정!$B$7,"",ROUND(AVERAGEIFS($H$2:$H$1001,$B$2:$B$1001,B234,$A$2:$A$1001,"&lt;"&amp;A234,$A$2:$A$1001,"&gt;="&amp;(A234-설정!$B$6)),1)))</f>
        <v/>
      </c>
      <c r="J234" s="18" t="str">
        <f aca="false">IF(H234="","",COUNTIFS($B$2:$B$1001,B234,$A$2:$A$1001,"&lt;"&amp;A234,$A$2:$A$1001,"&gt;="&amp;(A234-설정!$B$6),$H$2:$H$1001,"&gt;=0"))</f>
        <v/>
      </c>
      <c r="K234" s="21" t="str">
        <f aca="false">IF(I234="","",H234/I234-1)</f>
        <v/>
      </c>
      <c r="L234" s="19" t="str">
        <f aca="false">IF(H234="","",IF(J234&lt;설정!$B$7,"baseline 수집 중",IF(K234&lt;=-설정!$B$8,"저하","정상")))</f>
        <v/>
      </c>
      <c r="M234" s="20"/>
    </row>
    <row r="235" customFormat="false" ht="15" hidden="false" customHeight="false" outlineLevel="0" collapsed="false">
      <c r="A235" s="16"/>
      <c r="B235" s="17"/>
      <c r="C235" s="17"/>
      <c r="D235" s="17"/>
      <c r="E235" s="17"/>
      <c r="F235" s="17"/>
      <c r="G235" s="18" t="str">
        <f aca="false">IF(COUNT(D235:F235)=0,"",MAX(D235:F235))</f>
        <v/>
      </c>
      <c r="H235" s="18" t="str">
        <f aca="false">IF(COUNT(D235:F235)=0,"",ROUND(AVERAGE(D235:F235),1))</f>
        <v/>
      </c>
      <c r="I235" s="18" t="str">
        <f aca="false">IF(H235="","",IF(J235&lt;설정!$B$7,"",ROUND(AVERAGEIFS($H$2:$H$1001,$B$2:$B$1001,B235,$A$2:$A$1001,"&lt;"&amp;A235,$A$2:$A$1001,"&gt;="&amp;(A235-설정!$B$6)),1)))</f>
        <v/>
      </c>
      <c r="J235" s="18" t="str">
        <f aca="false">IF(H235="","",COUNTIFS($B$2:$B$1001,B235,$A$2:$A$1001,"&lt;"&amp;A235,$A$2:$A$1001,"&gt;="&amp;(A235-설정!$B$6),$H$2:$H$1001,"&gt;=0"))</f>
        <v/>
      </c>
      <c r="K235" s="21" t="str">
        <f aca="false">IF(I235="","",H235/I235-1)</f>
        <v/>
      </c>
      <c r="L235" s="19" t="str">
        <f aca="false">IF(H235="","",IF(J235&lt;설정!$B$7,"baseline 수집 중",IF(K235&lt;=-설정!$B$8,"저하","정상")))</f>
        <v/>
      </c>
      <c r="M235" s="20"/>
    </row>
    <row r="236" customFormat="false" ht="15" hidden="false" customHeight="false" outlineLevel="0" collapsed="false">
      <c r="A236" s="16"/>
      <c r="B236" s="17"/>
      <c r="C236" s="17"/>
      <c r="D236" s="17"/>
      <c r="E236" s="17"/>
      <c r="F236" s="17"/>
      <c r="G236" s="18" t="str">
        <f aca="false">IF(COUNT(D236:F236)=0,"",MAX(D236:F236))</f>
        <v/>
      </c>
      <c r="H236" s="18" t="str">
        <f aca="false">IF(COUNT(D236:F236)=0,"",ROUND(AVERAGE(D236:F236),1))</f>
        <v/>
      </c>
      <c r="I236" s="18" t="str">
        <f aca="false">IF(H236="","",IF(J236&lt;설정!$B$7,"",ROUND(AVERAGEIFS($H$2:$H$1001,$B$2:$B$1001,B236,$A$2:$A$1001,"&lt;"&amp;A236,$A$2:$A$1001,"&gt;="&amp;(A236-설정!$B$6)),1)))</f>
        <v/>
      </c>
      <c r="J236" s="18" t="str">
        <f aca="false">IF(H236="","",COUNTIFS($B$2:$B$1001,B236,$A$2:$A$1001,"&lt;"&amp;A236,$A$2:$A$1001,"&gt;="&amp;(A236-설정!$B$6),$H$2:$H$1001,"&gt;=0"))</f>
        <v/>
      </c>
      <c r="K236" s="21" t="str">
        <f aca="false">IF(I236="","",H236/I236-1)</f>
        <v/>
      </c>
      <c r="L236" s="19" t="str">
        <f aca="false">IF(H236="","",IF(J236&lt;설정!$B$7,"baseline 수집 중",IF(K236&lt;=-설정!$B$8,"저하","정상")))</f>
        <v/>
      </c>
      <c r="M236" s="20"/>
    </row>
    <row r="237" customFormat="false" ht="15" hidden="false" customHeight="false" outlineLevel="0" collapsed="false">
      <c r="A237" s="16"/>
      <c r="B237" s="17"/>
      <c r="C237" s="17"/>
      <c r="D237" s="17"/>
      <c r="E237" s="17"/>
      <c r="F237" s="17"/>
      <c r="G237" s="18" t="str">
        <f aca="false">IF(COUNT(D237:F237)=0,"",MAX(D237:F237))</f>
        <v/>
      </c>
      <c r="H237" s="18" t="str">
        <f aca="false">IF(COUNT(D237:F237)=0,"",ROUND(AVERAGE(D237:F237),1))</f>
        <v/>
      </c>
      <c r="I237" s="18" t="str">
        <f aca="false">IF(H237="","",IF(J237&lt;설정!$B$7,"",ROUND(AVERAGEIFS($H$2:$H$1001,$B$2:$B$1001,B237,$A$2:$A$1001,"&lt;"&amp;A237,$A$2:$A$1001,"&gt;="&amp;(A237-설정!$B$6)),1)))</f>
        <v/>
      </c>
      <c r="J237" s="18" t="str">
        <f aca="false">IF(H237="","",COUNTIFS($B$2:$B$1001,B237,$A$2:$A$1001,"&lt;"&amp;A237,$A$2:$A$1001,"&gt;="&amp;(A237-설정!$B$6),$H$2:$H$1001,"&gt;=0"))</f>
        <v/>
      </c>
      <c r="K237" s="21" t="str">
        <f aca="false">IF(I237="","",H237/I237-1)</f>
        <v/>
      </c>
      <c r="L237" s="19" t="str">
        <f aca="false">IF(H237="","",IF(J237&lt;설정!$B$7,"baseline 수집 중",IF(K237&lt;=-설정!$B$8,"저하","정상")))</f>
        <v/>
      </c>
      <c r="M237" s="20"/>
    </row>
    <row r="238" customFormat="false" ht="15" hidden="false" customHeight="false" outlineLevel="0" collapsed="false">
      <c r="A238" s="16"/>
      <c r="B238" s="17"/>
      <c r="C238" s="17"/>
      <c r="D238" s="17"/>
      <c r="E238" s="17"/>
      <c r="F238" s="17"/>
      <c r="G238" s="18" t="str">
        <f aca="false">IF(COUNT(D238:F238)=0,"",MAX(D238:F238))</f>
        <v/>
      </c>
      <c r="H238" s="18" t="str">
        <f aca="false">IF(COUNT(D238:F238)=0,"",ROUND(AVERAGE(D238:F238),1))</f>
        <v/>
      </c>
      <c r="I238" s="18" t="str">
        <f aca="false">IF(H238="","",IF(J238&lt;설정!$B$7,"",ROUND(AVERAGEIFS($H$2:$H$1001,$B$2:$B$1001,B238,$A$2:$A$1001,"&lt;"&amp;A238,$A$2:$A$1001,"&gt;="&amp;(A238-설정!$B$6)),1)))</f>
        <v/>
      </c>
      <c r="J238" s="18" t="str">
        <f aca="false">IF(H238="","",COUNTIFS($B$2:$B$1001,B238,$A$2:$A$1001,"&lt;"&amp;A238,$A$2:$A$1001,"&gt;="&amp;(A238-설정!$B$6),$H$2:$H$1001,"&gt;=0"))</f>
        <v/>
      </c>
      <c r="K238" s="21" t="str">
        <f aca="false">IF(I238="","",H238/I238-1)</f>
        <v/>
      </c>
      <c r="L238" s="19" t="str">
        <f aca="false">IF(H238="","",IF(J238&lt;설정!$B$7,"baseline 수집 중",IF(K238&lt;=-설정!$B$8,"저하","정상")))</f>
        <v/>
      </c>
      <c r="M238" s="20"/>
    </row>
    <row r="239" customFormat="false" ht="15" hidden="false" customHeight="false" outlineLevel="0" collapsed="false">
      <c r="A239" s="16"/>
      <c r="B239" s="17"/>
      <c r="C239" s="17"/>
      <c r="D239" s="17"/>
      <c r="E239" s="17"/>
      <c r="F239" s="17"/>
      <c r="G239" s="18" t="str">
        <f aca="false">IF(COUNT(D239:F239)=0,"",MAX(D239:F239))</f>
        <v/>
      </c>
      <c r="H239" s="18" t="str">
        <f aca="false">IF(COUNT(D239:F239)=0,"",ROUND(AVERAGE(D239:F239),1))</f>
        <v/>
      </c>
      <c r="I239" s="18" t="str">
        <f aca="false">IF(H239="","",IF(J239&lt;설정!$B$7,"",ROUND(AVERAGEIFS($H$2:$H$1001,$B$2:$B$1001,B239,$A$2:$A$1001,"&lt;"&amp;A239,$A$2:$A$1001,"&gt;="&amp;(A239-설정!$B$6)),1)))</f>
        <v/>
      </c>
      <c r="J239" s="18" t="str">
        <f aca="false">IF(H239="","",COUNTIFS($B$2:$B$1001,B239,$A$2:$A$1001,"&lt;"&amp;A239,$A$2:$A$1001,"&gt;="&amp;(A239-설정!$B$6),$H$2:$H$1001,"&gt;=0"))</f>
        <v/>
      </c>
      <c r="K239" s="21" t="str">
        <f aca="false">IF(I239="","",H239/I239-1)</f>
        <v/>
      </c>
      <c r="L239" s="19" t="str">
        <f aca="false">IF(H239="","",IF(J239&lt;설정!$B$7,"baseline 수집 중",IF(K239&lt;=-설정!$B$8,"저하","정상")))</f>
        <v/>
      </c>
      <c r="M239" s="20"/>
    </row>
    <row r="240" customFormat="false" ht="15" hidden="false" customHeight="false" outlineLevel="0" collapsed="false">
      <c r="A240" s="16"/>
      <c r="B240" s="17"/>
      <c r="C240" s="17"/>
      <c r="D240" s="17"/>
      <c r="E240" s="17"/>
      <c r="F240" s="17"/>
      <c r="G240" s="18" t="str">
        <f aca="false">IF(COUNT(D240:F240)=0,"",MAX(D240:F240))</f>
        <v/>
      </c>
      <c r="H240" s="18" t="str">
        <f aca="false">IF(COUNT(D240:F240)=0,"",ROUND(AVERAGE(D240:F240),1))</f>
        <v/>
      </c>
      <c r="I240" s="18" t="str">
        <f aca="false">IF(H240="","",IF(J240&lt;설정!$B$7,"",ROUND(AVERAGEIFS($H$2:$H$1001,$B$2:$B$1001,B240,$A$2:$A$1001,"&lt;"&amp;A240,$A$2:$A$1001,"&gt;="&amp;(A240-설정!$B$6)),1)))</f>
        <v/>
      </c>
      <c r="J240" s="18" t="str">
        <f aca="false">IF(H240="","",COUNTIFS($B$2:$B$1001,B240,$A$2:$A$1001,"&lt;"&amp;A240,$A$2:$A$1001,"&gt;="&amp;(A240-설정!$B$6),$H$2:$H$1001,"&gt;=0"))</f>
        <v/>
      </c>
      <c r="K240" s="21" t="str">
        <f aca="false">IF(I240="","",H240/I240-1)</f>
        <v/>
      </c>
      <c r="L240" s="19" t="str">
        <f aca="false">IF(H240="","",IF(J240&lt;설정!$B$7,"baseline 수집 중",IF(K240&lt;=-설정!$B$8,"저하","정상")))</f>
        <v/>
      </c>
      <c r="M240" s="20"/>
    </row>
    <row r="241" customFormat="false" ht="15" hidden="false" customHeight="false" outlineLevel="0" collapsed="false">
      <c r="A241" s="16"/>
      <c r="B241" s="17"/>
      <c r="C241" s="17"/>
      <c r="D241" s="17"/>
      <c r="E241" s="17"/>
      <c r="F241" s="17"/>
      <c r="G241" s="18" t="str">
        <f aca="false">IF(COUNT(D241:F241)=0,"",MAX(D241:F241))</f>
        <v/>
      </c>
      <c r="H241" s="18" t="str">
        <f aca="false">IF(COUNT(D241:F241)=0,"",ROUND(AVERAGE(D241:F241),1))</f>
        <v/>
      </c>
      <c r="I241" s="18" t="str">
        <f aca="false">IF(H241="","",IF(J241&lt;설정!$B$7,"",ROUND(AVERAGEIFS($H$2:$H$1001,$B$2:$B$1001,B241,$A$2:$A$1001,"&lt;"&amp;A241,$A$2:$A$1001,"&gt;="&amp;(A241-설정!$B$6)),1)))</f>
        <v/>
      </c>
      <c r="J241" s="18" t="str">
        <f aca="false">IF(H241="","",COUNTIFS($B$2:$B$1001,B241,$A$2:$A$1001,"&lt;"&amp;A241,$A$2:$A$1001,"&gt;="&amp;(A241-설정!$B$6),$H$2:$H$1001,"&gt;=0"))</f>
        <v/>
      </c>
      <c r="K241" s="21" t="str">
        <f aca="false">IF(I241="","",H241/I241-1)</f>
        <v/>
      </c>
      <c r="L241" s="19" t="str">
        <f aca="false">IF(H241="","",IF(J241&lt;설정!$B$7,"baseline 수집 중",IF(K241&lt;=-설정!$B$8,"저하","정상")))</f>
        <v/>
      </c>
      <c r="M241" s="20"/>
    </row>
    <row r="242" customFormat="false" ht="15" hidden="false" customHeight="false" outlineLevel="0" collapsed="false">
      <c r="A242" s="16"/>
      <c r="B242" s="17"/>
      <c r="C242" s="17"/>
      <c r="D242" s="17"/>
      <c r="E242" s="17"/>
      <c r="F242" s="17"/>
      <c r="G242" s="18" t="str">
        <f aca="false">IF(COUNT(D242:F242)=0,"",MAX(D242:F242))</f>
        <v/>
      </c>
      <c r="H242" s="18" t="str">
        <f aca="false">IF(COUNT(D242:F242)=0,"",ROUND(AVERAGE(D242:F242),1))</f>
        <v/>
      </c>
      <c r="I242" s="18" t="str">
        <f aca="false">IF(H242="","",IF(J242&lt;설정!$B$7,"",ROUND(AVERAGEIFS($H$2:$H$1001,$B$2:$B$1001,B242,$A$2:$A$1001,"&lt;"&amp;A242,$A$2:$A$1001,"&gt;="&amp;(A242-설정!$B$6)),1)))</f>
        <v/>
      </c>
      <c r="J242" s="18" t="str">
        <f aca="false">IF(H242="","",COUNTIFS($B$2:$B$1001,B242,$A$2:$A$1001,"&lt;"&amp;A242,$A$2:$A$1001,"&gt;="&amp;(A242-설정!$B$6),$H$2:$H$1001,"&gt;=0"))</f>
        <v/>
      </c>
      <c r="K242" s="21" t="str">
        <f aca="false">IF(I242="","",H242/I242-1)</f>
        <v/>
      </c>
      <c r="L242" s="19" t="str">
        <f aca="false">IF(H242="","",IF(J242&lt;설정!$B$7,"baseline 수집 중",IF(K242&lt;=-설정!$B$8,"저하","정상")))</f>
        <v/>
      </c>
      <c r="M242" s="20"/>
    </row>
    <row r="243" customFormat="false" ht="15" hidden="false" customHeight="false" outlineLevel="0" collapsed="false">
      <c r="A243" s="16"/>
      <c r="B243" s="17"/>
      <c r="C243" s="17"/>
      <c r="D243" s="17"/>
      <c r="E243" s="17"/>
      <c r="F243" s="17"/>
      <c r="G243" s="18" t="str">
        <f aca="false">IF(COUNT(D243:F243)=0,"",MAX(D243:F243))</f>
        <v/>
      </c>
      <c r="H243" s="18" t="str">
        <f aca="false">IF(COUNT(D243:F243)=0,"",ROUND(AVERAGE(D243:F243),1))</f>
        <v/>
      </c>
      <c r="I243" s="18" t="str">
        <f aca="false">IF(H243="","",IF(J243&lt;설정!$B$7,"",ROUND(AVERAGEIFS($H$2:$H$1001,$B$2:$B$1001,B243,$A$2:$A$1001,"&lt;"&amp;A243,$A$2:$A$1001,"&gt;="&amp;(A243-설정!$B$6)),1)))</f>
        <v/>
      </c>
      <c r="J243" s="18" t="str">
        <f aca="false">IF(H243="","",COUNTIFS($B$2:$B$1001,B243,$A$2:$A$1001,"&lt;"&amp;A243,$A$2:$A$1001,"&gt;="&amp;(A243-설정!$B$6),$H$2:$H$1001,"&gt;=0"))</f>
        <v/>
      </c>
      <c r="K243" s="21" t="str">
        <f aca="false">IF(I243="","",H243/I243-1)</f>
        <v/>
      </c>
      <c r="L243" s="19" t="str">
        <f aca="false">IF(H243="","",IF(J243&lt;설정!$B$7,"baseline 수집 중",IF(K243&lt;=-설정!$B$8,"저하","정상")))</f>
        <v/>
      </c>
      <c r="M243" s="20"/>
    </row>
    <row r="244" customFormat="false" ht="15" hidden="false" customHeight="false" outlineLevel="0" collapsed="false">
      <c r="A244" s="16"/>
      <c r="B244" s="17"/>
      <c r="C244" s="17"/>
      <c r="D244" s="17"/>
      <c r="E244" s="17"/>
      <c r="F244" s="17"/>
      <c r="G244" s="18" t="str">
        <f aca="false">IF(COUNT(D244:F244)=0,"",MAX(D244:F244))</f>
        <v/>
      </c>
      <c r="H244" s="18" t="str">
        <f aca="false">IF(COUNT(D244:F244)=0,"",ROUND(AVERAGE(D244:F244),1))</f>
        <v/>
      </c>
      <c r="I244" s="18" t="str">
        <f aca="false">IF(H244="","",IF(J244&lt;설정!$B$7,"",ROUND(AVERAGEIFS($H$2:$H$1001,$B$2:$B$1001,B244,$A$2:$A$1001,"&lt;"&amp;A244,$A$2:$A$1001,"&gt;="&amp;(A244-설정!$B$6)),1)))</f>
        <v/>
      </c>
      <c r="J244" s="18" t="str">
        <f aca="false">IF(H244="","",COUNTIFS($B$2:$B$1001,B244,$A$2:$A$1001,"&lt;"&amp;A244,$A$2:$A$1001,"&gt;="&amp;(A244-설정!$B$6),$H$2:$H$1001,"&gt;=0"))</f>
        <v/>
      </c>
      <c r="K244" s="21" t="str">
        <f aca="false">IF(I244="","",H244/I244-1)</f>
        <v/>
      </c>
      <c r="L244" s="19" t="str">
        <f aca="false">IF(H244="","",IF(J244&lt;설정!$B$7,"baseline 수집 중",IF(K244&lt;=-설정!$B$8,"저하","정상")))</f>
        <v/>
      </c>
      <c r="M244" s="20"/>
    </row>
    <row r="245" customFormat="false" ht="15" hidden="false" customHeight="false" outlineLevel="0" collapsed="false">
      <c r="A245" s="16"/>
      <c r="B245" s="17"/>
      <c r="C245" s="17"/>
      <c r="D245" s="17"/>
      <c r="E245" s="17"/>
      <c r="F245" s="17"/>
      <c r="G245" s="18" t="str">
        <f aca="false">IF(COUNT(D245:F245)=0,"",MAX(D245:F245))</f>
        <v/>
      </c>
      <c r="H245" s="18" t="str">
        <f aca="false">IF(COUNT(D245:F245)=0,"",ROUND(AVERAGE(D245:F245),1))</f>
        <v/>
      </c>
      <c r="I245" s="18" t="str">
        <f aca="false">IF(H245="","",IF(J245&lt;설정!$B$7,"",ROUND(AVERAGEIFS($H$2:$H$1001,$B$2:$B$1001,B245,$A$2:$A$1001,"&lt;"&amp;A245,$A$2:$A$1001,"&gt;="&amp;(A245-설정!$B$6)),1)))</f>
        <v/>
      </c>
      <c r="J245" s="18" t="str">
        <f aca="false">IF(H245="","",COUNTIFS($B$2:$B$1001,B245,$A$2:$A$1001,"&lt;"&amp;A245,$A$2:$A$1001,"&gt;="&amp;(A245-설정!$B$6),$H$2:$H$1001,"&gt;=0"))</f>
        <v/>
      </c>
      <c r="K245" s="21" t="str">
        <f aca="false">IF(I245="","",H245/I245-1)</f>
        <v/>
      </c>
      <c r="L245" s="19" t="str">
        <f aca="false">IF(H245="","",IF(J245&lt;설정!$B$7,"baseline 수집 중",IF(K245&lt;=-설정!$B$8,"저하","정상")))</f>
        <v/>
      </c>
      <c r="M245" s="20"/>
    </row>
    <row r="246" customFormat="false" ht="15" hidden="false" customHeight="false" outlineLevel="0" collapsed="false">
      <c r="A246" s="16"/>
      <c r="B246" s="17"/>
      <c r="C246" s="17"/>
      <c r="D246" s="17"/>
      <c r="E246" s="17"/>
      <c r="F246" s="17"/>
      <c r="G246" s="18" t="str">
        <f aca="false">IF(COUNT(D246:F246)=0,"",MAX(D246:F246))</f>
        <v/>
      </c>
      <c r="H246" s="18" t="str">
        <f aca="false">IF(COUNT(D246:F246)=0,"",ROUND(AVERAGE(D246:F246),1))</f>
        <v/>
      </c>
      <c r="I246" s="18" t="str">
        <f aca="false">IF(H246="","",IF(J246&lt;설정!$B$7,"",ROUND(AVERAGEIFS($H$2:$H$1001,$B$2:$B$1001,B246,$A$2:$A$1001,"&lt;"&amp;A246,$A$2:$A$1001,"&gt;="&amp;(A246-설정!$B$6)),1)))</f>
        <v/>
      </c>
      <c r="J246" s="18" t="str">
        <f aca="false">IF(H246="","",COUNTIFS($B$2:$B$1001,B246,$A$2:$A$1001,"&lt;"&amp;A246,$A$2:$A$1001,"&gt;="&amp;(A246-설정!$B$6),$H$2:$H$1001,"&gt;=0"))</f>
        <v/>
      </c>
      <c r="K246" s="21" t="str">
        <f aca="false">IF(I246="","",H246/I246-1)</f>
        <v/>
      </c>
      <c r="L246" s="19" t="str">
        <f aca="false">IF(H246="","",IF(J246&lt;설정!$B$7,"baseline 수집 중",IF(K246&lt;=-설정!$B$8,"저하","정상")))</f>
        <v/>
      </c>
      <c r="M246" s="20"/>
    </row>
    <row r="247" customFormat="false" ht="15" hidden="false" customHeight="false" outlineLevel="0" collapsed="false">
      <c r="A247" s="16"/>
      <c r="B247" s="17"/>
      <c r="C247" s="17"/>
      <c r="D247" s="17"/>
      <c r="E247" s="17"/>
      <c r="F247" s="17"/>
      <c r="G247" s="18" t="str">
        <f aca="false">IF(COUNT(D247:F247)=0,"",MAX(D247:F247))</f>
        <v/>
      </c>
      <c r="H247" s="18" t="str">
        <f aca="false">IF(COUNT(D247:F247)=0,"",ROUND(AVERAGE(D247:F247),1))</f>
        <v/>
      </c>
      <c r="I247" s="18" t="str">
        <f aca="false">IF(H247="","",IF(J247&lt;설정!$B$7,"",ROUND(AVERAGEIFS($H$2:$H$1001,$B$2:$B$1001,B247,$A$2:$A$1001,"&lt;"&amp;A247,$A$2:$A$1001,"&gt;="&amp;(A247-설정!$B$6)),1)))</f>
        <v/>
      </c>
      <c r="J247" s="18" t="str">
        <f aca="false">IF(H247="","",COUNTIFS($B$2:$B$1001,B247,$A$2:$A$1001,"&lt;"&amp;A247,$A$2:$A$1001,"&gt;="&amp;(A247-설정!$B$6),$H$2:$H$1001,"&gt;=0"))</f>
        <v/>
      </c>
      <c r="K247" s="21" t="str">
        <f aca="false">IF(I247="","",H247/I247-1)</f>
        <v/>
      </c>
      <c r="L247" s="19" t="str">
        <f aca="false">IF(H247="","",IF(J247&lt;설정!$B$7,"baseline 수집 중",IF(K247&lt;=-설정!$B$8,"저하","정상")))</f>
        <v/>
      </c>
      <c r="M247" s="20"/>
    </row>
    <row r="248" customFormat="false" ht="15" hidden="false" customHeight="false" outlineLevel="0" collapsed="false">
      <c r="A248" s="16"/>
      <c r="B248" s="17"/>
      <c r="C248" s="17"/>
      <c r="D248" s="17"/>
      <c r="E248" s="17"/>
      <c r="F248" s="17"/>
      <c r="G248" s="18" t="str">
        <f aca="false">IF(COUNT(D248:F248)=0,"",MAX(D248:F248))</f>
        <v/>
      </c>
      <c r="H248" s="18" t="str">
        <f aca="false">IF(COUNT(D248:F248)=0,"",ROUND(AVERAGE(D248:F248),1))</f>
        <v/>
      </c>
      <c r="I248" s="18" t="str">
        <f aca="false">IF(H248="","",IF(J248&lt;설정!$B$7,"",ROUND(AVERAGEIFS($H$2:$H$1001,$B$2:$B$1001,B248,$A$2:$A$1001,"&lt;"&amp;A248,$A$2:$A$1001,"&gt;="&amp;(A248-설정!$B$6)),1)))</f>
        <v/>
      </c>
      <c r="J248" s="18" t="str">
        <f aca="false">IF(H248="","",COUNTIFS($B$2:$B$1001,B248,$A$2:$A$1001,"&lt;"&amp;A248,$A$2:$A$1001,"&gt;="&amp;(A248-설정!$B$6),$H$2:$H$1001,"&gt;=0"))</f>
        <v/>
      </c>
      <c r="K248" s="21" t="str">
        <f aca="false">IF(I248="","",H248/I248-1)</f>
        <v/>
      </c>
      <c r="L248" s="19" t="str">
        <f aca="false">IF(H248="","",IF(J248&lt;설정!$B$7,"baseline 수집 중",IF(K248&lt;=-설정!$B$8,"저하","정상")))</f>
        <v/>
      </c>
      <c r="M248" s="20"/>
    </row>
    <row r="249" customFormat="false" ht="15" hidden="false" customHeight="false" outlineLevel="0" collapsed="false">
      <c r="A249" s="16"/>
      <c r="B249" s="17"/>
      <c r="C249" s="17"/>
      <c r="D249" s="17"/>
      <c r="E249" s="17"/>
      <c r="F249" s="17"/>
      <c r="G249" s="18" t="str">
        <f aca="false">IF(COUNT(D249:F249)=0,"",MAX(D249:F249))</f>
        <v/>
      </c>
      <c r="H249" s="18" t="str">
        <f aca="false">IF(COUNT(D249:F249)=0,"",ROUND(AVERAGE(D249:F249),1))</f>
        <v/>
      </c>
      <c r="I249" s="18" t="str">
        <f aca="false">IF(H249="","",IF(J249&lt;설정!$B$7,"",ROUND(AVERAGEIFS($H$2:$H$1001,$B$2:$B$1001,B249,$A$2:$A$1001,"&lt;"&amp;A249,$A$2:$A$1001,"&gt;="&amp;(A249-설정!$B$6)),1)))</f>
        <v/>
      </c>
      <c r="J249" s="18" t="str">
        <f aca="false">IF(H249="","",COUNTIFS($B$2:$B$1001,B249,$A$2:$A$1001,"&lt;"&amp;A249,$A$2:$A$1001,"&gt;="&amp;(A249-설정!$B$6),$H$2:$H$1001,"&gt;=0"))</f>
        <v/>
      </c>
      <c r="K249" s="21" t="str">
        <f aca="false">IF(I249="","",H249/I249-1)</f>
        <v/>
      </c>
      <c r="L249" s="19" t="str">
        <f aca="false">IF(H249="","",IF(J249&lt;설정!$B$7,"baseline 수집 중",IF(K249&lt;=-설정!$B$8,"저하","정상")))</f>
        <v/>
      </c>
      <c r="M249" s="20"/>
    </row>
    <row r="250" customFormat="false" ht="15" hidden="false" customHeight="false" outlineLevel="0" collapsed="false">
      <c r="A250" s="16"/>
      <c r="B250" s="17"/>
      <c r="C250" s="17"/>
      <c r="D250" s="17"/>
      <c r="E250" s="17"/>
      <c r="F250" s="17"/>
      <c r="G250" s="18" t="str">
        <f aca="false">IF(COUNT(D250:F250)=0,"",MAX(D250:F250))</f>
        <v/>
      </c>
      <c r="H250" s="18" t="str">
        <f aca="false">IF(COUNT(D250:F250)=0,"",ROUND(AVERAGE(D250:F250),1))</f>
        <v/>
      </c>
      <c r="I250" s="18" t="str">
        <f aca="false">IF(H250="","",IF(J250&lt;설정!$B$7,"",ROUND(AVERAGEIFS($H$2:$H$1001,$B$2:$B$1001,B250,$A$2:$A$1001,"&lt;"&amp;A250,$A$2:$A$1001,"&gt;="&amp;(A250-설정!$B$6)),1)))</f>
        <v/>
      </c>
      <c r="J250" s="18" t="str">
        <f aca="false">IF(H250="","",COUNTIFS($B$2:$B$1001,B250,$A$2:$A$1001,"&lt;"&amp;A250,$A$2:$A$1001,"&gt;="&amp;(A250-설정!$B$6),$H$2:$H$1001,"&gt;=0"))</f>
        <v/>
      </c>
      <c r="K250" s="21" t="str">
        <f aca="false">IF(I250="","",H250/I250-1)</f>
        <v/>
      </c>
      <c r="L250" s="19" t="str">
        <f aca="false">IF(H250="","",IF(J250&lt;설정!$B$7,"baseline 수집 중",IF(K250&lt;=-설정!$B$8,"저하","정상")))</f>
        <v/>
      </c>
      <c r="M250" s="20"/>
    </row>
    <row r="251" customFormat="false" ht="15" hidden="false" customHeight="false" outlineLevel="0" collapsed="false">
      <c r="A251" s="16"/>
      <c r="B251" s="17"/>
      <c r="C251" s="17"/>
      <c r="D251" s="17"/>
      <c r="E251" s="17"/>
      <c r="F251" s="17"/>
      <c r="G251" s="18" t="str">
        <f aca="false">IF(COUNT(D251:F251)=0,"",MAX(D251:F251))</f>
        <v/>
      </c>
      <c r="H251" s="18" t="str">
        <f aca="false">IF(COUNT(D251:F251)=0,"",ROUND(AVERAGE(D251:F251),1))</f>
        <v/>
      </c>
      <c r="I251" s="18" t="str">
        <f aca="false">IF(H251="","",IF(J251&lt;설정!$B$7,"",ROUND(AVERAGEIFS($H$2:$H$1001,$B$2:$B$1001,B251,$A$2:$A$1001,"&lt;"&amp;A251,$A$2:$A$1001,"&gt;="&amp;(A251-설정!$B$6)),1)))</f>
        <v/>
      </c>
      <c r="J251" s="18" t="str">
        <f aca="false">IF(H251="","",COUNTIFS($B$2:$B$1001,B251,$A$2:$A$1001,"&lt;"&amp;A251,$A$2:$A$1001,"&gt;="&amp;(A251-설정!$B$6),$H$2:$H$1001,"&gt;=0"))</f>
        <v/>
      </c>
      <c r="K251" s="21" t="str">
        <f aca="false">IF(I251="","",H251/I251-1)</f>
        <v/>
      </c>
      <c r="L251" s="19" t="str">
        <f aca="false">IF(H251="","",IF(J251&lt;설정!$B$7,"baseline 수집 중",IF(K251&lt;=-설정!$B$8,"저하","정상")))</f>
        <v/>
      </c>
      <c r="M251" s="20"/>
    </row>
    <row r="252" customFormat="false" ht="15" hidden="false" customHeight="false" outlineLevel="0" collapsed="false">
      <c r="A252" s="16"/>
      <c r="B252" s="17"/>
      <c r="C252" s="17"/>
      <c r="D252" s="17"/>
      <c r="E252" s="17"/>
      <c r="F252" s="17"/>
      <c r="G252" s="18" t="str">
        <f aca="false">IF(COUNT(D252:F252)=0,"",MAX(D252:F252))</f>
        <v/>
      </c>
      <c r="H252" s="18" t="str">
        <f aca="false">IF(COUNT(D252:F252)=0,"",ROUND(AVERAGE(D252:F252),1))</f>
        <v/>
      </c>
      <c r="I252" s="18" t="str">
        <f aca="false">IF(H252="","",IF(J252&lt;설정!$B$7,"",ROUND(AVERAGEIFS($H$2:$H$1001,$B$2:$B$1001,B252,$A$2:$A$1001,"&lt;"&amp;A252,$A$2:$A$1001,"&gt;="&amp;(A252-설정!$B$6)),1)))</f>
        <v/>
      </c>
      <c r="J252" s="18" t="str">
        <f aca="false">IF(H252="","",COUNTIFS($B$2:$B$1001,B252,$A$2:$A$1001,"&lt;"&amp;A252,$A$2:$A$1001,"&gt;="&amp;(A252-설정!$B$6),$H$2:$H$1001,"&gt;=0"))</f>
        <v/>
      </c>
      <c r="K252" s="21" t="str">
        <f aca="false">IF(I252="","",H252/I252-1)</f>
        <v/>
      </c>
      <c r="L252" s="19" t="str">
        <f aca="false">IF(H252="","",IF(J252&lt;설정!$B$7,"baseline 수집 중",IF(K252&lt;=-설정!$B$8,"저하","정상")))</f>
        <v/>
      </c>
      <c r="M252" s="20"/>
    </row>
    <row r="253" customFormat="false" ht="15" hidden="false" customHeight="false" outlineLevel="0" collapsed="false">
      <c r="A253" s="16"/>
      <c r="B253" s="17"/>
      <c r="C253" s="17"/>
      <c r="D253" s="17"/>
      <c r="E253" s="17"/>
      <c r="F253" s="17"/>
      <c r="G253" s="18" t="str">
        <f aca="false">IF(COUNT(D253:F253)=0,"",MAX(D253:F253))</f>
        <v/>
      </c>
      <c r="H253" s="18" t="str">
        <f aca="false">IF(COUNT(D253:F253)=0,"",ROUND(AVERAGE(D253:F253),1))</f>
        <v/>
      </c>
      <c r="I253" s="18" t="str">
        <f aca="false">IF(H253="","",IF(J253&lt;설정!$B$7,"",ROUND(AVERAGEIFS($H$2:$H$1001,$B$2:$B$1001,B253,$A$2:$A$1001,"&lt;"&amp;A253,$A$2:$A$1001,"&gt;="&amp;(A253-설정!$B$6)),1)))</f>
        <v/>
      </c>
      <c r="J253" s="18" t="str">
        <f aca="false">IF(H253="","",COUNTIFS($B$2:$B$1001,B253,$A$2:$A$1001,"&lt;"&amp;A253,$A$2:$A$1001,"&gt;="&amp;(A253-설정!$B$6),$H$2:$H$1001,"&gt;=0"))</f>
        <v/>
      </c>
      <c r="K253" s="21" t="str">
        <f aca="false">IF(I253="","",H253/I253-1)</f>
        <v/>
      </c>
      <c r="L253" s="19" t="str">
        <f aca="false">IF(H253="","",IF(J253&lt;설정!$B$7,"baseline 수집 중",IF(K253&lt;=-설정!$B$8,"저하","정상")))</f>
        <v/>
      </c>
      <c r="M253" s="20"/>
    </row>
    <row r="254" customFormat="false" ht="15" hidden="false" customHeight="false" outlineLevel="0" collapsed="false">
      <c r="A254" s="16"/>
      <c r="B254" s="17"/>
      <c r="C254" s="17"/>
      <c r="D254" s="17"/>
      <c r="E254" s="17"/>
      <c r="F254" s="17"/>
      <c r="G254" s="18" t="str">
        <f aca="false">IF(COUNT(D254:F254)=0,"",MAX(D254:F254))</f>
        <v/>
      </c>
      <c r="H254" s="18" t="str">
        <f aca="false">IF(COUNT(D254:F254)=0,"",ROUND(AVERAGE(D254:F254),1))</f>
        <v/>
      </c>
      <c r="I254" s="18" t="str">
        <f aca="false">IF(H254="","",IF(J254&lt;설정!$B$7,"",ROUND(AVERAGEIFS($H$2:$H$1001,$B$2:$B$1001,B254,$A$2:$A$1001,"&lt;"&amp;A254,$A$2:$A$1001,"&gt;="&amp;(A254-설정!$B$6)),1)))</f>
        <v/>
      </c>
      <c r="J254" s="18" t="str">
        <f aca="false">IF(H254="","",COUNTIFS($B$2:$B$1001,B254,$A$2:$A$1001,"&lt;"&amp;A254,$A$2:$A$1001,"&gt;="&amp;(A254-설정!$B$6),$H$2:$H$1001,"&gt;=0"))</f>
        <v/>
      </c>
      <c r="K254" s="21" t="str">
        <f aca="false">IF(I254="","",H254/I254-1)</f>
        <v/>
      </c>
      <c r="L254" s="19" t="str">
        <f aca="false">IF(H254="","",IF(J254&lt;설정!$B$7,"baseline 수집 중",IF(K254&lt;=-설정!$B$8,"저하","정상")))</f>
        <v/>
      </c>
      <c r="M254" s="20"/>
    </row>
    <row r="255" customFormat="false" ht="15" hidden="false" customHeight="false" outlineLevel="0" collapsed="false">
      <c r="A255" s="16"/>
      <c r="B255" s="17"/>
      <c r="C255" s="17"/>
      <c r="D255" s="17"/>
      <c r="E255" s="17"/>
      <c r="F255" s="17"/>
      <c r="G255" s="18" t="str">
        <f aca="false">IF(COUNT(D255:F255)=0,"",MAX(D255:F255))</f>
        <v/>
      </c>
      <c r="H255" s="18" t="str">
        <f aca="false">IF(COUNT(D255:F255)=0,"",ROUND(AVERAGE(D255:F255),1))</f>
        <v/>
      </c>
      <c r="I255" s="18" t="str">
        <f aca="false">IF(H255="","",IF(J255&lt;설정!$B$7,"",ROUND(AVERAGEIFS($H$2:$H$1001,$B$2:$B$1001,B255,$A$2:$A$1001,"&lt;"&amp;A255,$A$2:$A$1001,"&gt;="&amp;(A255-설정!$B$6)),1)))</f>
        <v/>
      </c>
      <c r="J255" s="18" t="str">
        <f aca="false">IF(H255="","",COUNTIFS($B$2:$B$1001,B255,$A$2:$A$1001,"&lt;"&amp;A255,$A$2:$A$1001,"&gt;="&amp;(A255-설정!$B$6),$H$2:$H$1001,"&gt;=0"))</f>
        <v/>
      </c>
      <c r="K255" s="21" t="str">
        <f aca="false">IF(I255="","",H255/I255-1)</f>
        <v/>
      </c>
      <c r="L255" s="19" t="str">
        <f aca="false">IF(H255="","",IF(J255&lt;설정!$B$7,"baseline 수집 중",IF(K255&lt;=-설정!$B$8,"저하","정상")))</f>
        <v/>
      </c>
      <c r="M255" s="20"/>
    </row>
    <row r="256" customFormat="false" ht="15" hidden="false" customHeight="false" outlineLevel="0" collapsed="false">
      <c r="A256" s="16"/>
      <c r="B256" s="17"/>
      <c r="C256" s="17"/>
      <c r="D256" s="17"/>
      <c r="E256" s="17"/>
      <c r="F256" s="17"/>
      <c r="G256" s="18" t="str">
        <f aca="false">IF(COUNT(D256:F256)=0,"",MAX(D256:F256))</f>
        <v/>
      </c>
      <c r="H256" s="18" t="str">
        <f aca="false">IF(COUNT(D256:F256)=0,"",ROUND(AVERAGE(D256:F256),1))</f>
        <v/>
      </c>
      <c r="I256" s="18" t="str">
        <f aca="false">IF(H256="","",IF(J256&lt;설정!$B$7,"",ROUND(AVERAGEIFS($H$2:$H$1001,$B$2:$B$1001,B256,$A$2:$A$1001,"&lt;"&amp;A256,$A$2:$A$1001,"&gt;="&amp;(A256-설정!$B$6)),1)))</f>
        <v/>
      </c>
      <c r="J256" s="18" t="str">
        <f aca="false">IF(H256="","",COUNTIFS($B$2:$B$1001,B256,$A$2:$A$1001,"&lt;"&amp;A256,$A$2:$A$1001,"&gt;="&amp;(A256-설정!$B$6),$H$2:$H$1001,"&gt;=0"))</f>
        <v/>
      </c>
      <c r="K256" s="21" t="str">
        <f aca="false">IF(I256="","",H256/I256-1)</f>
        <v/>
      </c>
      <c r="L256" s="19" t="str">
        <f aca="false">IF(H256="","",IF(J256&lt;설정!$B$7,"baseline 수집 중",IF(K256&lt;=-설정!$B$8,"저하","정상")))</f>
        <v/>
      </c>
      <c r="M256" s="20"/>
    </row>
    <row r="257" customFormat="false" ht="15" hidden="false" customHeight="false" outlineLevel="0" collapsed="false">
      <c r="A257" s="16"/>
      <c r="B257" s="17"/>
      <c r="C257" s="17"/>
      <c r="D257" s="17"/>
      <c r="E257" s="17"/>
      <c r="F257" s="17"/>
      <c r="G257" s="18" t="str">
        <f aca="false">IF(COUNT(D257:F257)=0,"",MAX(D257:F257))</f>
        <v/>
      </c>
      <c r="H257" s="18" t="str">
        <f aca="false">IF(COUNT(D257:F257)=0,"",ROUND(AVERAGE(D257:F257),1))</f>
        <v/>
      </c>
      <c r="I257" s="18" t="str">
        <f aca="false">IF(H257="","",IF(J257&lt;설정!$B$7,"",ROUND(AVERAGEIFS($H$2:$H$1001,$B$2:$B$1001,B257,$A$2:$A$1001,"&lt;"&amp;A257,$A$2:$A$1001,"&gt;="&amp;(A257-설정!$B$6)),1)))</f>
        <v/>
      </c>
      <c r="J257" s="18" t="str">
        <f aca="false">IF(H257="","",COUNTIFS($B$2:$B$1001,B257,$A$2:$A$1001,"&lt;"&amp;A257,$A$2:$A$1001,"&gt;="&amp;(A257-설정!$B$6),$H$2:$H$1001,"&gt;=0"))</f>
        <v/>
      </c>
      <c r="K257" s="21" t="str">
        <f aca="false">IF(I257="","",H257/I257-1)</f>
        <v/>
      </c>
      <c r="L257" s="19" t="str">
        <f aca="false">IF(H257="","",IF(J257&lt;설정!$B$7,"baseline 수집 중",IF(K257&lt;=-설정!$B$8,"저하","정상")))</f>
        <v/>
      </c>
      <c r="M257" s="20"/>
    </row>
    <row r="258" customFormat="false" ht="15" hidden="false" customHeight="false" outlineLevel="0" collapsed="false">
      <c r="A258" s="16"/>
      <c r="B258" s="17"/>
      <c r="C258" s="17"/>
      <c r="D258" s="17"/>
      <c r="E258" s="17"/>
      <c r="F258" s="17"/>
      <c r="G258" s="18" t="str">
        <f aca="false">IF(COUNT(D258:F258)=0,"",MAX(D258:F258))</f>
        <v/>
      </c>
      <c r="H258" s="18" t="str">
        <f aca="false">IF(COUNT(D258:F258)=0,"",ROUND(AVERAGE(D258:F258),1))</f>
        <v/>
      </c>
      <c r="I258" s="18" t="str">
        <f aca="false">IF(H258="","",IF(J258&lt;설정!$B$7,"",ROUND(AVERAGEIFS($H$2:$H$1001,$B$2:$B$1001,B258,$A$2:$A$1001,"&lt;"&amp;A258,$A$2:$A$1001,"&gt;="&amp;(A258-설정!$B$6)),1)))</f>
        <v/>
      </c>
      <c r="J258" s="18" t="str">
        <f aca="false">IF(H258="","",COUNTIFS($B$2:$B$1001,B258,$A$2:$A$1001,"&lt;"&amp;A258,$A$2:$A$1001,"&gt;="&amp;(A258-설정!$B$6),$H$2:$H$1001,"&gt;=0"))</f>
        <v/>
      </c>
      <c r="K258" s="21" t="str">
        <f aca="false">IF(I258="","",H258/I258-1)</f>
        <v/>
      </c>
      <c r="L258" s="19" t="str">
        <f aca="false">IF(H258="","",IF(J258&lt;설정!$B$7,"baseline 수집 중",IF(K258&lt;=-설정!$B$8,"저하","정상")))</f>
        <v/>
      </c>
      <c r="M258" s="20"/>
    </row>
    <row r="259" customFormat="false" ht="15" hidden="false" customHeight="false" outlineLevel="0" collapsed="false">
      <c r="A259" s="16"/>
      <c r="B259" s="17"/>
      <c r="C259" s="17"/>
      <c r="D259" s="17"/>
      <c r="E259" s="17"/>
      <c r="F259" s="17"/>
      <c r="G259" s="18" t="str">
        <f aca="false">IF(COUNT(D259:F259)=0,"",MAX(D259:F259))</f>
        <v/>
      </c>
      <c r="H259" s="18" t="str">
        <f aca="false">IF(COUNT(D259:F259)=0,"",ROUND(AVERAGE(D259:F259),1))</f>
        <v/>
      </c>
      <c r="I259" s="18" t="str">
        <f aca="false">IF(H259="","",IF(J259&lt;설정!$B$7,"",ROUND(AVERAGEIFS($H$2:$H$1001,$B$2:$B$1001,B259,$A$2:$A$1001,"&lt;"&amp;A259,$A$2:$A$1001,"&gt;="&amp;(A259-설정!$B$6)),1)))</f>
        <v/>
      </c>
      <c r="J259" s="18" t="str">
        <f aca="false">IF(H259="","",COUNTIFS($B$2:$B$1001,B259,$A$2:$A$1001,"&lt;"&amp;A259,$A$2:$A$1001,"&gt;="&amp;(A259-설정!$B$6),$H$2:$H$1001,"&gt;=0"))</f>
        <v/>
      </c>
      <c r="K259" s="21" t="str">
        <f aca="false">IF(I259="","",H259/I259-1)</f>
        <v/>
      </c>
      <c r="L259" s="19" t="str">
        <f aca="false">IF(H259="","",IF(J259&lt;설정!$B$7,"baseline 수집 중",IF(K259&lt;=-설정!$B$8,"저하","정상")))</f>
        <v/>
      </c>
      <c r="M259" s="20"/>
    </row>
    <row r="260" customFormat="false" ht="15" hidden="false" customHeight="false" outlineLevel="0" collapsed="false">
      <c r="A260" s="16"/>
      <c r="B260" s="17"/>
      <c r="C260" s="17"/>
      <c r="D260" s="17"/>
      <c r="E260" s="17"/>
      <c r="F260" s="17"/>
      <c r="G260" s="18" t="str">
        <f aca="false">IF(COUNT(D260:F260)=0,"",MAX(D260:F260))</f>
        <v/>
      </c>
      <c r="H260" s="18" t="str">
        <f aca="false">IF(COUNT(D260:F260)=0,"",ROUND(AVERAGE(D260:F260),1))</f>
        <v/>
      </c>
      <c r="I260" s="18" t="str">
        <f aca="false">IF(H260="","",IF(J260&lt;설정!$B$7,"",ROUND(AVERAGEIFS($H$2:$H$1001,$B$2:$B$1001,B260,$A$2:$A$1001,"&lt;"&amp;A260,$A$2:$A$1001,"&gt;="&amp;(A260-설정!$B$6)),1)))</f>
        <v/>
      </c>
      <c r="J260" s="18" t="str">
        <f aca="false">IF(H260="","",COUNTIFS($B$2:$B$1001,B260,$A$2:$A$1001,"&lt;"&amp;A260,$A$2:$A$1001,"&gt;="&amp;(A260-설정!$B$6),$H$2:$H$1001,"&gt;=0"))</f>
        <v/>
      </c>
      <c r="K260" s="21" t="str">
        <f aca="false">IF(I260="","",H260/I260-1)</f>
        <v/>
      </c>
      <c r="L260" s="19" t="str">
        <f aca="false">IF(H260="","",IF(J260&lt;설정!$B$7,"baseline 수집 중",IF(K260&lt;=-설정!$B$8,"저하","정상")))</f>
        <v/>
      </c>
      <c r="M260" s="20"/>
    </row>
    <row r="261" customFormat="false" ht="15" hidden="false" customHeight="false" outlineLevel="0" collapsed="false">
      <c r="A261" s="16"/>
      <c r="B261" s="17"/>
      <c r="C261" s="17"/>
      <c r="D261" s="17"/>
      <c r="E261" s="17"/>
      <c r="F261" s="17"/>
      <c r="G261" s="18" t="str">
        <f aca="false">IF(COUNT(D261:F261)=0,"",MAX(D261:F261))</f>
        <v/>
      </c>
      <c r="H261" s="18" t="str">
        <f aca="false">IF(COUNT(D261:F261)=0,"",ROUND(AVERAGE(D261:F261),1))</f>
        <v/>
      </c>
      <c r="I261" s="18" t="str">
        <f aca="false">IF(H261="","",IF(J261&lt;설정!$B$7,"",ROUND(AVERAGEIFS($H$2:$H$1001,$B$2:$B$1001,B261,$A$2:$A$1001,"&lt;"&amp;A261,$A$2:$A$1001,"&gt;="&amp;(A261-설정!$B$6)),1)))</f>
        <v/>
      </c>
      <c r="J261" s="18" t="str">
        <f aca="false">IF(H261="","",COUNTIFS($B$2:$B$1001,B261,$A$2:$A$1001,"&lt;"&amp;A261,$A$2:$A$1001,"&gt;="&amp;(A261-설정!$B$6),$H$2:$H$1001,"&gt;=0"))</f>
        <v/>
      </c>
      <c r="K261" s="21" t="str">
        <f aca="false">IF(I261="","",H261/I261-1)</f>
        <v/>
      </c>
      <c r="L261" s="19" t="str">
        <f aca="false">IF(H261="","",IF(J261&lt;설정!$B$7,"baseline 수집 중",IF(K261&lt;=-설정!$B$8,"저하","정상")))</f>
        <v/>
      </c>
      <c r="M261" s="20"/>
    </row>
    <row r="262" customFormat="false" ht="15" hidden="false" customHeight="false" outlineLevel="0" collapsed="false">
      <c r="A262" s="16"/>
      <c r="B262" s="17"/>
      <c r="C262" s="17"/>
      <c r="D262" s="17"/>
      <c r="E262" s="17"/>
      <c r="F262" s="17"/>
      <c r="G262" s="18" t="str">
        <f aca="false">IF(COUNT(D262:F262)=0,"",MAX(D262:F262))</f>
        <v/>
      </c>
      <c r="H262" s="18" t="str">
        <f aca="false">IF(COUNT(D262:F262)=0,"",ROUND(AVERAGE(D262:F262),1))</f>
        <v/>
      </c>
      <c r="I262" s="18" t="str">
        <f aca="false">IF(H262="","",IF(J262&lt;설정!$B$7,"",ROUND(AVERAGEIFS($H$2:$H$1001,$B$2:$B$1001,B262,$A$2:$A$1001,"&lt;"&amp;A262,$A$2:$A$1001,"&gt;="&amp;(A262-설정!$B$6)),1)))</f>
        <v/>
      </c>
      <c r="J262" s="18" t="str">
        <f aca="false">IF(H262="","",COUNTIFS($B$2:$B$1001,B262,$A$2:$A$1001,"&lt;"&amp;A262,$A$2:$A$1001,"&gt;="&amp;(A262-설정!$B$6),$H$2:$H$1001,"&gt;=0"))</f>
        <v/>
      </c>
      <c r="K262" s="21" t="str">
        <f aca="false">IF(I262="","",H262/I262-1)</f>
        <v/>
      </c>
      <c r="L262" s="19" t="str">
        <f aca="false">IF(H262="","",IF(J262&lt;설정!$B$7,"baseline 수집 중",IF(K262&lt;=-설정!$B$8,"저하","정상")))</f>
        <v/>
      </c>
      <c r="M262" s="20"/>
    </row>
    <row r="263" customFormat="false" ht="15" hidden="false" customHeight="false" outlineLevel="0" collapsed="false">
      <c r="A263" s="16"/>
      <c r="B263" s="17"/>
      <c r="C263" s="17"/>
      <c r="D263" s="17"/>
      <c r="E263" s="17"/>
      <c r="F263" s="17"/>
      <c r="G263" s="18" t="str">
        <f aca="false">IF(COUNT(D263:F263)=0,"",MAX(D263:F263))</f>
        <v/>
      </c>
      <c r="H263" s="18" t="str">
        <f aca="false">IF(COUNT(D263:F263)=0,"",ROUND(AVERAGE(D263:F263),1))</f>
        <v/>
      </c>
      <c r="I263" s="18" t="str">
        <f aca="false">IF(H263="","",IF(J263&lt;설정!$B$7,"",ROUND(AVERAGEIFS($H$2:$H$1001,$B$2:$B$1001,B263,$A$2:$A$1001,"&lt;"&amp;A263,$A$2:$A$1001,"&gt;="&amp;(A263-설정!$B$6)),1)))</f>
        <v/>
      </c>
      <c r="J263" s="18" t="str">
        <f aca="false">IF(H263="","",COUNTIFS($B$2:$B$1001,B263,$A$2:$A$1001,"&lt;"&amp;A263,$A$2:$A$1001,"&gt;="&amp;(A263-설정!$B$6),$H$2:$H$1001,"&gt;=0"))</f>
        <v/>
      </c>
      <c r="K263" s="21" t="str">
        <f aca="false">IF(I263="","",H263/I263-1)</f>
        <v/>
      </c>
      <c r="L263" s="19" t="str">
        <f aca="false">IF(H263="","",IF(J263&lt;설정!$B$7,"baseline 수집 중",IF(K263&lt;=-설정!$B$8,"저하","정상")))</f>
        <v/>
      </c>
      <c r="M263" s="20"/>
    </row>
    <row r="264" customFormat="false" ht="15" hidden="false" customHeight="false" outlineLevel="0" collapsed="false">
      <c r="A264" s="16"/>
      <c r="B264" s="17"/>
      <c r="C264" s="17"/>
      <c r="D264" s="17"/>
      <c r="E264" s="17"/>
      <c r="F264" s="17"/>
      <c r="G264" s="18" t="str">
        <f aca="false">IF(COUNT(D264:F264)=0,"",MAX(D264:F264))</f>
        <v/>
      </c>
      <c r="H264" s="18" t="str">
        <f aca="false">IF(COUNT(D264:F264)=0,"",ROUND(AVERAGE(D264:F264),1))</f>
        <v/>
      </c>
      <c r="I264" s="18" t="str">
        <f aca="false">IF(H264="","",IF(J264&lt;설정!$B$7,"",ROUND(AVERAGEIFS($H$2:$H$1001,$B$2:$B$1001,B264,$A$2:$A$1001,"&lt;"&amp;A264,$A$2:$A$1001,"&gt;="&amp;(A264-설정!$B$6)),1)))</f>
        <v/>
      </c>
      <c r="J264" s="18" t="str">
        <f aca="false">IF(H264="","",COUNTIFS($B$2:$B$1001,B264,$A$2:$A$1001,"&lt;"&amp;A264,$A$2:$A$1001,"&gt;="&amp;(A264-설정!$B$6),$H$2:$H$1001,"&gt;=0"))</f>
        <v/>
      </c>
      <c r="K264" s="21" t="str">
        <f aca="false">IF(I264="","",H264/I264-1)</f>
        <v/>
      </c>
      <c r="L264" s="19" t="str">
        <f aca="false">IF(H264="","",IF(J264&lt;설정!$B$7,"baseline 수집 중",IF(K264&lt;=-설정!$B$8,"저하","정상")))</f>
        <v/>
      </c>
      <c r="M264" s="20"/>
    </row>
    <row r="265" customFormat="false" ht="15" hidden="false" customHeight="false" outlineLevel="0" collapsed="false">
      <c r="A265" s="16"/>
      <c r="B265" s="17"/>
      <c r="C265" s="17"/>
      <c r="D265" s="17"/>
      <c r="E265" s="17"/>
      <c r="F265" s="17"/>
      <c r="G265" s="18" t="str">
        <f aca="false">IF(COUNT(D265:F265)=0,"",MAX(D265:F265))</f>
        <v/>
      </c>
      <c r="H265" s="18" t="str">
        <f aca="false">IF(COUNT(D265:F265)=0,"",ROUND(AVERAGE(D265:F265),1))</f>
        <v/>
      </c>
      <c r="I265" s="18" t="str">
        <f aca="false">IF(H265="","",IF(J265&lt;설정!$B$7,"",ROUND(AVERAGEIFS($H$2:$H$1001,$B$2:$B$1001,B265,$A$2:$A$1001,"&lt;"&amp;A265,$A$2:$A$1001,"&gt;="&amp;(A265-설정!$B$6)),1)))</f>
        <v/>
      </c>
      <c r="J265" s="18" t="str">
        <f aca="false">IF(H265="","",COUNTIFS($B$2:$B$1001,B265,$A$2:$A$1001,"&lt;"&amp;A265,$A$2:$A$1001,"&gt;="&amp;(A265-설정!$B$6),$H$2:$H$1001,"&gt;=0"))</f>
        <v/>
      </c>
      <c r="K265" s="21" t="str">
        <f aca="false">IF(I265="","",H265/I265-1)</f>
        <v/>
      </c>
      <c r="L265" s="19" t="str">
        <f aca="false">IF(H265="","",IF(J265&lt;설정!$B$7,"baseline 수집 중",IF(K265&lt;=-설정!$B$8,"저하","정상")))</f>
        <v/>
      </c>
      <c r="M265" s="20"/>
    </row>
    <row r="266" customFormat="false" ht="15" hidden="false" customHeight="false" outlineLevel="0" collapsed="false">
      <c r="A266" s="16"/>
      <c r="B266" s="17"/>
      <c r="C266" s="17"/>
      <c r="D266" s="17"/>
      <c r="E266" s="17"/>
      <c r="F266" s="17"/>
      <c r="G266" s="18" t="str">
        <f aca="false">IF(COUNT(D266:F266)=0,"",MAX(D266:F266))</f>
        <v/>
      </c>
      <c r="H266" s="18" t="str">
        <f aca="false">IF(COUNT(D266:F266)=0,"",ROUND(AVERAGE(D266:F266),1))</f>
        <v/>
      </c>
      <c r="I266" s="18" t="str">
        <f aca="false">IF(H266="","",IF(J266&lt;설정!$B$7,"",ROUND(AVERAGEIFS($H$2:$H$1001,$B$2:$B$1001,B266,$A$2:$A$1001,"&lt;"&amp;A266,$A$2:$A$1001,"&gt;="&amp;(A266-설정!$B$6)),1)))</f>
        <v/>
      </c>
      <c r="J266" s="18" t="str">
        <f aca="false">IF(H266="","",COUNTIFS($B$2:$B$1001,B266,$A$2:$A$1001,"&lt;"&amp;A266,$A$2:$A$1001,"&gt;="&amp;(A266-설정!$B$6),$H$2:$H$1001,"&gt;=0"))</f>
        <v/>
      </c>
      <c r="K266" s="21" t="str">
        <f aca="false">IF(I266="","",H266/I266-1)</f>
        <v/>
      </c>
      <c r="L266" s="19" t="str">
        <f aca="false">IF(H266="","",IF(J266&lt;설정!$B$7,"baseline 수집 중",IF(K266&lt;=-설정!$B$8,"저하","정상")))</f>
        <v/>
      </c>
      <c r="M266" s="20"/>
    </row>
    <row r="267" customFormat="false" ht="15" hidden="false" customHeight="false" outlineLevel="0" collapsed="false">
      <c r="A267" s="16"/>
      <c r="B267" s="17"/>
      <c r="C267" s="17"/>
      <c r="D267" s="17"/>
      <c r="E267" s="17"/>
      <c r="F267" s="17"/>
      <c r="G267" s="18" t="str">
        <f aca="false">IF(COUNT(D267:F267)=0,"",MAX(D267:F267))</f>
        <v/>
      </c>
      <c r="H267" s="18" t="str">
        <f aca="false">IF(COUNT(D267:F267)=0,"",ROUND(AVERAGE(D267:F267),1))</f>
        <v/>
      </c>
      <c r="I267" s="18" t="str">
        <f aca="false">IF(H267="","",IF(J267&lt;설정!$B$7,"",ROUND(AVERAGEIFS($H$2:$H$1001,$B$2:$B$1001,B267,$A$2:$A$1001,"&lt;"&amp;A267,$A$2:$A$1001,"&gt;="&amp;(A267-설정!$B$6)),1)))</f>
        <v/>
      </c>
      <c r="J267" s="18" t="str">
        <f aca="false">IF(H267="","",COUNTIFS($B$2:$B$1001,B267,$A$2:$A$1001,"&lt;"&amp;A267,$A$2:$A$1001,"&gt;="&amp;(A267-설정!$B$6),$H$2:$H$1001,"&gt;=0"))</f>
        <v/>
      </c>
      <c r="K267" s="21" t="str">
        <f aca="false">IF(I267="","",H267/I267-1)</f>
        <v/>
      </c>
      <c r="L267" s="19" t="str">
        <f aca="false">IF(H267="","",IF(J267&lt;설정!$B$7,"baseline 수집 중",IF(K267&lt;=-설정!$B$8,"저하","정상")))</f>
        <v/>
      </c>
      <c r="M267" s="20"/>
    </row>
    <row r="268" customFormat="false" ht="15" hidden="false" customHeight="false" outlineLevel="0" collapsed="false">
      <c r="A268" s="16"/>
      <c r="B268" s="17"/>
      <c r="C268" s="17"/>
      <c r="D268" s="17"/>
      <c r="E268" s="17"/>
      <c r="F268" s="17"/>
      <c r="G268" s="18" t="str">
        <f aca="false">IF(COUNT(D268:F268)=0,"",MAX(D268:F268))</f>
        <v/>
      </c>
      <c r="H268" s="18" t="str">
        <f aca="false">IF(COUNT(D268:F268)=0,"",ROUND(AVERAGE(D268:F268),1))</f>
        <v/>
      </c>
      <c r="I268" s="18" t="str">
        <f aca="false">IF(H268="","",IF(J268&lt;설정!$B$7,"",ROUND(AVERAGEIFS($H$2:$H$1001,$B$2:$B$1001,B268,$A$2:$A$1001,"&lt;"&amp;A268,$A$2:$A$1001,"&gt;="&amp;(A268-설정!$B$6)),1)))</f>
        <v/>
      </c>
      <c r="J268" s="18" t="str">
        <f aca="false">IF(H268="","",COUNTIFS($B$2:$B$1001,B268,$A$2:$A$1001,"&lt;"&amp;A268,$A$2:$A$1001,"&gt;="&amp;(A268-설정!$B$6),$H$2:$H$1001,"&gt;=0"))</f>
        <v/>
      </c>
      <c r="K268" s="21" t="str">
        <f aca="false">IF(I268="","",H268/I268-1)</f>
        <v/>
      </c>
      <c r="L268" s="19" t="str">
        <f aca="false">IF(H268="","",IF(J268&lt;설정!$B$7,"baseline 수집 중",IF(K268&lt;=-설정!$B$8,"저하","정상")))</f>
        <v/>
      </c>
      <c r="M268" s="20"/>
    </row>
    <row r="269" customFormat="false" ht="15" hidden="false" customHeight="false" outlineLevel="0" collapsed="false">
      <c r="A269" s="16"/>
      <c r="B269" s="17"/>
      <c r="C269" s="17"/>
      <c r="D269" s="17"/>
      <c r="E269" s="17"/>
      <c r="F269" s="17"/>
      <c r="G269" s="18" t="str">
        <f aca="false">IF(COUNT(D269:F269)=0,"",MAX(D269:F269))</f>
        <v/>
      </c>
      <c r="H269" s="18" t="str">
        <f aca="false">IF(COUNT(D269:F269)=0,"",ROUND(AVERAGE(D269:F269),1))</f>
        <v/>
      </c>
      <c r="I269" s="18" t="str">
        <f aca="false">IF(H269="","",IF(J269&lt;설정!$B$7,"",ROUND(AVERAGEIFS($H$2:$H$1001,$B$2:$B$1001,B269,$A$2:$A$1001,"&lt;"&amp;A269,$A$2:$A$1001,"&gt;="&amp;(A269-설정!$B$6)),1)))</f>
        <v/>
      </c>
      <c r="J269" s="18" t="str">
        <f aca="false">IF(H269="","",COUNTIFS($B$2:$B$1001,B269,$A$2:$A$1001,"&lt;"&amp;A269,$A$2:$A$1001,"&gt;="&amp;(A269-설정!$B$6),$H$2:$H$1001,"&gt;=0"))</f>
        <v/>
      </c>
      <c r="K269" s="21" t="str">
        <f aca="false">IF(I269="","",H269/I269-1)</f>
        <v/>
      </c>
      <c r="L269" s="19" t="str">
        <f aca="false">IF(H269="","",IF(J269&lt;설정!$B$7,"baseline 수집 중",IF(K269&lt;=-설정!$B$8,"저하","정상")))</f>
        <v/>
      </c>
      <c r="M269" s="20"/>
    </row>
    <row r="270" customFormat="false" ht="15" hidden="false" customHeight="false" outlineLevel="0" collapsed="false">
      <c r="A270" s="16"/>
      <c r="B270" s="17"/>
      <c r="C270" s="17"/>
      <c r="D270" s="17"/>
      <c r="E270" s="17"/>
      <c r="F270" s="17"/>
      <c r="G270" s="18" t="str">
        <f aca="false">IF(COUNT(D270:F270)=0,"",MAX(D270:F270))</f>
        <v/>
      </c>
      <c r="H270" s="18" t="str">
        <f aca="false">IF(COUNT(D270:F270)=0,"",ROUND(AVERAGE(D270:F270),1))</f>
        <v/>
      </c>
      <c r="I270" s="18" t="str">
        <f aca="false">IF(H270="","",IF(J270&lt;설정!$B$7,"",ROUND(AVERAGEIFS($H$2:$H$1001,$B$2:$B$1001,B270,$A$2:$A$1001,"&lt;"&amp;A270,$A$2:$A$1001,"&gt;="&amp;(A270-설정!$B$6)),1)))</f>
        <v/>
      </c>
      <c r="J270" s="18" t="str">
        <f aca="false">IF(H270="","",COUNTIFS($B$2:$B$1001,B270,$A$2:$A$1001,"&lt;"&amp;A270,$A$2:$A$1001,"&gt;="&amp;(A270-설정!$B$6),$H$2:$H$1001,"&gt;=0"))</f>
        <v/>
      </c>
      <c r="K270" s="21" t="str">
        <f aca="false">IF(I270="","",H270/I270-1)</f>
        <v/>
      </c>
      <c r="L270" s="19" t="str">
        <f aca="false">IF(H270="","",IF(J270&lt;설정!$B$7,"baseline 수집 중",IF(K270&lt;=-설정!$B$8,"저하","정상")))</f>
        <v/>
      </c>
      <c r="M270" s="20"/>
    </row>
    <row r="271" customFormat="false" ht="15" hidden="false" customHeight="false" outlineLevel="0" collapsed="false">
      <c r="A271" s="16"/>
      <c r="B271" s="17"/>
      <c r="C271" s="17"/>
      <c r="D271" s="17"/>
      <c r="E271" s="17"/>
      <c r="F271" s="17"/>
      <c r="G271" s="18" t="str">
        <f aca="false">IF(COUNT(D271:F271)=0,"",MAX(D271:F271))</f>
        <v/>
      </c>
      <c r="H271" s="18" t="str">
        <f aca="false">IF(COUNT(D271:F271)=0,"",ROUND(AVERAGE(D271:F271),1))</f>
        <v/>
      </c>
      <c r="I271" s="18" t="str">
        <f aca="false">IF(H271="","",IF(J271&lt;설정!$B$7,"",ROUND(AVERAGEIFS($H$2:$H$1001,$B$2:$B$1001,B271,$A$2:$A$1001,"&lt;"&amp;A271,$A$2:$A$1001,"&gt;="&amp;(A271-설정!$B$6)),1)))</f>
        <v/>
      </c>
      <c r="J271" s="18" t="str">
        <f aca="false">IF(H271="","",COUNTIFS($B$2:$B$1001,B271,$A$2:$A$1001,"&lt;"&amp;A271,$A$2:$A$1001,"&gt;="&amp;(A271-설정!$B$6),$H$2:$H$1001,"&gt;=0"))</f>
        <v/>
      </c>
      <c r="K271" s="21" t="str">
        <f aca="false">IF(I271="","",H271/I271-1)</f>
        <v/>
      </c>
      <c r="L271" s="19" t="str">
        <f aca="false">IF(H271="","",IF(J271&lt;설정!$B$7,"baseline 수집 중",IF(K271&lt;=-설정!$B$8,"저하","정상")))</f>
        <v/>
      </c>
      <c r="M271" s="20"/>
    </row>
    <row r="272" customFormat="false" ht="15" hidden="false" customHeight="false" outlineLevel="0" collapsed="false">
      <c r="A272" s="16"/>
      <c r="B272" s="17"/>
      <c r="C272" s="17"/>
      <c r="D272" s="17"/>
      <c r="E272" s="17"/>
      <c r="F272" s="17"/>
      <c r="G272" s="18" t="str">
        <f aca="false">IF(COUNT(D272:F272)=0,"",MAX(D272:F272))</f>
        <v/>
      </c>
      <c r="H272" s="18" t="str">
        <f aca="false">IF(COUNT(D272:F272)=0,"",ROUND(AVERAGE(D272:F272),1))</f>
        <v/>
      </c>
      <c r="I272" s="18" t="str">
        <f aca="false">IF(H272="","",IF(J272&lt;설정!$B$7,"",ROUND(AVERAGEIFS($H$2:$H$1001,$B$2:$B$1001,B272,$A$2:$A$1001,"&lt;"&amp;A272,$A$2:$A$1001,"&gt;="&amp;(A272-설정!$B$6)),1)))</f>
        <v/>
      </c>
      <c r="J272" s="18" t="str">
        <f aca="false">IF(H272="","",COUNTIFS($B$2:$B$1001,B272,$A$2:$A$1001,"&lt;"&amp;A272,$A$2:$A$1001,"&gt;="&amp;(A272-설정!$B$6),$H$2:$H$1001,"&gt;=0"))</f>
        <v/>
      </c>
      <c r="K272" s="21" t="str">
        <f aca="false">IF(I272="","",H272/I272-1)</f>
        <v/>
      </c>
      <c r="L272" s="19" t="str">
        <f aca="false">IF(H272="","",IF(J272&lt;설정!$B$7,"baseline 수집 중",IF(K272&lt;=-설정!$B$8,"저하","정상")))</f>
        <v/>
      </c>
      <c r="M272" s="20"/>
    </row>
    <row r="273" customFormat="false" ht="15" hidden="false" customHeight="false" outlineLevel="0" collapsed="false">
      <c r="A273" s="16"/>
      <c r="B273" s="17"/>
      <c r="C273" s="17"/>
      <c r="D273" s="17"/>
      <c r="E273" s="17"/>
      <c r="F273" s="17"/>
      <c r="G273" s="18" t="str">
        <f aca="false">IF(COUNT(D273:F273)=0,"",MAX(D273:F273))</f>
        <v/>
      </c>
      <c r="H273" s="18" t="str">
        <f aca="false">IF(COUNT(D273:F273)=0,"",ROUND(AVERAGE(D273:F273),1))</f>
        <v/>
      </c>
      <c r="I273" s="18" t="str">
        <f aca="false">IF(H273="","",IF(J273&lt;설정!$B$7,"",ROUND(AVERAGEIFS($H$2:$H$1001,$B$2:$B$1001,B273,$A$2:$A$1001,"&lt;"&amp;A273,$A$2:$A$1001,"&gt;="&amp;(A273-설정!$B$6)),1)))</f>
        <v/>
      </c>
      <c r="J273" s="18" t="str">
        <f aca="false">IF(H273="","",COUNTIFS($B$2:$B$1001,B273,$A$2:$A$1001,"&lt;"&amp;A273,$A$2:$A$1001,"&gt;="&amp;(A273-설정!$B$6),$H$2:$H$1001,"&gt;=0"))</f>
        <v/>
      </c>
      <c r="K273" s="21" t="str">
        <f aca="false">IF(I273="","",H273/I273-1)</f>
        <v/>
      </c>
      <c r="L273" s="19" t="str">
        <f aca="false">IF(H273="","",IF(J273&lt;설정!$B$7,"baseline 수집 중",IF(K273&lt;=-설정!$B$8,"저하","정상")))</f>
        <v/>
      </c>
      <c r="M273" s="20"/>
    </row>
    <row r="274" customFormat="false" ht="15" hidden="false" customHeight="false" outlineLevel="0" collapsed="false">
      <c r="A274" s="16"/>
      <c r="B274" s="17"/>
      <c r="C274" s="17"/>
      <c r="D274" s="17"/>
      <c r="E274" s="17"/>
      <c r="F274" s="17"/>
      <c r="G274" s="18" t="str">
        <f aca="false">IF(COUNT(D274:F274)=0,"",MAX(D274:F274))</f>
        <v/>
      </c>
      <c r="H274" s="18" t="str">
        <f aca="false">IF(COUNT(D274:F274)=0,"",ROUND(AVERAGE(D274:F274),1))</f>
        <v/>
      </c>
      <c r="I274" s="18" t="str">
        <f aca="false">IF(H274="","",IF(J274&lt;설정!$B$7,"",ROUND(AVERAGEIFS($H$2:$H$1001,$B$2:$B$1001,B274,$A$2:$A$1001,"&lt;"&amp;A274,$A$2:$A$1001,"&gt;="&amp;(A274-설정!$B$6)),1)))</f>
        <v/>
      </c>
      <c r="J274" s="18" t="str">
        <f aca="false">IF(H274="","",COUNTIFS($B$2:$B$1001,B274,$A$2:$A$1001,"&lt;"&amp;A274,$A$2:$A$1001,"&gt;="&amp;(A274-설정!$B$6),$H$2:$H$1001,"&gt;=0"))</f>
        <v/>
      </c>
      <c r="K274" s="21" t="str">
        <f aca="false">IF(I274="","",H274/I274-1)</f>
        <v/>
      </c>
      <c r="L274" s="19" t="str">
        <f aca="false">IF(H274="","",IF(J274&lt;설정!$B$7,"baseline 수집 중",IF(K274&lt;=-설정!$B$8,"저하","정상")))</f>
        <v/>
      </c>
      <c r="M274" s="20"/>
    </row>
    <row r="275" customFormat="false" ht="15" hidden="false" customHeight="false" outlineLevel="0" collapsed="false">
      <c r="A275" s="16"/>
      <c r="B275" s="17"/>
      <c r="C275" s="17"/>
      <c r="D275" s="17"/>
      <c r="E275" s="17"/>
      <c r="F275" s="17"/>
      <c r="G275" s="18" t="str">
        <f aca="false">IF(COUNT(D275:F275)=0,"",MAX(D275:F275))</f>
        <v/>
      </c>
      <c r="H275" s="18" t="str">
        <f aca="false">IF(COUNT(D275:F275)=0,"",ROUND(AVERAGE(D275:F275),1))</f>
        <v/>
      </c>
      <c r="I275" s="18" t="str">
        <f aca="false">IF(H275="","",IF(J275&lt;설정!$B$7,"",ROUND(AVERAGEIFS($H$2:$H$1001,$B$2:$B$1001,B275,$A$2:$A$1001,"&lt;"&amp;A275,$A$2:$A$1001,"&gt;="&amp;(A275-설정!$B$6)),1)))</f>
        <v/>
      </c>
      <c r="J275" s="18" t="str">
        <f aca="false">IF(H275="","",COUNTIFS($B$2:$B$1001,B275,$A$2:$A$1001,"&lt;"&amp;A275,$A$2:$A$1001,"&gt;="&amp;(A275-설정!$B$6),$H$2:$H$1001,"&gt;=0"))</f>
        <v/>
      </c>
      <c r="K275" s="21" t="str">
        <f aca="false">IF(I275="","",H275/I275-1)</f>
        <v/>
      </c>
      <c r="L275" s="19" t="str">
        <f aca="false">IF(H275="","",IF(J275&lt;설정!$B$7,"baseline 수집 중",IF(K275&lt;=-설정!$B$8,"저하","정상")))</f>
        <v/>
      </c>
      <c r="M275" s="20"/>
    </row>
    <row r="276" customFormat="false" ht="15" hidden="false" customHeight="false" outlineLevel="0" collapsed="false">
      <c r="A276" s="16"/>
      <c r="B276" s="17"/>
      <c r="C276" s="17"/>
      <c r="D276" s="17"/>
      <c r="E276" s="17"/>
      <c r="F276" s="17"/>
      <c r="G276" s="18" t="str">
        <f aca="false">IF(COUNT(D276:F276)=0,"",MAX(D276:F276))</f>
        <v/>
      </c>
      <c r="H276" s="18" t="str">
        <f aca="false">IF(COUNT(D276:F276)=0,"",ROUND(AVERAGE(D276:F276),1))</f>
        <v/>
      </c>
      <c r="I276" s="18" t="str">
        <f aca="false">IF(H276="","",IF(J276&lt;설정!$B$7,"",ROUND(AVERAGEIFS($H$2:$H$1001,$B$2:$B$1001,B276,$A$2:$A$1001,"&lt;"&amp;A276,$A$2:$A$1001,"&gt;="&amp;(A276-설정!$B$6)),1)))</f>
        <v/>
      </c>
      <c r="J276" s="18" t="str">
        <f aca="false">IF(H276="","",COUNTIFS($B$2:$B$1001,B276,$A$2:$A$1001,"&lt;"&amp;A276,$A$2:$A$1001,"&gt;="&amp;(A276-설정!$B$6),$H$2:$H$1001,"&gt;=0"))</f>
        <v/>
      </c>
      <c r="K276" s="21" t="str">
        <f aca="false">IF(I276="","",H276/I276-1)</f>
        <v/>
      </c>
      <c r="L276" s="19" t="str">
        <f aca="false">IF(H276="","",IF(J276&lt;설정!$B$7,"baseline 수집 중",IF(K276&lt;=-설정!$B$8,"저하","정상")))</f>
        <v/>
      </c>
      <c r="M276" s="20"/>
    </row>
    <row r="277" customFormat="false" ht="15" hidden="false" customHeight="false" outlineLevel="0" collapsed="false">
      <c r="A277" s="16"/>
      <c r="B277" s="17"/>
      <c r="C277" s="17"/>
      <c r="D277" s="17"/>
      <c r="E277" s="17"/>
      <c r="F277" s="17"/>
      <c r="G277" s="18" t="str">
        <f aca="false">IF(COUNT(D277:F277)=0,"",MAX(D277:F277))</f>
        <v/>
      </c>
      <c r="H277" s="18" t="str">
        <f aca="false">IF(COUNT(D277:F277)=0,"",ROUND(AVERAGE(D277:F277),1))</f>
        <v/>
      </c>
      <c r="I277" s="18" t="str">
        <f aca="false">IF(H277="","",IF(J277&lt;설정!$B$7,"",ROUND(AVERAGEIFS($H$2:$H$1001,$B$2:$B$1001,B277,$A$2:$A$1001,"&lt;"&amp;A277,$A$2:$A$1001,"&gt;="&amp;(A277-설정!$B$6)),1)))</f>
        <v/>
      </c>
      <c r="J277" s="18" t="str">
        <f aca="false">IF(H277="","",COUNTIFS($B$2:$B$1001,B277,$A$2:$A$1001,"&lt;"&amp;A277,$A$2:$A$1001,"&gt;="&amp;(A277-설정!$B$6),$H$2:$H$1001,"&gt;=0"))</f>
        <v/>
      </c>
      <c r="K277" s="21" t="str">
        <f aca="false">IF(I277="","",H277/I277-1)</f>
        <v/>
      </c>
      <c r="L277" s="19" t="str">
        <f aca="false">IF(H277="","",IF(J277&lt;설정!$B$7,"baseline 수집 중",IF(K277&lt;=-설정!$B$8,"저하","정상")))</f>
        <v/>
      </c>
      <c r="M277" s="20"/>
    </row>
    <row r="278" customFormat="false" ht="15" hidden="false" customHeight="false" outlineLevel="0" collapsed="false">
      <c r="A278" s="16"/>
      <c r="B278" s="17"/>
      <c r="C278" s="17"/>
      <c r="D278" s="17"/>
      <c r="E278" s="17"/>
      <c r="F278" s="17"/>
      <c r="G278" s="18" t="str">
        <f aca="false">IF(COUNT(D278:F278)=0,"",MAX(D278:F278))</f>
        <v/>
      </c>
      <c r="H278" s="18" t="str">
        <f aca="false">IF(COUNT(D278:F278)=0,"",ROUND(AVERAGE(D278:F278),1))</f>
        <v/>
      </c>
      <c r="I278" s="18" t="str">
        <f aca="false">IF(H278="","",IF(J278&lt;설정!$B$7,"",ROUND(AVERAGEIFS($H$2:$H$1001,$B$2:$B$1001,B278,$A$2:$A$1001,"&lt;"&amp;A278,$A$2:$A$1001,"&gt;="&amp;(A278-설정!$B$6)),1)))</f>
        <v/>
      </c>
      <c r="J278" s="18" t="str">
        <f aca="false">IF(H278="","",COUNTIFS($B$2:$B$1001,B278,$A$2:$A$1001,"&lt;"&amp;A278,$A$2:$A$1001,"&gt;="&amp;(A278-설정!$B$6),$H$2:$H$1001,"&gt;=0"))</f>
        <v/>
      </c>
      <c r="K278" s="21" t="str">
        <f aca="false">IF(I278="","",H278/I278-1)</f>
        <v/>
      </c>
      <c r="L278" s="19" t="str">
        <f aca="false">IF(H278="","",IF(J278&lt;설정!$B$7,"baseline 수집 중",IF(K278&lt;=-설정!$B$8,"저하","정상")))</f>
        <v/>
      </c>
      <c r="M278" s="20"/>
    </row>
    <row r="279" customFormat="false" ht="15" hidden="false" customHeight="false" outlineLevel="0" collapsed="false">
      <c r="A279" s="16"/>
      <c r="B279" s="17"/>
      <c r="C279" s="17"/>
      <c r="D279" s="17"/>
      <c r="E279" s="17"/>
      <c r="F279" s="17"/>
      <c r="G279" s="18" t="str">
        <f aca="false">IF(COUNT(D279:F279)=0,"",MAX(D279:F279))</f>
        <v/>
      </c>
      <c r="H279" s="18" t="str">
        <f aca="false">IF(COUNT(D279:F279)=0,"",ROUND(AVERAGE(D279:F279),1))</f>
        <v/>
      </c>
      <c r="I279" s="18" t="str">
        <f aca="false">IF(H279="","",IF(J279&lt;설정!$B$7,"",ROUND(AVERAGEIFS($H$2:$H$1001,$B$2:$B$1001,B279,$A$2:$A$1001,"&lt;"&amp;A279,$A$2:$A$1001,"&gt;="&amp;(A279-설정!$B$6)),1)))</f>
        <v/>
      </c>
      <c r="J279" s="18" t="str">
        <f aca="false">IF(H279="","",COUNTIFS($B$2:$B$1001,B279,$A$2:$A$1001,"&lt;"&amp;A279,$A$2:$A$1001,"&gt;="&amp;(A279-설정!$B$6),$H$2:$H$1001,"&gt;=0"))</f>
        <v/>
      </c>
      <c r="K279" s="21" t="str">
        <f aca="false">IF(I279="","",H279/I279-1)</f>
        <v/>
      </c>
      <c r="L279" s="19" t="str">
        <f aca="false">IF(H279="","",IF(J279&lt;설정!$B$7,"baseline 수집 중",IF(K279&lt;=-설정!$B$8,"저하","정상")))</f>
        <v/>
      </c>
      <c r="M279" s="20"/>
    </row>
    <row r="280" customFormat="false" ht="15" hidden="false" customHeight="false" outlineLevel="0" collapsed="false">
      <c r="A280" s="16"/>
      <c r="B280" s="17"/>
      <c r="C280" s="17"/>
      <c r="D280" s="17"/>
      <c r="E280" s="17"/>
      <c r="F280" s="17"/>
      <c r="G280" s="18" t="str">
        <f aca="false">IF(COUNT(D280:F280)=0,"",MAX(D280:F280))</f>
        <v/>
      </c>
      <c r="H280" s="18" t="str">
        <f aca="false">IF(COUNT(D280:F280)=0,"",ROUND(AVERAGE(D280:F280),1))</f>
        <v/>
      </c>
      <c r="I280" s="18" t="str">
        <f aca="false">IF(H280="","",IF(J280&lt;설정!$B$7,"",ROUND(AVERAGEIFS($H$2:$H$1001,$B$2:$B$1001,B280,$A$2:$A$1001,"&lt;"&amp;A280,$A$2:$A$1001,"&gt;="&amp;(A280-설정!$B$6)),1)))</f>
        <v/>
      </c>
      <c r="J280" s="18" t="str">
        <f aca="false">IF(H280="","",COUNTIFS($B$2:$B$1001,B280,$A$2:$A$1001,"&lt;"&amp;A280,$A$2:$A$1001,"&gt;="&amp;(A280-설정!$B$6),$H$2:$H$1001,"&gt;=0"))</f>
        <v/>
      </c>
      <c r="K280" s="21" t="str">
        <f aca="false">IF(I280="","",H280/I280-1)</f>
        <v/>
      </c>
      <c r="L280" s="19" t="str">
        <f aca="false">IF(H280="","",IF(J280&lt;설정!$B$7,"baseline 수집 중",IF(K280&lt;=-설정!$B$8,"저하","정상")))</f>
        <v/>
      </c>
      <c r="M280" s="20"/>
    </row>
    <row r="281" customFormat="false" ht="15" hidden="false" customHeight="false" outlineLevel="0" collapsed="false">
      <c r="A281" s="16"/>
      <c r="B281" s="17"/>
      <c r="C281" s="17"/>
      <c r="D281" s="17"/>
      <c r="E281" s="17"/>
      <c r="F281" s="17"/>
      <c r="G281" s="18" t="str">
        <f aca="false">IF(COUNT(D281:F281)=0,"",MAX(D281:F281))</f>
        <v/>
      </c>
      <c r="H281" s="18" t="str">
        <f aca="false">IF(COUNT(D281:F281)=0,"",ROUND(AVERAGE(D281:F281),1))</f>
        <v/>
      </c>
      <c r="I281" s="18" t="str">
        <f aca="false">IF(H281="","",IF(J281&lt;설정!$B$7,"",ROUND(AVERAGEIFS($H$2:$H$1001,$B$2:$B$1001,B281,$A$2:$A$1001,"&lt;"&amp;A281,$A$2:$A$1001,"&gt;="&amp;(A281-설정!$B$6)),1)))</f>
        <v/>
      </c>
      <c r="J281" s="18" t="str">
        <f aca="false">IF(H281="","",COUNTIFS($B$2:$B$1001,B281,$A$2:$A$1001,"&lt;"&amp;A281,$A$2:$A$1001,"&gt;="&amp;(A281-설정!$B$6),$H$2:$H$1001,"&gt;=0"))</f>
        <v/>
      </c>
      <c r="K281" s="21" t="str">
        <f aca="false">IF(I281="","",H281/I281-1)</f>
        <v/>
      </c>
      <c r="L281" s="19" t="str">
        <f aca="false">IF(H281="","",IF(J281&lt;설정!$B$7,"baseline 수집 중",IF(K281&lt;=-설정!$B$8,"저하","정상")))</f>
        <v/>
      </c>
      <c r="M281" s="20"/>
    </row>
    <row r="282" customFormat="false" ht="15" hidden="false" customHeight="false" outlineLevel="0" collapsed="false">
      <c r="A282" s="16"/>
      <c r="B282" s="17"/>
      <c r="C282" s="17"/>
      <c r="D282" s="17"/>
      <c r="E282" s="17"/>
      <c r="F282" s="17"/>
      <c r="G282" s="18" t="str">
        <f aca="false">IF(COUNT(D282:F282)=0,"",MAX(D282:F282))</f>
        <v/>
      </c>
      <c r="H282" s="18" t="str">
        <f aca="false">IF(COUNT(D282:F282)=0,"",ROUND(AVERAGE(D282:F282),1))</f>
        <v/>
      </c>
      <c r="I282" s="18" t="str">
        <f aca="false">IF(H282="","",IF(J282&lt;설정!$B$7,"",ROUND(AVERAGEIFS($H$2:$H$1001,$B$2:$B$1001,B282,$A$2:$A$1001,"&lt;"&amp;A282,$A$2:$A$1001,"&gt;="&amp;(A282-설정!$B$6)),1)))</f>
        <v/>
      </c>
      <c r="J282" s="18" t="str">
        <f aca="false">IF(H282="","",COUNTIFS($B$2:$B$1001,B282,$A$2:$A$1001,"&lt;"&amp;A282,$A$2:$A$1001,"&gt;="&amp;(A282-설정!$B$6),$H$2:$H$1001,"&gt;=0"))</f>
        <v/>
      </c>
      <c r="K282" s="21" t="str">
        <f aca="false">IF(I282="","",H282/I282-1)</f>
        <v/>
      </c>
      <c r="L282" s="19" t="str">
        <f aca="false">IF(H282="","",IF(J282&lt;설정!$B$7,"baseline 수집 중",IF(K282&lt;=-설정!$B$8,"저하","정상")))</f>
        <v/>
      </c>
      <c r="M282" s="20"/>
    </row>
    <row r="283" customFormat="false" ht="15" hidden="false" customHeight="false" outlineLevel="0" collapsed="false">
      <c r="A283" s="16"/>
      <c r="B283" s="17"/>
      <c r="C283" s="17"/>
      <c r="D283" s="17"/>
      <c r="E283" s="17"/>
      <c r="F283" s="17"/>
      <c r="G283" s="18" t="str">
        <f aca="false">IF(COUNT(D283:F283)=0,"",MAX(D283:F283))</f>
        <v/>
      </c>
      <c r="H283" s="18" t="str">
        <f aca="false">IF(COUNT(D283:F283)=0,"",ROUND(AVERAGE(D283:F283),1))</f>
        <v/>
      </c>
      <c r="I283" s="18" t="str">
        <f aca="false">IF(H283="","",IF(J283&lt;설정!$B$7,"",ROUND(AVERAGEIFS($H$2:$H$1001,$B$2:$B$1001,B283,$A$2:$A$1001,"&lt;"&amp;A283,$A$2:$A$1001,"&gt;="&amp;(A283-설정!$B$6)),1)))</f>
        <v/>
      </c>
      <c r="J283" s="18" t="str">
        <f aca="false">IF(H283="","",COUNTIFS($B$2:$B$1001,B283,$A$2:$A$1001,"&lt;"&amp;A283,$A$2:$A$1001,"&gt;="&amp;(A283-설정!$B$6),$H$2:$H$1001,"&gt;=0"))</f>
        <v/>
      </c>
      <c r="K283" s="21" t="str">
        <f aca="false">IF(I283="","",H283/I283-1)</f>
        <v/>
      </c>
      <c r="L283" s="19" t="str">
        <f aca="false">IF(H283="","",IF(J283&lt;설정!$B$7,"baseline 수집 중",IF(K283&lt;=-설정!$B$8,"저하","정상")))</f>
        <v/>
      </c>
      <c r="M283" s="20"/>
    </row>
    <row r="284" customFormat="false" ht="15" hidden="false" customHeight="false" outlineLevel="0" collapsed="false">
      <c r="A284" s="16"/>
      <c r="B284" s="17"/>
      <c r="C284" s="17"/>
      <c r="D284" s="17"/>
      <c r="E284" s="17"/>
      <c r="F284" s="17"/>
      <c r="G284" s="18" t="str">
        <f aca="false">IF(COUNT(D284:F284)=0,"",MAX(D284:F284))</f>
        <v/>
      </c>
      <c r="H284" s="18" t="str">
        <f aca="false">IF(COUNT(D284:F284)=0,"",ROUND(AVERAGE(D284:F284),1))</f>
        <v/>
      </c>
      <c r="I284" s="18" t="str">
        <f aca="false">IF(H284="","",IF(J284&lt;설정!$B$7,"",ROUND(AVERAGEIFS($H$2:$H$1001,$B$2:$B$1001,B284,$A$2:$A$1001,"&lt;"&amp;A284,$A$2:$A$1001,"&gt;="&amp;(A284-설정!$B$6)),1)))</f>
        <v/>
      </c>
      <c r="J284" s="18" t="str">
        <f aca="false">IF(H284="","",COUNTIFS($B$2:$B$1001,B284,$A$2:$A$1001,"&lt;"&amp;A284,$A$2:$A$1001,"&gt;="&amp;(A284-설정!$B$6),$H$2:$H$1001,"&gt;=0"))</f>
        <v/>
      </c>
      <c r="K284" s="21" t="str">
        <f aca="false">IF(I284="","",H284/I284-1)</f>
        <v/>
      </c>
      <c r="L284" s="19" t="str">
        <f aca="false">IF(H284="","",IF(J284&lt;설정!$B$7,"baseline 수집 중",IF(K284&lt;=-설정!$B$8,"저하","정상")))</f>
        <v/>
      </c>
      <c r="M284" s="20"/>
    </row>
    <row r="285" customFormat="false" ht="15" hidden="false" customHeight="false" outlineLevel="0" collapsed="false">
      <c r="A285" s="16"/>
      <c r="B285" s="17"/>
      <c r="C285" s="17"/>
      <c r="D285" s="17"/>
      <c r="E285" s="17"/>
      <c r="F285" s="17"/>
      <c r="G285" s="18" t="str">
        <f aca="false">IF(COUNT(D285:F285)=0,"",MAX(D285:F285))</f>
        <v/>
      </c>
      <c r="H285" s="18" t="str">
        <f aca="false">IF(COUNT(D285:F285)=0,"",ROUND(AVERAGE(D285:F285),1))</f>
        <v/>
      </c>
      <c r="I285" s="18" t="str">
        <f aca="false">IF(H285="","",IF(J285&lt;설정!$B$7,"",ROUND(AVERAGEIFS($H$2:$H$1001,$B$2:$B$1001,B285,$A$2:$A$1001,"&lt;"&amp;A285,$A$2:$A$1001,"&gt;="&amp;(A285-설정!$B$6)),1)))</f>
        <v/>
      </c>
      <c r="J285" s="18" t="str">
        <f aca="false">IF(H285="","",COUNTIFS($B$2:$B$1001,B285,$A$2:$A$1001,"&lt;"&amp;A285,$A$2:$A$1001,"&gt;="&amp;(A285-설정!$B$6),$H$2:$H$1001,"&gt;=0"))</f>
        <v/>
      </c>
      <c r="K285" s="21" t="str">
        <f aca="false">IF(I285="","",H285/I285-1)</f>
        <v/>
      </c>
      <c r="L285" s="19" t="str">
        <f aca="false">IF(H285="","",IF(J285&lt;설정!$B$7,"baseline 수집 중",IF(K285&lt;=-설정!$B$8,"저하","정상")))</f>
        <v/>
      </c>
      <c r="M285" s="20"/>
    </row>
    <row r="286" customFormat="false" ht="15" hidden="false" customHeight="false" outlineLevel="0" collapsed="false">
      <c r="A286" s="16"/>
      <c r="B286" s="17"/>
      <c r="C286" s="17"/>
      <c r="D286" s="17"/>
      <c r="E286" s="17"/>
      <c r="F286" s="17"/>
      <c r="G286" s="18" t="str">
        <f aca="false">IF(COUNT(D286:F286)=0,"",MAX(D286:F286))</f>
        <v/>
      </c>
      <c r="H286" s="18" t="str">
        <f aca="false">IF(COUNT(D286:F286)=0,"",ROUND(AVERAGE(D286:F286),1))</f>
        <v/>
      </c>
      <c r="I286" s="18" t="str">
        <f aca="false">IF(H286="","",IF(J286&lt;설정!$B$7,"",ROUND(AVERAGEIFS($H$2:$H$1001,$B$2:$B$1001,B286,$A$2:$A$1001,"&lt;"&amp;A286,$A$2:$A$1001,"&gt;="&amp;(A286-설정!$B$6)),1)))</f>
        <v/>
      </c>
      <c r="J286" s="18" t="str">
        <f aca="false">IF(H286="","",COUNTIFS($B$2:$B$1001,B286,$A$2:$A$1001,"&lt;"&amp;A286,$A$2:$A$1001,"&gt;="&amp;(A286-설정!$B$6),$H$2:$H$1001,"&gt;=0"))</f>
        <v/>
      </c>
      <c r="K286" s="21" t="str">
        <f aca="false">IF(I286="","",H286/I286-1)</f>
        <v/>
      </c>
      <c r="L286" s="19" t="str">
        <f aca="false">IF(H286="","",IF(J286&lt;설정!$B$7,"baseline 수집 중",IF(K286&lt;=-설정!$B$8,"저하","정상")))</f>
        <v/>
      </c>
      <c r="M286" s="20"/>
    </row>
    <row r="287" customFormat="false" ht="15" hidden="false" customHeight="false" outlineLevel="0" collapsed="false">
      <c r="A287" s="16"/>
      <c r="B287" s="17"/>
      <c r="C287" s="17"/>
      <c r="D287" s="17"/>
      <c r="E287" s="17"/>
      <c r="F287" s="17"/>
      <c r="G287" s="18" t="str">
        <f aca="false">IF(COUNT(D287:F287)=0,"",MAX(D287:F287))</f>
        <v/>
      </c>
      <c r="H287" s="18" t="str">
        <f aca="false">IF(COUNT(D287:F287)=0,"",ROUND(AVERAGE(D287:F287),1))</f>
        <v/>
      </c>
      <c r="I287" s="18" t="str">
        <f aca="false">IF(H287="","",IF(J287&lt;설정!$B$7,"",ROUND(AVERAGEIFS($H$2:$H$1001,$B$2:$B$1001,B287,$A$2:$A$1001,"&lt;"&amp;A287,$A$2:$A$1001,"&gt;="&amp;(A287-설정!$B$6)),1)))</f>
        <v/>
      </c>
      <c r="J287" s="18" t="str">
        <f aca="false">IF(H287="","",COUNTIFS($B$2:$B$1001,B287,$A$2:$A$1001,"&lt;"&amp;A287,$A$2:$A$1001,"&gt;="&amp;(A287-설정!$B$6),$H$2:$H$1001,"&gt;=0"))</f>
        <v/>
      </c>
      <c r="K287" s="21" t="str">
        <f aca="false">IF(I287="","",H287/I287-1)</f>
        <v/>
      </c>
      <c r="L287" s="19" t="str">
        <f aca="false">IF(H287="","",IF(J287&lt;설정!$B$7,"baseline 수집 중",IF(K287&lt;=-설정!$B$8,"저하","정상")))</f>
        <v/>
      </c>
      <c r="M287" s="20"/>
    </row>
    <row r="288" customFormat="false" ht="15" hidden="false" customHeight="false" outlineLevel="0" collapsed="false">
      <c r="A288" s="16"/>
      <c r="B288" s="17"/>
      <c r="C288" s="17"/>
      <c r="D288" s="17"/>
      <c r="E288" s="17"/>
      <c r="F288" s="17"/>
      <c r="G288" s="18" t="str">
        <f aca="false">IF(COUNT(D288:F288)=0,"",MAX(D288:F288))</f>
        <v/>
      </c>
      <c r="H288" s="18" t="str">
        <f aca="false">IF(COUNT(D288:F288)=0,"",ROUND(AVERAGE(D288:F288),1))</f>
        <v/>
      </c>
      <c r="I288" s="18" t="str">
        <f aca="false">IF(H288="","",IF(J288&lt;설정!$B$7,"",ROUND(AVERAGEIFS($H$2:$H$1001,$B$2:$B$1001,B288,$A$2:$A$1001,"&lt;"&amp;A288,$A$2:$A$1001,"&gt;="&amp;(A288-설정!$B$6)),1)))</f>
        <v/>
      </c>
      <c r="J288" s="18" t="str">
        <f aca="false">IF(H288="","",COUNTIFS($B$2:$B$1001,B288,$A$2:$A$1001,"&lt;"&amp;A288,$A$2:$A$1001,"&gt;="&amp;(A288-설정!$B$6),$H$2:$H$1001,"&gt;=0"))</f>
        <v/>
      </c>
      <c r="K288" s="21" t="str">
        <f aca="false">IF(I288="","",H288/I288-1)</f>
        <v/>
      </c>
      <c r="L288" s="19" t="str">
        <f aca="false">IF(H288="","",IF(J288&lt;설정!$B$7,"baseline 수집 중",IF(K288&lt;=-설정!$B$8,"저하","정상")))</f>
        <v/>
      </c>
      <c r="M288" s="20"/>
    </row>
    <row r="289" customFormat="false" ht="15" hidden="false" customHeight="false" outlineLevel="0" collapsed="false">
      <c r="A289" s="16"/>
      <c r="B289" s="17"/>
      <c r="C289" s="17"/>
      <c r="D289" s="17"/>
      <c r="E289" s="17"/>
      <c r="F289" s="17"/>
      <c r="G289" s="18" t="str">
        <f aca="false">IF(COUNT(D289:F289)=0,"",MAX(D289:F289))</f>
        <v/>
      </c>
      <c r="H289" s="18" t="str">
        <f aca="false">IF(COUNT(D289:F289)=0,"",ROUND(AVERAGE(D289:F289),1))</f>
        <v/>
      </c>
      <c r="I289" s="18" t="str">
        <f aca="false">IF(H289="","",IF(J289&lt;설정!$B$7,"",ROUND(AVERAGEIFS($H$2:$H$1001,$B$2:$B$1001,B289,$A$2:$A$1001,"&lt;"&amp;A289,$A$2:$A$1001,"&gt;="&amp;(A289-설정!$B$6)),1)))</f>
        <v/>
      </c>
      <c r="J289" s="18" t="str">
        <f aca="false">IF(H289="","",COUNTIFS($B$2:$B$1001,B289,$A$2:$A$1001,"&lt;"&amp;A289,$A$2:$A$1001,"&gt;="&amp;(A289-설정!$B$6),$H$2:$H$1001,"&gt;=0"))</f>
        <v/>
      </c>
      <c r="K289" s="21" t="str">
        <f aca="false">IF(I289="","",H289/I289-1)</f>
        <v/>
      </c>
      <c r="L289" s="19" t="str">
        <f aca="false">IF(H289="","",IF(J289&lt;설정!$B$7,"baseline 수집 중",IF(K289&lt;=-설정!$B$8,"저하","정상")))</f>
        <v/>
      </c>
      <c r="M289" s="20"/>
    </row>
    <row r="290" customFormat="false" ht="15" hidden="false" customHeight="false" outlineLevel="0" collapsed="false">
      <c r="A290" s="16"/>
      <c r="B290" s="17"/>
      <c r="C290" s="17"/>
      <c r="D290" s="17"/>
      <c r="E290" s="17"/>
      <c r="F290" s="17"/>
      <c r="G290" s="18" t="str">
        <f aca="false">IF(COUNT(D290:F290)=0,"",MAX(D290:F290))</f>
        <v/>
      </c>
      <c r="H290" s="18" t="str">
        <f aca="false">IF(COUNT(D290:F290)=0,"",ROUND(AVERAGE(D290:F290),1))</f>
        <v/>
      </c>
      <c r="I290" s="18" t="str">
        <f aca="false">IF(H290="","",IF(J290&lt;설정!$B$7,"",ROUND(AVERAGEIFS($H$2:$H$1001,$B$2:$B$1001,B290,$A$2:$A$1001,"&lt;"&amp;A290,$A$2:$A$1001,"&gt;="&amp;(A290-설정!$B$6)),1)))</f>
        <v/>
      </c>
      <c r="J290" s="18" t="str">
        <f aca="false">IF(H290="","",COUNTIFS($B$2:$B$1001,B290,$A$2:$A$1001,"&lt;"&amp;A290,$A$2:$A$1001,"&gt;="&amp;(A290-설정!$B$6),$H$2:$H$1001,"&gt;=0"))</f>
        <v/>
      </c>
      <c r="K290" s="21" t="str">
        <f aca="false">IF(I290="","",H290/I290-1)</f>
        <v/>
      </c>
      <c r="L290" s="19" t="str">
        <f aca="false">IF(H290="","",IF(J290&lt;설정!$B$7,"baseline 수집 중",IF(K290&lt;=-설정!$B$8,"저하","정상")))</f>
        <v/>
      </c>
      <c r="M290" s="20"/>
    </row>
    <row r="291" customFormat="false" ht="15" hidden="false" customHeight="false" outlineLevel="0" collapsed="false">
      <c r="A291" s="16"/>
      <c r="B291" s="17"/>
      <c r="C291" s="17"/>
      <c r="D291" s="17"/>
      <c r="E291" s="17"/>
      <c r="F291" s="17"/>
      <c r="G291" s="18" t="str">
        <f aca="false">IF(COUNT(D291:F291)=0,"",MAX(D291:F291))</f>
        <v/>
      </c>
      <c r="H291" s="18" t="str">
        <f aca="false">IF(COUNT(D291:F291)=0,"",ROUND(AVERAGE(D291:F291),1))</f>
        <v/>
      </c>
      <c r="I291" s="18" t="str">
        <f aca="false">IF(H291="","",IF(J291&lt;설정!$B$7,"",ROUND(AVERAGEIFS($H$2:$H$1001,$B$2:$B$1001,B291,$A$2:$A$1001,"&lt;"&amp;A291,$A$2:$A$1001,"&gt;="&amp;(A291-설정!$B$6)),1)))</f>
        <v/>
      </c>
      <c r="J291" s="18" t="str">
        <f aca="false">IF(H291="","",COUNTIFS($B$2:$B$1001,B291,$A$2:$A$1001,"&lt;"&amp;A291,$A$2:$A$1001,"&gt;="&amp;(A291-설정!$B$6),$H$2:$H$1001,"&gt;=0"))</f>
        <v/>
      </c>
      <c r="K291" s="21" t="str">
        <f aca="false">IF(I291="","",H291/I291-1)</f>
        <v/>
      </c>
      <c r="L291" s="19" t="str">
        <f aca="false">IF(H291="","",IF(J291&lt;설정!$B$7,"baseline 수집 중",IF(K291&lt;=-설정!$B$8,"저하","정상")))</f>
        <v/>
      </c>
      <c r="M291" s="20"/>
    </row>
    <row r="292" customFormat="false" ht="15" hidden="false" customHeight="false" outlineLevel="0" collapsed="false">
      <c r="A292" s="16"/>
      <c r="B292" s="17"/>
      <c r="C292" s="17"/>
      <c r="D292" s="17"/>
      <c r="E292" s="17"/>
      <c r="F292" s="17"/>
      <c r="G292" s="18" t="str">
        <f aca="false">IF(COUNT(D292:F292)=0,"",MAX(D292:F292))</f>
        <v/>
      </c>
      <c r="H292" s="18" t="str">
        <f aca="false">IF(COUNT(D292:F292)=0,"",ROUND(AVERAGE(D292:F292),1))</f>
        <v/>
      </c>
      <c r="I292" s="18" t="str">
        <f aca="false">IF(H292="","",IF(J292&lt;설정!$B$7,"",ROUND(AVERAGEIFS($H$2:$H$1001,$B$2:$B$1001,B292,$A$2:$A$1001,"&lt;"&amp;A292,$A$2:$A$1001,"&gt;="&amp;(A292-설정!$B$6)),1)))</f>
        <v/>
      </c>
      <c r="J292" s="18" t="str">
        <f aca="false">IF(H292="","",COUNTIFS($B$2:$B$1001,B292,$A$2:$A$1001,"&lt;"&amp;A292,$A$2:$A$1001,"&gt;="&amp;(A292-설정!$B$6),$H$2:$H$1001,"&gt;=0"))</f>
        <v/>
      </c>
      <c r="K292" s="21" t="str">
        <f aca="false">IF(I292="","",H292/I292-1)</f>
        <v/>
      </c>
      <c r="L292" s="19" t="str">
        <f aca="false">IF(H292="","",IF(J292&lt;설정!$B$7,"baseline 수집 중",IF(K292&lt;=-설정!$B$8,"저하","정상")))</f>
        <v/>
      </c>
      <c r="M292" s="20"/>
    </row>
    <row r="293" customFormat="false" ht="15" hidden="false" customHeight="false" outlineLevel="0" collapsed="false">
      <c r="A293" s="16"/>
      <c r="B293" s="17"/>
      <c r="C293" s="17"/>
      <c r="D293" s="17"/>
      <c r="E293" s="17"/>
      <c r="F293" s="17"/>
      <c r="G293" s="18" t="str">
        <f aca="false">IF(COUNT(D293:F293)=0,"",MAX(D293:F293))</f>
        <v/>
      </c>
      <c r="H293" s="18" t="str">
        <f aca="false">IF(COUNT(D293:F293)=0,"",ROUND(AVERAGE(D293:F293),1))</f>
        <v/>
      </c>
      <c r="I293" s="18" t="str">
        <f aca="false">IF(H293="","",IF(J293&lt;설정!$B$7,"",ROUND(AVERAGEIFS($H$2:$H$1001,$B$2:$B$1001,B293,$A$2:$A$1001,"&lt;"&amp;A293,$A$2:$A$1001,"&gt;="&amp;(A293-설정!$B$6)),1)))</f>
        <v/>
      </c>
      <c r="J293" s="18" t="str">
        <f aca="false">IF(H293="","",COUNTIFS($B$2:$B$1001,B293,$A$2:$A$1001,"&lt;"&amp;A293,$A$2:$A$1001,"&gt;="&amp;(A293-설정!$B$6),$H$2:$H$1001,"&gt;=0"))</f>
        <v/>
      </c>
      <c r="K293" s="21" t="str">
        <f aca="false">IF(I293="","",H293/I293-1)</f>
        <v/>
      </c>
      <c r="L293" s="19" t="str">
        <f aca="false">IF(H293="","",IF(J293&lt;설정!$B$7,"baseline 수집 중",IF(K293&lt;=-설정!$B$8,"저하","정상")))</f>
        <v/>
      </c>
      <c r="M293" s="20"/>
    </row>
    <row r="294" customFormat="false" ht="15" hidden="false" customHeight="false" outlineLevel="0" collapsed="false">
      <c r="A294" s="16"/>
      <c r="B294" s="17"/>
      <c r="C294" s="17"/>
      <c r="D294" s="17"/>
      <c r="E294" s="17"/>
      <c r="F294" s="17"/>
      <c r="G294" s="18" t="str">
        <f aca="false">IF(COUNT(D294:F294)=0,"",MAX(D294:F294))</f>
        <v/>
      </c>
      <c r="H294" s="18" t="str">
        <f aca="false">IF(COUNT(D294:F294)=0,"",ROUND(AVERAGE(D294:F294),1))</f>
        <v/>
      </c>
      <c r="I294" s="18" t="str">
        <f aca="false">IF(H294="","",IF(J294&lt;설정!$B$7,"",ROUND(AVERAGEIFS($H$2:$H$1001,$B$2:$B$1001,B294,$A$2:$A$1001,"&lt;"&amp;A294,$A$2:$A$1001,"&gt;="&amp;(A294-설정!$B$6)),1)))</f>
        <v/>
      </c>
      <c r="J294" s="18" t="str">
        <f aca="false">IF(H294="","",COUNTIFS($B$2:$B$1001,B294,$A$2:$A$1001,"&lt;"&amp;A294,$A$2:$A$1001,"&gt;="&amp;(A294-설정!$B$6),$H$2:$H$1001,"&gt;=0"))</f>
        <v/>
      </c>
      <c r="K294" s="21" t="str">
        <f aca="false">IF(I294="","",H294/I294-1)</f>
        <v/>
      </c>
      <c r="L294" s="19" t="str">
        <f aca="false">IF(H294="","",IF(J294&lt;설정!$B$7,"baseline 수집 중",IF(K294&lt;=-설정!$B$8,"저하","정상")))</f>
        <v/>
      </c>
      <c r="M294" s="20"/>
    </row>
    <row r="295" customFormat="false" ht="15" hidden="false" customHeight="false" outlineLevel="0" collapsed="false">
      <c r="A295" s="16"/>
      <c r="B295" s="17"/>
      <c r="C295" s="17"/>
      <c r="D295" s="17"/>
      <c r="E295" s="17"/>
      <c r="F295" s="17"/>
      <c r="G295" s="18" t="str">
        <f aca="false">IF(COUNT(D295:F295)=0,"",MAX(D295:F295))</f>
        <v/>
      </c>
      <c r="H295" s="18" t="str">
        <f aca="false">IF(COUNT(D295:F295)=0,"",ROUND(AVERAGE(D295:F295),1))</f>
        <v/>
      </c>
      <c r="I295" s="18" t="str">
        <f aca="false">IF(H295="","",IF(J295&lt;설정!$B$7,"",ROUND(AVERAGEIFS($H$2:$H$1001,$B$2:$B$1001,B295,$A$2:$A$1001,"&lt;"&amp;A295,$A$2:$A$1001,"&gt;="&amp;(A295-설정!$B$6)),1)))</f>
        <v/>
      </c>
      <c r="J295" s="18" t="str">
        <f aca="false">IF(H295="","",COUNTIFS($B$2:$B$1001,B295,$A$2:$A$1001,"&lt;"&amp;A295,$A$2:$A$1001,"&gt;="&amp;(A295-설정!$B$6),$H$2:$H$1001,"&gt;=0"))</f>
        <v/>
      </c>
      <c r="K295" s="21" t="str">
        <f aca="false">IF(I295="","",H295/I295-1)</f>
        <v/>
      </c>
      <c r="L295" s="19" t="str">
        <f aca="false">IF(H295="","",IF(J295&lt;설정!$B$7,"baseline 수집 중",IF(K295&lt;=-설정!$B$8,"저하","정상")))</f>
        <v/>
      </c>
      <c r="M295" s="20"/>
    </row>
    <row r="296" customFormat="false" ht="15" hidden="false" customHeight="false" outlineLevel="0" collapsed="false">
      <c r="A296" s="16"/>
      <c r="B296" s="17"/>
      <c r="C296" s="17"/>
      <c r="D296" s="17"/>
      <c r="E296" s="17"/>
      <c r="F296" s="17"/>
      <c r="G296" s="18" t="str">
        <f aca="false">IF(COUNT(D296:F296)=0,"",MAX(D296:F296))</f>
        <v/>
      </c>
      <c r="H296" s="18" t="str">
        <f aca="false">IF(COUNT(D296:F296)=0,"",ROUND(AVERAGE(D296:F296),1))</f>
        <v/>
      </c>
      <c r="I296" s="18" t="str">
        <f aca="false">IF(H296="","",IF(J296&lt;설정!$B$7,"",ROUND(AVERAGEIFS($H$2:$H$1001,$B$2:$B$1001,B296,$A$2:$A$1001,"&lt;"&amp;A296,$A$2:$A$1001,"&gt;="&amp;(A296-설정!$B$6)),1)))</f>
        <v/>
      </c>
      <c r="J296" s="18" t="str">
        <f aca="false">IF(H296="","",COUNTIFS($B$2:$B$1001,B296,$A$2:$A$1001,"&lt;"&amp;A296,$A$2:$A$1001,"&gt;="&amp;(A296-설정!$B$6),$H$2:$H$1001,"&gt;=0"))</f>
        <v/>
      </c>
      <c r="K296" s="21" t="str">
        <f aca="false">IF(I296="","",H296/I296-1)</f>
        <v/>
      </c>
      <c r="L296" s="19" t="str">
        <f aca="false">IF(H296="","",IF(J296&lt;설정!$B$7,"baseline 수집 중",IF(K296&lt;=-설정!$B$8,"저하","정상")))</f>
        <v/>
      </c>
      <c r="M296" s="20"/>
    </row>
    <row r="297" customFormat="false" ht="15" hidden="false" customHeight="false" outlineLevel="0" collapsed="false">
      <c r="A297" s="16"/>
      <c r="B297" s="17"/>
      <c r="C297" s="17"/>
      <c r="D297" s="17"/>
      <c r="E297" s="17"/>
      <c r="F297" s="17"/>
      <c r="G297" s="18" t="str">
        <f aca="false">IF(COUNT(D297:F297)=0,"",MAX(D297:F297))</f>
        <v/>
      </c>
      <c r="H297" s="18" t="str">
        <f aca="false">IF(COUNT(D297:F297)=0,"",ROUND(AVERAGE(D297:F297),1))</f>
        <v/>
      </c>
      <c r="I297" s="18" t="str">
        <f aca="false">IF(H297="","",IF(J297&lt;설정!$B$7,"",ROUND(AVERAGEIFS($H$2:$H$1001,$B$2:$B$1001,B297,$A$2:$A$1001,"&lt;"&amp;A297,$A$2:$A$1001,"&gt;="&amp;(A297-설정!$B$6)),1)))</f>
        <v/>
      </c>
      <c r="J297" s="18" t="str">
        <f aca="false">IF(H297="","",COUNTIFS($B$2:$B$1001,B297,$A$2:$A$1001,"&lt;"&amp;A297,$A$2:$A$1001,"&gt;="&amp;(A297-설정!$B$6),$H$2:$H$1001,"&gt;=0"))</f>
        <v/>
      </c>
      <c r="K297" s="21" t="str">
        <f aca="false">IF(I297="","",H297/I297-1)</f>
        <v/>
      </c>
      <c r="L297" s="19" t="str">
        <f aca="false">IF(H297="","",IF(J297&lt;설정!$B$7,"baseline 수집 중",IF(K297&lt;=-설정!$B$8,"저하","정상")))</f>
        <v/>
      </c>
      <c r="M297" s="20"/>
    </row>
    <row r="298" customFormat="false" ht="15" hidden="false" customHeight="false" outlineLevel="0" collapsed="false">
      <c r="A298" s="16"/>
      <c r="B298" s="17"/>
      <c r="C298" s="17"/>
      <c r="D298" s="17"/>
      <c r="E298" s="17"/>
      <c r="F298" s="17"/>
      <c r="G298" s="18" t="str">
        <f aca="false">IF(COUNT(D298:F298)=0,"",MAX(D298:F298))</f>
        <v/>
      </c>
      <c r="H298" s="18" t="str">
        <f aca="false">IF(COUNT(D298:F298)=0,"",ROUND(AVERAGE(D298:F298),1))</f>
        <v/>
      </c>
      <c r="I298" s="18" t="str">
        <f aca="false">IF(H298="","",IF(J298&lt;설정!$B$7,"",ROUND(AVERAGEIFS($H$2:$H$1001,$B$2:$B$1001,B298,$A$2:$A$1001,"&lt;"&amp;A298,$A$2:$A$1001,"&gt;="&amp;(A298-설정!$B$6)),1)))</f>
        <v/>
      </c>
      <c r="J298" s="18" t="str">
        <f aca="false">IF(H298="","",COUNTIFS($B$2:$B$1001,B298,$A$2:$A$1001,"&lt;"&amp;A298,$A$2:$A$1001,"&gt;="&amp;(A298-설정!$B$6),$H$2:$H$1001,"&gt;=0"))</f>
        <v/>
      </c>
      <c r="K298" s="21" t="str">
        <f aca="false">IF(I298="","",H298/I298-1)</f>
        <v/>
      </c>
      <c r="L298" s="19" t="str">
        <f aca="false">IF(H298="","",IF(J298&lt;설정!$B$7,"baseline 수집 중",IF(K298&lt;=-설정!$B$8,"저하","정상")))</f>
        <v/>
      </c>
      <c r="M298" s="20"/>
    </row>
    <row r="299" customFormat="false" ht="15" hidden="false" customHeight="false" outlineLevel="0" collapsed="false">
      <c r="A299" s="16"/>
      <c r="B299" s="17"/>
      <c r="C299" s="17"/>
      <c r="D299" s="17"/>
      <c r="E299" s="17"/>
      <c r="F299" s="17"/>
      <c r="G299" s="18" t="str">
        <f aca="false">IF(COUNT(D299:F299)=0,"",MAX(D299:F299))</f>
        <v/>
      </c>
      <c r="H299" s="18" t="str">
        <f aca="false">IF(COUNT(D299:F299)=0,"",ROUND(AVERAGE(D299:F299),1))</f>
        <v/>
      </c>
      <c r="I299" s="18" t="str">
        <f aca="false">IF(H299="","",IF(J299&lt;설정!$B$7,"",ROUND(AVERAGEIFS($H$2:$H$1001,$B$2:$B$1001,B299,$A$2:$A$1001,"&lt;"&amp;A299,$A$2:$A$1001,"&gt;="&amp;(A299-설정!$B$6)),1)))</f>
        <v/>
      </c>
      <c r="J299" s="18" t="str">
        <f aca="false">IF(H299="","",COUNTIFS($B$2:$B$1001,B299,$A$2:$A$1001,"&lt;"&amp;A299,$A$2:$A$1001,"&gt;="&amp;(A299-설정!$B$6),$H$2:$H$1001,"&gt;=0"))</f>
        <v/>
      </c>
      <c r="K299" s="21" t="str">
        <f aca="false">IF(I299="","",H299/I299-1)</f>
        <v/>
      </c>
      <c r="L299" s="19" t="str">
        <f aca="false">IF(H299="","",IF(J299&lt;설정!$B$7,"baseline 수집 중",IF(K299&lt;=-설정!$B$8,"저하","정상")))</f>
        <v/>
      </c>
      <c r="M299" s="20"/>
    </row>
    <row r="300" customFormat="false" ht="15" hidden="false" customHeight="false" outlineLevel="0" collapsed="false">
      <c r="A300" s="16"/>
      <c r="B300" s="17"/>
      <c r="C300" s="17"/>
      <c r="D300" s="17"/>
      <c r="E300" s="17"/>
      <c r="F300" s="17"/>
      <c r="G300" s="18" t="str">
        <f aca="false">IF(COUNT(D300:F300)=0,"",MAX(D300:F300))</f>
        <v/>
      </c>
      <c r="H300" s="18" t="str">
        <f aca="false">IF(COUNT(D300:F300)=0,"",ROUND(AVERAGE(D300:F300),1))</f>
        <v/>
      </c>
      <c r="I300" s="18" t="str">
        <f aca="false">IF(H300="","",IF(J300&lt;설정!$B$7,"",ROUND(AVERAGEIFS($H$2:$H$1001,$B$2:$B$1001,B300,$A$2:$A$1001,"&lt;"&amp;A300,$A$2:$A$1001,"&gt;="&amp;(A300-설정!$B$6)),1)))</f>
        <v/>
      </c>
      <c r="J300" s="18" t="str">
        <f aca="false">IF(H300="","",COUNTIFS($B$2:$B$1001,B300,$A$2:$A$1001,"&lt;"&amp;A300,$A$2:$A$1001,"&gt;="&amp;(A300-설정!$B$6),$H$2:$H$1001,"&gt;=0"))</f>
        <v/>
      </c>
      <c r="K300" s="21" t="str">
        <f aca="false">IF(I300="","",H300/I300-1)</f>
        <v/>
      </c>
      <c r="L300" s="19" t="str">
        <f aca="false">IF(H300="","",IF(J300&lt;설정!$B$7,"baseline 수집 중",IF(K300&lt;=-설정!$B$8,"저하","정상")))</f>
        <v/>
      </c>
      <c r="M300" s="20"/>
    </row>
    <row r="301" customFormat="false" ht="15" hidden="false" customHeight="false" outlineLevel="0" collapsed="false">
      <c r="A301" s="16"/>
      <c r="B301" s="17"/>
      <c r="C301" s="17"/>
      <c r="D301" s="17"/>
      <c r="E301" s="17"/>
      <c r="F301" s="17"/>
      <c r="G301" s="18" t="str">
        <f aca="false">IF(COUNT(D301:F301)=0,"",MAX(D301:F301))</f>
        <v/>
      </c>
      <c r="H301" s="18" t="str">
        <f aca="false">IF(COUNT(D301:F301)=0,"",ROUND(AVERAGE(D301:F301),1))</f>
        <v/>
      </c>
      <c r="I301" s="18" t="str">
        <f aca="false">IF(H301="","",IF(J301&lt;설정!$B$7,"",ROUND(AVERAGEIFS($H$2:$H$1001,$B$2:$B$1001,B301,$A$2:$A$1001,"&lt;"&amp;A301,$A$2:$A$1001,"&gt;="&amp;(A301-설정!$B$6)),1)))</f>
        <v/>
      </c>
      <c r="J301" s="18" t="str">
        <f aca="false">IF(H301="","",COUNTIFS($B$2:$B$1001,B301,$A$2:$A$1001,"&lt;"&amp;A301,$A$2:$A$1001,"&gt;="&amp;(A301-설정!$B$6),$H$2:$H$1001,"&gt;=0"))</f>
        <v/>
      </c>
      <c r="K301" s="21" t="str">
        <f aca="false">IF(I301="","",H301/I301-1)</f>
        <v/>
      </c>
      <c r="L301" s="19" t="str">
        <f aca="false">IF(H301="","",IF(J301&lt;설정!$B$7,"baseline 수집 중",IF(K301&lt;=-설정!$B$8,"저하","정상")))</f>
        <v/>
      </c>
      <c r="M301" s="20"/>
    </row>
    <row r="302" customFormat="false" ht="15" hidden="false" customHeight="false" outlineLevel="0" collapsed="false">
      <c r="A302" s="16"/>
      <c r="B302" s="17"/>
      <c r="C302" s="17"/>
      <c r="D302" s="17"/>
      <c r="E302" s="17"/>
      <c r="F302" s="17"/>
      <c r="G302" s="18" t="str">
        <f aca="false">IF(COUNT(D302:F302)=0,"",MAX(D302:F302))</f>
        <v/>
      </c>
      <c r="H302" s="18" t="str">
        <f aca="false">IF(COUNT(D302:F302)=0,"",ROUND(AVERAGE(D302:F302),1))</f>
        <v/>
      </c>
      <c r="I302" s="18" t="str">
        <f aca="false">IF(H302="","",IF(J302&lt;설정!$B$7,"",ROUND(AVERAGEIFS($H$2:$H$1001,$B$2:$B$1001,B302,$A$2:$A$1001,"&lt;"&amp;A302,$A$2:$A$1001,"&gt;="&amp;(A302-설정!$B$6)),1)))</f>
        <v/>
      </c>
      <c r="J302" s="18" t="str">
        <f aca="false">IF(H302="","",COUNTIFS($B$2:$B$1001,B302,$A$2:$A$1001,"&lt;"&amp;A302,$A$2:$A$1001,"&gt;="&amp;(A302-설정!$B$6),$H$2:$H$1001,"&gt;=0"))</f>
        <v/>
      </c>
      <c r="K302" s="21" t="str">
        <f aca="false">IF(I302="","",H302/I302-1)</f>
        <v/>
      </c>
      <c r="L302" s="19" t="str">
        <f aca="false">IF(H302="","",IF(J302&lt;설정!$B$7,"baseline 수집 중",IF(K302&lt;=-설정!$B$8,"저하","정상")))</f>
        <v/>
      </c>
      <c r="M302" s="20"/>
    </row>
    <row r="303" customFormat="false" ht="15" hidden="false" customHeight="false" outlineLevel="0" collapsed="false">
      <c r="A303" s="16"/>
      <c r="B303" s="17"/>
      <c r="C303" s="17"/>
      <c r="D303" s="17"/>
      <c r="E303" s="17"/>
      <c r="F303" s="17"/>
      <c r="G303" s="18" t="str">
        <f aca="false">IF(COUNT(D303:F303)=0,"",MAX(D303:F303))</f>
        <v/>
      </c>
      <c r="H303" s="18" t="str">
        <f aca="false">IF(COUNT(D303:F303)=0,"",ROUND(AVERAGE(D303:F303),1))</f>
        <v/>
      </c>
      <c r="I303" s="18" t="str">
        <f aca="false">IF(H303="","",IF(J303&lt;설정!$B$7,"",ROUND(AVERAGEIFS($H$2:$H$1001,$B$2:$B$1001,B303,$A$2:$A$1001,"&lt;"&amp;A303,$A$2:$A$1001,"&gt;="&amp;(A303-설정!$B$6)),1)))</f>
        <v/>
      </c>
      <c r="J303" s="18" t="str">
        <f aca="false">IF(H303="","",COUNTIFS($B$2:$B$1001,B303,$A$2:$A$1001,"&lt;"&amp;A303,$A$2:$A$1001,"&gt;="&amp;(A303-설정!$B$6),$H$2:$H$1001,"&gt;=0"))</f>
        <v/>
      </c>
      <c r="K303" s="21" t="str">
        <f aca="false">IF(I303="","",H303/I303-1)</f>
        <v/>
      </c>
      <c r="L303" s="19" t="str">
        <f aca="false">IF(H303="","",IF(J303&lt;설정!$B$7,"baseline 수집 중",IF(K303&lt;=-설정!$B$8,"저하","정상")))</f>
        <v/>
      </c>
      <c r="M303" s="20"/>
    </row>
    <row r="304" customFormat="false" ht="15" hidden="false" customHeight="false" outlineLevel="0" collapsed="false">
      <c r="A304" s="16"/>
      <c r="B304" s="17"/>
      <c r="C304" s="17"/>
      <c r="D304" s="17"/>
      <c r="E304" s="17"/>
      <c r="F304" s="17"/>
      <c r="G304" s="18" t="str">
        <f aca="false">IF(COUNT(D304:F304)=0,"",MAX(D304:F304))</f>
        <v/>
      </c>
      <c r="H304" s="18" t="str">
        <f aca="false">IF(COUNT(D304:F304)=0,"",ROUND(AVERAGE(D304:F304),1))</f>
        <v/>
      </c>
      <c r="I304" s="18" t="str">
        <f aca="false">IF(H304="","",IF(J304&lt;설정!$B$7,"",ROUND(AVERAGEIFS($H$2:$H$1001,$B$2:$B$1001,B304,$A$2:$A$1001,"&lt;"&amp;A304,$A$2:$A$1001,"&gt;="&amp;(A304-설정!$B$6)),1)))</f>
        <v/>
      </c>
      <c r="J304" s="18" t="str">
        <f aca="false">IF(H304="","",COUNTIFS($B$2:$B$1001,B304,$A$2:$A$1001,"&lt;"&amp;A304,$A$2:$A$1001,"&gt;="&amp;(A304-설정!$B$6),$H$2:$H$1001,"&gt;=0"))</f>
        <v/>
      </c>
      <c r="K304" s="21" t="str">
        <f aca="false">IF(I304="","",H304/I304-1)</f>
        <v/>
      </c>
      <c r="L304" s="19" t="str">
        <f aca="false">IF(H304="","",IF(J304&lt;설정!$B$7,"baseline 수집 중",IF(K304&lt;=-설정!$B$8,"저하","정상")))</f>
        <v/>
      </c>
      <c r="M304" s="20"/>
    </row>
    <row r="305" customFormat="false" ht="15" hidden="false" customHeight="false" outlineLevel="0" collapsed="false">
      <c r="A305" s="16"/>
      <c r="B305" s="17"/>
      <c r="C305" s="17"/>
      <c r="D305" s="17"/>
      <c r="E305" s="17"/>
      <c r="F305" s="17"/>
      <c r="G305" s="18" t="str">
        <f aca="false">IF(COUNT(D305:F305)=0,"",MAX(D305:F305))</f>
        <v/>
      </c>
      <c r="H305" s="18" t="str">
        <f aca="false">IF(COUNT(D305:F305)=0,"",ROUND(AVERAGE(D305:F305),1))</f>
        <v/>
      </c>
      <c r="I305" s="18" t="str">
        <f aca="false">IF(H305="","",IF(J305&lt;설정!$B$7,"",ROUND(AVERAGEIFS($H$2:$H$1001,$B$2:$B$1001,B305,$A$2:$A$1001,"&lt;"&amp;A305,$A$2:$A$1001,"&gt;="&amp;(A305-설정!$B$6)),1)))</f>
        <v/>
      </c>
      <c r="J305" s="18" t="str">
        <f aca="false">IF(H305="","",COUNTIFS($B$2:$B$1001,B305,$A$2:$A$1001,"&lt;"&amp;A305,$A$2:$A$1001,"&gt;="&amp;(A305-설정!$B$6),$H$2:$H$1001,"&gt;=0"))</f>
        <v/>
      </c>
      <c r="K305" s="21" t="str">
        <f aca="false">IF(I305="","",H305/I305-1)</f>
        <v/>
      </c>
      <c r="L305" s="19" t="str">
        <f aca="false">IF(H305="","",IF(J305&lt;설정!$B$7,"baseline 수집 중",IF(K305&lt;=-설정!$B$8,"저하","정상")))</f>
        <v/>
      </c>
      <c r="M305" s="20"/>
    </row>
    <row r="306" customFormat="false" ht="15" hidden="false" customHeight="false" outlineLevel="0" collapsed="false">
      <c r="A306" s="16"/>
      <c r="B306" s="17"/>
      <c r="C306" s="17"/>
      <c r="D306" s="17"/>
      <c r="E306" s="17"/>
      <c r="F306" s="17"/>
      <c r="G306" s="18" t="str">
        <f aca="false">IF(COUNT(D306:F306)=0,"",MAX(D306:F306))</f>
        <v/>
      </c>
      <c r="H306" s="18" t="str">
        <f aca="false">IF(COUNT(D306:F306)=0,"",ROUND(AVERAGE(D306:F306),1))</f>
        <v/>
      </c>
      <c r="I306" s="18" t="str">
        <f aca="false">IF(H306="","",IF(J306&lt;설정!$B$7,"",ROUND(AVERAGEIFS($H$2:$H$1001,$B$2:$B$1001,B306,$A$2:$A$1001,"&lt;"&amp;A306,$A$2:$A$1001,"&gt;="&amp;(A306-설정!$B$6)),1)))</f>
        <v/>
      </c>
      <c r="J306" s="18" t="str">
        <f aca="false">IF(H306="","",COUNTIFS($B$2:$B$1001,B306,$A$2:$A$1001,"&lt;"&amp;A306,$A$2:$A$1001,"&gt;="&amp;(A306-설정!$B$6),$H$2:$H$1001,"&gt;=0"))</f>
        <v/>
      </c>
      <c r="K306" s="21" t="str">
        <f aca="false">IF(I306="","",H306/I306-1)</f>
        <v/>
      </c>
      <c r="L306" s="19" t="str">
        <f aca="false">IF(H306="","",IF(J306&lt;설정!$B$7,"baseline 수집 중",IF(K306&lt;=-설정!$B$8,"저하","정상")))</f>
        <v/>
      </c>
      <c r="M306" s="20"/>
    </row>
    <row r="307" customFormat="false" ht="15" hidden="false" customHeight="false" outlineLevel="0" collapsed="false">
      <c r="A307" s="16"/>
      <c r="B307" s="17"/>
      <c r="C307" s="17"/>
      <c r="D307" s="17"/>
      <c r="E307" s="17"/>
      <c r="F307" s="17"/>
      <c r="G307" s="18" t="str">
        <f aca="false">IF(COUNT(D307:F307)=0,"",MAX(D307:F307))</f>
        <v/>
      </c>
      <c r="H307" s="18" t="str">
        <f aca="false">IF(COUNT(D307:F307)=0,"",ROUND(AVERAGE(D307:F307),1))</f>
        <v/>
      </c>
      <c r="I307" s="18" t="str">
        <f aca="false">IF(H307="","",IF(J307&lt;설정!$B$7,"",ROUND(AVERAGEIFS($H$2:$H$1001,$B$2:$B$1001,B307,$A$2:$A$1001,"&lt;"&amp;A307,$A$2:$A$1001,"&gt;="&amp;(A307-설정!$B$6)),1)))</f>
        <v/>
      </c>
      <c r="J307" s="18" t="str">
        <f aca="false">IF(H307="","",COUNTIFS($B$2:$B$1001,B307,$A$2:$A$1001,"&lt;"&amp;A307,$A$2:$A$1001,"&gt;="&amp;(A307-설정!$B$6),$H$2:$H$1001,"&gt;=0"))</f>
        <v/>
      </c>
      <c r="K307" s="21" t="str">
        <f aca="false">IF(I307="","",H307/I307-1)</f>
        <v/>
      </c>
      <c r="L307" s="19" t="str">
        <f aca="false">IF(H307="","",IF(J307&lt;설정!$B$7,"baseline 수집 중",IF(K307&lt;=-설정!$B$8,"저하","정상")))</f>
        <v/>
      </c>
      <c r="M307" s="20"/>
    </row>
    <row r="308" customFormat="false" ht="15" hidden="false" customHeight="false" outlineLevel="0" collapsed="false">
      <c r="A308" s="16"/>
      <c r="B308" s="17"/>
      <c r="C308" s="17"/>
      <c r="D308" s="17"/>
      <c r="E308" s="17"/>
      <c r="F308" s="17"/>
      <c r="G308" s="18" t="str">
        <f aca="false">IF(COUNT(D308:F308)=0,"",MAX(D308:F308))</f>
        <v/>
      </c>
      <c r="H308" s="18" t="str">
        <f aca="false">IF(COUNT(D308:F308)=0,"",ROUND(AVERAGE(D308:F308),1))</f>
        <v/>
      </c>
      <c r="I308" s="18" t="str">
        <f aca="false">IF(H308="","",IF(J308&lt;설정!$B$7,"",ROUND(AVERAGEIFS($H$2:$H$1001,$B$2:$B$1001,B308,$A$2:$A$1001,"&lt;"&amp;A308,$A$2:$A$1001,"&gt;="&amp;(A308-설정!$B$6)),1)))</f>
        <v/>
      </c>
      <c r="J308" s="18" t="str">
        <f aca="false">IF(H308="","",COUNTIFS($B$2:$B$1001,B308,$A$2:$A$1001,"&lt;"&amp;A308,$A$2:$A$1001,"&gt;="&amp;(A308-설정!$B$6),$H$2:$H$1001,"&gt;=0"))</f>
        <v/>
      </c>
      <c r="K308" s="21" t="str">
        <f aca="false">IF(I308="","",H308/I308-1)</f>
        <v/>
      </c>
      <c r="L308" s="19" t="str">
        <f aca="false">IF(H308="","",IF(J308&lt;설정!$B$7,"baseline 수집 중",IF(K308&lt;=-설정!$B$8,"저하","정상")))</f>
        <v/>
      </c>
      <c r="M308" s="20"/>
    </row>
    <row r="309" customFormat="false" ht="15" hidden="false" customHeight="false" outlineLevel="0" collapsed="false">
      <c r="A309" s="16"/>
      <c r="B309" s="17"/>
      <c r="C309" s="17"/>
      <c r="D309" s="17"/>
      <c r="E309" s="17"/>
      <c r="F309" s="17"/>
      <c r="G309" s="18" t="str">
        <f aca="false">IF(COUNT(D309:F309)=0,"",MAX(D309:F309))</f>
        <v/>
      </c>
      <c r="H309" s="18" t="str">
        <f aca="false">IF(COUNT(D309:F309)=0,"",ROUND(AVERAGE(D309:F309),1))</f>
        <v/>
      </c>
      <c r="I309" s="18" t="str">
        <f aca="false">IF(H309="","",IF(J309&lt;설정!$B$7,"",ROUND(AVERAGEIFS($H$2:$H$1001,$B$2:$B$1001,B309,$A$2:$A$1001,"&lt;"&amp;A309,$A$2:$A$1001,"&gt;="&amp;(A309-설정!$B$6)),1)))</f>
        <v/>
      </c>
      <c r="J309" s="18" t="str">
        <f aca="false">IF(H309="","",COUNTIFS($B$2:$B$1001,B309,$A$2:$A$1001,"&lt;"&amp;A309,$A$2:$A$1001,"&gt;="&amp;(A309-설정!$B$6),$H$2:$H$1001,"&gt;=0"))</f>
        <v/>
      </c>
      <c r="K309" s="21" t="str">
        <f aca="false">IF(I309="","",H309/I309-1)</f>
        <v/>
      </c>
      <c r="L309" s="19" t="str">
        <f aca="false">IF(H309="","",IF(J309&lt;설정!$B$7,"baseline 수집 중",IF(K309&lt;=-설정!$B$8,"저하","정상")))</f>
        <v/>
      </c>
      <c r="M309" s="20"/>
    </row>
    <row r="310" customFormat="false" ht="15" hidden="false" customHeight="false" outlineLevel="0" collapsed="false">
      <c r="A310" s="16"/>
      <c r="B310" s="17"/>
      <c r="C310" s="17"/>
      <c r="D310" s="17"/>
      <c r="E310" s="17"/>
      <c r="F310" s="17"/>
      <c r="G310" s="18" t="str">
        <f aca="false">IF(COUNT(D310:F310)=0,"",MAX(D310:F310))</f>
        <v/>
      </c>
      <c r="H310" s="18" t="str">
        <f aca="false">IF(COUNT(D310:F310)=0,"",ROUND(AVERAGE(D310:F310),1))</f>
        <v/>
      </c>
      <c r="I310" s="18" t="str">
        <f aca="false">IF(H310="","",IF(J310&lt;설정!$B$7,"",ROUND(AVERAGEIFS($H$2:$H$1001,$B$2:$B$1001,B310,$A$2:$A$1001,"&lt;"&amp;A310,$A$2:$A$1001,"&gt;="&amp;(A310-설정!$B$6)),1)))</f>
        <v/>
      </c>
      <c r="J310" s="18" t="str">
        <f aca="false">IF(H310="","",COUNTIFS($B$2:$B$1001,B310,$A$2:$A$1001,"&lt;"&amp;A310,$A$2:$A$1001,"&gt;="&amp;(A310-설정!$B$6),$H$2:$H$1001,"&gt;=0"))</f>
        <v/>
      </c>
      <c r="K310" s="21" t="str">
        <f aca="false">IF(I310="","",H310/I310-1)</f>
        <v/>
      </c>
      <c r="L310" s="19" t="str">
        <f aca="false">IF(H310="","",IF(J310&lt;설정!$B$7,"baseline 수집 중",IF(K310&lt;=-설정!$B$8,"저하","정상")))</f>
        <v/>
      </c>
      <c r="M310" s="20"/>
    </row>
    <row r="311" customFormat="false" ht="15" hidden="false" customHeight="false" outlineLevel="0" collapsed="false">
      <c r="A311" s="16"/>
      <c r="B311" s="17"/>
      <c r="C311" s="17"/>
      <c r="D311" s="17"/>
      <c r="E311" s="17"/>
      <c r="F311" s="17"/>
      <c r="G311" s="18" t="str">
        <f aca="false">IF(COUNT(D311:F311)=0,"",MAX(D311:F311))</f>
        <v/>
      </c>
      <c r="H311" s="18" t="str">
        <f aca="false">IF(COUNT(D311:F311)=0,"",ROUND(AVERAGE(D311:F311),1))</f>
        <v/>
      </c>
      <c r="I311" s="18" t="str">
        <f aca="false">IF(H311="","",IF(J311&lt;설정!$B$7,"",ROUND(AVERAGEIFS($H$2:$H$1001,$B$2:$B$1001,B311,$A$2:$A$1001,"&lt;"&amp;A311,$A$2:$A$1001,"&gt;="&amp;(A311-설정!$B$6)),1)))</f>
        <v/>
      </c>
      <c r="J311" s="18" t="str">
        <f aca="false">IF(H311="","",COUNTIFS($B$2:$B$1001,B311,$A$2:$A$1001,"&lt;"&amp;A311,$A$2:$A$1001,"&gt;="&amp;(A311-설정!$B$6),$H$2:$H$1001,"&gt;=0"))</f>
        <v/>
      </c>
      <c r="K311" s="21" t="str">
        <f aca="false">IF(I311="","",H311/I311-1)</f>
        <v/>
      </c>
      <c r="L311" s="19" t="str">
        <f aca="false">IF(H311="","",IF(J311&lt;설정!$B$7,"baseline 수집 중",IF(K311&lt;=-설정!$B$8,"저하","정상")))</f>
        <v/>
      </c>
      <c r="M311" s="20"/>
    </row>
    <row r="312" customFormat="false" ht="15" hidden="false" customHeight="false" outlineLevel="0" collapsed="false">
      <c r="A312" s="16"/>
      <c r="B312" s="17"/>
      <c r="C312" s="17"/>
      <c r="D312" s="17"/>
      <c r="E312" s="17"/>
      <c r="F312" s="17"/>
      <c r="G312" s="18" t="str">
        <f aca="false">IF(COUNT(D312:F312)=0,"",MAX(D312:F312))</f>
        <v/>
      </c>
      <c r="H312" s="18" t="str">
        <f aca="false">IF(COUNT(D312:F312)=0,"",ROUND(AVERAGE(D312:F312),1))</f>
        <v/>
      </c>
      <c r="I312" s="18" t="str">
        <f aca="false">IF(H312="","",IF(J312&lt;설정!$B$7,"",ROUND(AVERAGEIFS($H$2:$H$1001,$B$2:$B$1001,B312,$A$2:$A$1001,"&lt;"&amp;A312,$A$2:$A$1001,"&gt;="&amp;(A312-설정!$B$6)),1)))</f>
        <v/>
      </c>
      <c r="J312" s="18" t="str">
        <f aca="false">IF(H312="","",COUNTIFS($B$2:$B$1001,B312,$A$2:$A$1001,"&lt;"&amp;A312,$A$2:$A$1001,"&gt;="&amp;(A312-설정!$B$6),$H$2:$H$1001,"&gt;=0"))</f>
        <v/>
      </c>
      <c r="K312" s="21" t="str">
        <f aca="false">IF(I312="","",H312/I312-1)</f>
        <v/>
      </c>
      <c r="L312" s="19" t="str">
        <f aca="false">IF(H312="","",IF(J312&lt;설정!$B$7,"baseline 수집 중",IF(K312&lt;=-설정!$B$8,"저하","정상")))</f>
        <v/>
      </c>
      <c r="M312" s="20"/>
    </row>
    <row r="313" customFormat="false" ht="15" hidden="false" customHeight="false" outlineLevel="0" collapsed="false">
      <c r="A313" s="16"/>
      <c r="B313" s="17"/>
      <c r="C313" s="17"/>
      <c r="D313" s="17"/>
      <c r="E313" s="17"/>
      <c r="F313" s="17"/>
      <c r="G313" s="18" t="str">
        <f aca="false">IF(COUNT(D313:F313)=0,"",MAX(D313:F313))</f>
        <v/>
      </c>
      <c r="H313" s="18" t="str">
        <f aca="false">IF(COUNT(D313:F313)=0,"",ROUND(AVERAGE(D313:F313),1))</f>
        <v/>
      </c>
      <c r="I313" s="18" t="str">
        <f aca="false">IF(H313="","",IF(J313&lt;설정!$B$7,"",ROUND(AVERAGEIFS($H$2:$H$1001,$B$2:$B$1001,B313,$A$2:$A$1001,"&lt;"&amp;A313,$A$2:$A$1001,"&gt;="&amp;(A313-설정!$B$6)),1)))</f>
        <v/>
      </c>
      <c r="J313" s="18" t="str">
        <f aca="false">IF(H313="","",COUNTIFS($B$2:$B$1001,B313,$A$2:$A$1001,"&lt;"&amp;A313,$A$2:$A$1001,"&gt;="&amp;(A313-설정!$B$6),$H$2:$H$1001,"&gt;=0"))</f>
        <v/>
      </c>
      <c r="K313" s="21" t="str">
        <f aca="false">IF(I313="","",H313/I313-1)</f>
        <v/>
      </c>
      <c r="L313" s="19" t="str">
        <f aca="false">IF(H313="","",IF(J313&lt;설정!$B$7,"baseline 수집 중",IF(K313&lt;=-설정!$B$8,"저하","정상")))</f>
        <v/>
      </c>
      <c r="M313" s="20"/>
    </row>
    <row r="314" customFormat="false" ht="15" hidden="false" customHeight="false" outlineLevel="0" collapsed="false">
      <c r="A314" s="16"/>
      <c r="B314" s="17"/>
      <c r="C314" s="17"/>
      <c r="D314" s="17"/>
      <c r="E314" s="17"/>
      <c r="F314" s="17"/>
      <c r="G314" s="18" t="str">
        <f aca="false">IF(COUNT(D314:F314)=0,"",MAX(D314:F314))</f>
        <v/>
      </c>
      <c r="H314" s="18" t="str">
        <f aca="false">IF(COUNT(D314:F314)=0,"",ROUND(AVERAGE(D314:F314),1))</f>
        <v/>
      </c>
      <c r="I314" s="18" t="str">
        <f aca="false">IF(H314="","",IF(J314&lt;설정!$B$7,"",ROUND(AVERAGEIFS($H$2:$H$1001,$B$2:$B$1001,B314,$A$2:$A$1001,"&lt;"&amp;A314,$A$2:$A$1001,"&gt;="&amp;(A314-설정!$B$6)),1)))</f>
        <v/>
      </c>
      <c r="J314" s="18" t="str">
        <f aca="false">IF(H314="","",COUNTIFS($B$2:$B$1001,B314,$A$2:$A$1001,"&lt;"&amp;A314,$A$2:$A$1001,"&gt;="&amp;(A314-설정!$B$6),$H$2:$H$1001,"&gt;=0"))</f>
        <v/>
      </c>
      <c r="K314" s="21" t="str">
        <f aca="false">IF(I314="","",H314/I314-1)</f>
        <v/>
      </c>
      <c r="L314" s="19" t="str">
        <f aca="false">IF(H314="","",IF(J314&lt;설정!$B$7,"baseline 수집 중",IF(K314&lt;=-설정!$B$8,"저하","정상")))</f>
        <v/>
      </c>
      <c r="M314" s="20"/>
    </row>
    <row r="315" customFormat="false" ht="15" hidden="false" customHeight="false" outlineLevel="0" collapsed="false">
      <c r="A315" s="16"/>
      <c r="B315" s="17"/>
      <c r="C315" s="17"/>
      <c r="D315" s="17"/>
      <c r="E315" s="17"/>
      <c r="F315" s="17"/>
      <c r="G315" s="18" t="str">
        <f aca="false">IF(COUNT(D315:F315)=0,"",MAX(D315:F315))</f>
        <v/>
      </c>
      <c r="H315" s="18" t="str">
        <f aca="false">IF(COUNT(D315:F315)=0,"",ROUND(AVERAGE(D315:F315),1))</f>
        <v/>
      </c>
      <c r="I315" s="18" t="str">
        <f aca="false">IF(H315="","",IF(J315&lt;설정!$B$7,"",ROUND(AVERAGEIFS($H$2:$H$1001,$B$2:$B$1001,B315,$A$2:$A$1001,"&lt;"&amp;A315,$A$2:$A$1001,"&gt;="&amp;(A315-설정!$B$6)),1)))</f>
        <v/>
      </c>
      <c r="J315" s="18" t="str">
        <f aca="false">IF(H315="","",COUNTIFS($B$2:$B$1001,B315,$A$2:$A$1001,"&lt;"&amp;A315,$A$2:$A$1001,"&gt;="&amp;(A315-설정!$B$6),$H$2:$H$1001,"&gt;=0"))</f>
        <v/>
      </c>
      <c r="K315" s="21" t="str">
        <f aca="false">IF(I315="","",H315/I315-1)</f>
        <v/>
      </c>
      <c r="L315" s="19" t="str">
        <f aca="false">IF(H315="","",IF(J315&lt;설정!$B$7,"baseline 수집 중",IF(K315&lt;=-설정!$B$8,"저하","정상")))</f>
        <v/>
      </c>
      <c r="M315" s="20"/>
    </row>
    <row r="316" customFormat="false" ht="15" hidden="false" customHeight="false" outlineLevel="0" collapsed="false">
      <c r="A316" s="16"/>
      <c r="B316" s="17"/>
      <c r="C316" s="17"/>
      <c r="D316" s="17"/>
      <c r="E316" s="17"/>
      <c r="F316" s="17"/>
      <c r="G316" s="18" t="str">
        <f aca="false">IF(COUNT(D316:F316)=0,"",MAX(D316:F316))</f>
        <v/>
      </c>
      <c r="H316" s="18" t="str">
        <f aca="false">IF(COUNT(D316:F316)=0,"",ROUND(AVERAGE(D316:F316),1))</f>
        <v/>
      </c>
      <c r="I316" s="18" t="str">
        <f aca="false">IF(H316="","",IF(J316&lt;설정!$B$7,"",ROUND(AVERAGEIFS($H$2:$H$1001,$B$2:$B$1001,B316,$A$2:$A$1001,"&lt;"&amp;A316,$A$2:$A$1001,"&gt;="&amp;(A316-설정!$B$6)),1)))</f>
        <v/>
      </c>
      <c r="J316" s="18" t="str">
        <f aca="false">IF(H316="","",COUNTIFS($B$2:$B$1001,B316,$A$2:$A$1001,"&lt;"&amp;A316,$A$2:$A$1001,"&gt;="&amp;(A316-설정!$B$6),$H$2:$H$1001,"&gt;=0"))</f>
        <v/>
      </c>
      <c r="K316" s="21" t="str">
        <f aca="false">IF(I316="","",H316/I316-1)</f>
        <v/>
      </c>
      <c r="L316" s="19" t="str">
        <f aca="false">IF(H316="","",IF(J316&lt;설정!$B$7,"baseline 수집 중",IF(K316&lt;=-설정!$B$8,"저하","정상")))</f>
        <v/>
      </c>
      <c r="M316" s="20"/>
    </row>
    <row r="317" customFormat="false" ht="15" hidden="false" customHeight="false" outlineLevel="0" collapsed="false">
      <c r="A317" s="16"/>
      <c r="B317" s="17"/>
      <c r="C317" s="17"/>
      <c r="D317" s="17"/>
      <c r="E317" s="17"/>
      <c r="F317" s="17"/>
      <c r="G317" s="18" t="str">
        <f aca="false">IF(COUNT(D317:F317)=0,"",MAX(D317:F317))</f>
        <v/>
      </c>
      <c r="H317" s="18" t="str">
        <f aca="false">IF(COUNT(D317:F317)=0,"",ROUND(AVERAGE(D317:F317),1))</f>
        <v/>
      </c>
      <c r="I317" s="18" t="str">
        <f aca="false">IF(H317="","",IF(J317&lt;설정!$B$7,"",ROUND(AVERAGEIFS($H$2:$H$1001,$B$2:$B$1001,B317,$A$2:$A$1001,"&lt;"&amp;A317,$A$2:$A$1001,"&gt;="&amp;(A317-설정!$B$6)),1)))</f>
        <v/>
      </c>
      <c r="J317" s="18" t="str">
        <f aca="false">IF(H317="","",COUNTIFS($B$2:$B$1001,B317,$A$2:$A$1001,"&lt;"&amp;A317,$A$2:$A$1001,"&gt;="&amp;(A317-설정!$B$6),$H$2:$H$1001,"&gt;=0"))</f>
        <v/>
      </c>
      <c r="K317" s="21" t="str">
        <f aca="false">IF(I317="","",H317/I317-1)</f>
        <v/>
      </c>
      <c r="L317" s="19" t="str">
        <f aca="false">IF(H317="","",IF(J317&lt;설정!$B$7,"baseline 수집 중",IF(K317&lt;=-설정!$B$8,"저하","정상")))</f>
        <v/>
      </c>
      <c r="M317" s="20"/>
    </row>
    <row r="318" customFormat="false" ht="15" hidden="false" customHeight="false" outlineLevel="0" collapsed="false">
      <c r="A318" s="16"/>
      <c r="B318" s="17"/>
      <c r="C318" s="17"/>
      <c r="D318" s="17"/>
      <c r="E318" s="17"/>
      <c r="F318" s="17"/>
      <c r="G318" s="18" t="str">
        <f aca="false">IF(COUNT(D318:F318)=0,"",MAX(D318:F318))</f>
        <v/>
      </c>
      <c r="H318" s="18" t="str">
        <f aca="false">IF(COUNT(D318:F318)=0,"",ROUND(AVERAGE(D318:F318),1))</f>
        <v/>
      </c>
      <c r="I318" s="18" t="str">
        <f aca="false">IF(H318="","",IF(J318&lt;설정!$B$7,"",ROUND(AVERAGEIFS($H$2:$H$1001,$B$2:$B$1001,B318,$A$2:$A$1001,"&lt;"&amp;A318,$A$2:$A$1001,"&gt;="&amp;(A318-설정!$B$6)),1)))</f>
        <v/>
      </c>
      <c r="J318" s="18" t="str">
        <f aca="false">IF(H318="","",COUNTIFS($B$2:$B$1001,B318,$A$2:$A$1001,"&lt;"&amp;A318,$A$2:$A$1001,"&gt;="&amp;(A318-설정!$B$6),$H$2:$H$1001,"&gt;=0"))</f>
        <v/>
      </c>
      <c r="K318" s="21" t="str">
        <f aca="false">IF(I318="","",H318/I318-1)</f>
        <v/>
      </c>
      <c r="L318" s="19" t="str">
        <f aca="false">IF(H318="","",IF(J318&lt;설정!$B$7,"baseline 수집 중",IF(K318&lt;=-설정!$B$8,"저하","정상")))</f>
        <v/>
      </c>
      <c r="M318" s="20"/>
    </row>
    <row r="319" customFormat="false" ht="15" hidden="false" customHeight="false" outlineLevel="0" collapsed="false">
      <c r="A319" s="16"/>
      <c r="B319" s="17"/>
      <c r="C319" s="17"/>
      <c r="D319" s="17"/>
      <c r="E319" s="17"/>
      <c r="F319" s="17"/>
      <c r="G319" s="18" t="str">
        <f aca="false">IF(COUNT(D319:F319)=0,"",MAX(D319:F319))</f>
        <v/>
      </c>
      <c r="H319" s="18" t="str">
        <f aca="false">IF(COUNT(D319:F319)=0,"",ROUND(AVERAGE(D319:F319),1))</f>
        <v/>
      </c>
      <c r="I319" s="18" t="str">
        <f aca="false">IF(H319="","",IF(J319&lt;설정!$B$7,"",ROUND(AVERAGEIFS($H$2:$H$1001,$B$2:$B$1001,B319,$A$2:$A$1001,"&lt;"&amp;A319,$A$2:$A$1001,"&gt;="&amp;(A319-설정!$B$6)),1)))</f>
        <v/>
      </c>
      <c r="J319" s="18" t="str">
        <f aca="false">IF(H319="","",COUNTIFS($B$2:$B$1001,B319,$A$2:$A$1001,"&lt;"&amp;A319,$A$2:$A$1001,"&gt;="&amp;(A319-설정!$B$6),$H$2:$H$1001,"&gt;=0"))</f>
        <v/>
      </c>
      <c r="K319" s="21" t="str">
        <f aca="false">IF(I319="","",H319/I319-1)</f>
        <v/>
      </c>
      <c r="L319" s="19" t="str">
        <f aca="false">IF(H319="","",IF(J319&lt;설정!$B$7,"baseline 수집 중",IF(K319&lt;=-설정!$B$8,"저하","정상")))</f>
        <v/>
      </c>
      <c r="M319" s="20"/>
    </row>
    <row r="320" customFormat="false" ht="15" hidden="false" customHeight="false" outlineLevel="0" collapsed="false">
      <c r="A320" s="16"/>
      <c r="B320" s="17"/>
      <c r="C320" s="17"/>
      <c r="D320" s="17"/>
      <c r="E320" s="17"/>
      <c r="F320" s="17"/>
      <c r="G320" s="18" t="str">
        <f aca="false">IF(COUNT(D320:F320)=0,"",MAX(D320:F320))</f>
        <v/>
      </c>
      <c r="H320" s="18" t="str">
        <f aca="false">IF(COUNT(D320:F320)=0,"",ROUND(AVERAGE(D320:F320),1))</f>
        <v/>
      </c>
      <c r="I320" s="18" t="str">
        <f aca="false">IF(H320="","",IF(J320&lt;설정!$B$7,"",ROUND(AVERAGEIFS($H$2:$H$1001,$B$2:$B$1001,B320,$A$2:$A$1001,"&lt;"&amp;A320,$A$2:$A$1001,"&gt;="&amp;(A320-설정!$B$6)),1)))</f>
        <v/>
      </c>
      <c r="J320" s="18" t="str">
        <f aca="false">IF(H320="","",COUNTIFS($B$2:$B$1001,B320,$A$2:$A$1001,"&lt;"&amp;A320,$A$2:$A$1001,"&gt;="&amp;(A320-설정!$B$6),$H$2:$H$1001,"&gt;=0"))</f>
        <v/>
      </c>
      <c r="K320" s="21" t="str">
        <f aca="false">IF(I320="","",H320/I320-1)</f>
        <v/>
      </c>
      <c r="L320" s="19" t="str">
        <f aca="false">IF(H320="","",IF(J320&lt;설정!$B$7,"baseline 수집 중",IF(K320&lt;=-설정!$B$8,"저하","정상")))</f>
        <v/>
      </c>
      <c r="M320" s="20"/>
    </row>
    <row r="321" customFormat="false" ht="15" hidden="false" customHeight="false" outlineLevel="0" collapsed="false">
      <c r="A321" s="16"/>
      <c r="B321" s="17"/>
      <c r="C321" s="17"/>
      <c r="D321" s="17"/>
      <c r="E321" s="17"/>
      <c r="F321" s="17"/>
      <c r="G321" s="18" t="str">
        <f aca="false">IF(COUNT(D321:F321)=0,"",MAX(D321:F321))</f>
        <v/>
      </c>
      <c r="H321" s="18" t="str">
        <f aca="false">IF(COUNT(D321:F321)=0,"",ROUND(AVERAGE(D321:F321),1))</f>
        <v/>
      </c>
      <c r="I321" s="18" t="str">
        <f aca="false">IF(H321="","",IF(J321&lt;설정!$B$7,"",ROUND(AVERAGEIFS($H$2:$H$1001,$B$2:$B$1001,B321,$A$2:$A$1001,"&lt;"&amp;A321,$A$2:$A$1001,"&gt;="&amp;(A321-설정!$B$6)),1)))</f>
        <v/>
      </c>
      <c r="J321" s="18" t="str">
        <f aca="false">IF(H321="","",COUNTIFS($B$2:$B$1001,B321,$A$2:$A$1001,"&lt;"&amp;A321,$A$2:$A$1001,"&gt;="&amp;(A321-설정!$B$6),$H$2:$H$1001,"&gt;=0"))</f>
        <v/>
      </c>
      <c r="K321" s="21" t="str">
        <f aca="false">IF(I321="","",H321/I321-1)</f>
        <v/>
      </c>
      <c r="L321" s="19" t="str">
        <f aca="false">IF(H321="","",IF(J321&lt;설정!$B$7,"baseline 수집 중",IF(K321&lt;=-설정!$B$8,"저하","정상")))</f>
        <v/>
      </c>
      <c r="M321" s="20"/>
    </row>
    <row r="322" customFormat="false" ht="15" hidden="false" customHeight="false" outlineLevel="0" collapsed="false">
      <c r="A322" s="16"/>
      <c r="B322" s="17"/>
      <c r="C322" s="17"/>
      <c r="D322" s="17"/>
      <c r="E322" s="17"/>
      <c r="F322" s="17"/>
      <c r="G322" s="18" t="str">
        <f aca="false">IF(COUNT(D322:F322)=0,"",MAX(D322:F322))</f>
        <v/>
      </c>
      <c r="H322" s="18" t="str">
        <f aca="false">IF(COUNT(D322:F322)=0,"",ROUND(AVERAGE(D322:F322),1))</f>
        <v/>
      </c>
      <c r="I322" s="18" t="str">
        <f aca="false">IF(H322="","",IF(J322&lt;설정!$B$7,"",ROUND(AVERAGEIFS($H$2:$H$1001,$B$2:$B$1001,B322,$A$2:$A$1001,"&lt;"&amp;A322,$A$2:$A$1001,"&gt;="&amp;(A322-설정!$B$6)),1)))</f>
        <v/>
      </c>
      <c r="J322" s="18" t="str">
        <f aca="false">IF(H322="","",COUNTIFS($B$2:$B$1001,B322,$A$2:$A$1001,"&lt;"&amp;A322,$A$2:$A$1001,"&gt;="&amp;(A322-설정!$B$6),$H$2:$H$1001,"&gt;=0"))</f>
        <v/>
      </c>
      <c r="K322" s="21" t="str">
        <f aca="false">IF(I322="","",H322/I322-1)</f>
        <v/>
      </c>
      <c r="L322" s="19" t="str">
        <f aca="false">IF(H322="","",IF(J322&lt;설정!$B$7,"baseline 수집 중",IF(K322&lt;=-설정!$B$8,"저하","정상")))</f>
        <v/>
      </c>
      <c r="M322" s="20"/>
    </row>
    <row r="323" customFormat="false" ht="15" hidden="false" customHeight="false" outlineLevel="0" collapsed="false">
      <c r="A323" s="16"/>
      <c r="B323" s="17"/>
      <c r="C323" s="17"/>
      <c r="D323" s="17"/>
      <c r="E323" s="17"/>
      <c r="F323" s="17"/>
      <c r="G323" s="18" t="str">
        <f aca="false">IF(COUNT(D323:F323)=0,"",MAX(D323:F323))</f>
        <v/>
      </c>
      <c r="H323" s="18" t="str">
        <f aca="false">IF(COUNT(D323:F323)=0,"",ROUND(AVERAGE(D323:F323),1))</f>
        <v/>
      </c>
      <c r="I323" s="18" t="str">
        <f aca="false">IF(H323="","",IF(J323&lt;설정!$B$7,"",ROUND(AVERAGEIFS($H$2:$H$1001,$B$2:$B$1001,B323,$A$2:$A$1001,"&lt;"&amp;A323,$A$2:$A$1001,"&gt;="&amp;(A323-설정!$B$6)),1)))</f>
        <v/>
      </c>
      <c r="J323" s="18" t="str">
        <f aca="false">IF(H323="","",COUNTIFS($B$2:$B$1001,B323,$A$2:$A$1001,"&lt;"&amp;A323,$A$2:$A$1001,"&gt;="&amp;(A323-설정!$B$6),$H$2:$H$1001,"&gt;=0"))</f>
        <v/>
      </c>
      <c r="K323" s="21" t="str">
        <f aca="false">IF(I323="","",H323/I323-1)</f>
        <v/>
      </c>
      <c r="L323" s="19" t="str">
        <f aca="false">IF(H323="","",IF(J323&lt;설정!$B$7,"baseline 수집 중",IF(K323&lt;=-설정!$B$8,"저하","정상")))</f>
        <v/>
      </c>
      <c r="M323" s="20"/>
    </row>
    <row r="324" customFormat="false" ht="15" hidden="false" customHeight="false" outlineLevel="0" collapsed="false">
      <c r="A324" s="16"/>
      <c r="B324" s="17"/>
      <c r="C324" s="17"/>
      <c r="D324" s="17"/>
      <c r="E324" s="17"/>
      <c r="F324" s="17"/>
      <c r="G324" s="18" t="str">
        <f aca="false">IF(COUNT(D324:F324)=0,"",MAX(D324:F324))</f>
        <v/>
      </c>
      <c r="H324" s="18" t="str">
        <f aca="false">IF(COUNT(D324:F324)=0,"",ROUND(AVERAGE(D324:F324),1))</f>
        <v/>
      </c>
      <c r="I324" s="18" t="str">
        <f aca="false">IF(H324="","",IF(J324&lt;설정!$B$7,"",ROUND(AVERAGEIFS($H$2:$H$1001,$B$2:$B$1001,B324,$A$2:$A$1001,"&lt;"&amp;A324,$A$2:$A$1001,"&gt;="&amp;(A324-설정!$B$6)),1)))</f>
        <v/>
      </c>
      <c r="J324" s="18" t="str">
        <f aca="false">IF(H324="","",COUNTIFS($B$2:$B$1001,B324,$A$2:$A$1001,"&lt;"&amp;A324,$A$2:$A$1001,"&gt;="&amp;(A324-설정!$B$6),$H$2:$H$1001,"&gt;=0"))</f>
        <v/>
      </c>
      <c r="K324" s="21" t="str">
        <f aca="false">IF(I324="","",H324/I324-1)</f>
        <v/>
      </c>
      <c r="L324" s="19" t="str">
        <f aca="false">IF(H324="","",IF(J324&lt;설정!$B$7,"baseline 수집 중",IF(K324&lt;=-설정!$B$8,"저하","정상")))</f>
        <v/>
      </c>
      <c r="M324" s="20"/>
    </row>
    <row r="325" customFormat="false" ht="15" hidden="false" customHeight="false" outlineLevel="0" collapsed="false">
      <c r="A325" s="16"/>
      <c r="B325" s="17"/>
      <c r="C325" s="17"/>
      <c r="D325" s="17"/>
      <c r="E325" s="17"/>
      <c r="F325" s="17"/>
      <c r="G325" s="18" t="str">
        <f aca="false">IF(COUNT(D325:F325)=0,"",MAX(D325:F325))</f>
        <v/>
      </c>
      <c r="H325" s="18" t="str">
        <f aca="false">IF(COUNT(D325:F325)=0,"",ROUND(AVERAGE(D325:F325),1))</f>
        <v/>
      </c>
      <c r="I325" s="18" t="str">
        <f aca="false">IF(H325="","",IF(J325&lt;설정!$B$7,"",ROUND(AVERAGEIFS($H$2:$H$1001,$B$2:$B$1001,B325,$A$2:$A$1001,"&lt;"&amp;A325,$A$2:$A$1001,"&gt;="&amp;(A325-설정!$B$6)),1)))</f>
        <v/>
      </c>
      <c r="J325" s="18" t="str">
        <f aca="false">IF(H325="","",COUNTIFS($B$2:$B$1001,B325,$A$2:$A$1001,"&lt;"&amp;A325,$A$2:$A$1001,"&gt;="&amp;(A325-설정!$B$6),$H$2:$H$1001,"&gt;=0"))</f>
        <v/>
      </c>
      <c r="K325" s="21" t="str">
        <f aca="false">IF(I325="","",H325/I325-1)</f>
        <v/>
      </c>
      <c r="L325" s="19" t="str">
        <f aca="false">IF(H325="","",IF(J325&lt;설정!$B$7,"baseline 수집 중",IF(K325&lt;=-설정!$B$8,"저하","정상")))</f>
        <v/>
      </c>
      <c r="M325" s="20"/>
    </row>
    <row r="326" customFormat="false" ht="15" hidden="false" customHeight="false" outlineLevel="0" collapsed="false">
      <c r="A326" s="16"/>
      <c r="B326" s="17"/>
      <c r="C326" s="17"/>
      <c r="D326" s="17"/>
      <c r="E326" s="17"/>
      <c r="F326" s="17"/>
      <c r="G326" s="18" t="str">
        <f aca="false">IF(COUNT(D326:F326)=0,"",MAX(D326:F326))</f>
        <v/>
      </c>
      <c r="H326" s="18" t="str">
        <f aca="false">IF(COUNT(D326:F326)=0,"",ROUND(AVERAGE(D326:F326),1))</f>
        <v/>
      </c>
      <c r="I326" s="18" t="str">
        <f aca="false">IF(H326="","",IF(J326&lt;설정!$B$7,"",ROUND(AVERAGEIFS($H$2:$H$1001,$B$2:$B$1001,B326,$A$2:$A$1001,"&lt;"&amp;A326,$A$2:$A$1001,"&gt;="&amp;(A326-설정!$B$6)),1)))</f>
        <v/>
      </c>
      <c r="J326" s="18" t="str">
        <f aca="false">IF(H326="","",COUNTIFS($B$2:$B$1001,B326,$A$2:$A$1001,"&lt;"&amp;A326,$A$2:$A$1001,"&gt;="&amp;(A326-설정!$B$6),$H$2:$H$1001,"&gt;=0"))</f>
        <v/>
      </c>
      <c r="K326" s="21" t="str">
        <f aca="false">IF(I326="","",H326/I326-1)</f>
        <v/>
      </c>
      <c r="L326" s="19" t="str">
        <f aca="false">IF(H326="","",IF(J326&lt;설정!$B$7,"baseline 수집 중",IF(K326&lt;=-설정!$B$8,"저하","정상")))</f>
        <v/>
      </c>
      <c r="M326" s="20"/>
    </row>
    <row r="327" customFormat="false" ht="15" hidden="false" customHeight="false" outlineLevel="0" collapsed="false">
      <c r="A327" s="16"/>
      <c r="B327" s="17"/>
      <c r="C327" s="17"/>
      <c r="D327" s="17"/>
      <c r="E327" s="17"/>
      <c r="F327" s="17"/>
      <c r="G327" s="18" t="str">
        <f aca="false">IF(COUNT(D327:F327)=0,"",MAX(D327:F327))</f>
        <v/>
      </c>
      <c r="H327" s="18" t="str">
        <f aca="false">IF(COUNT(D327:F327)=0,"",ROUND(AVERAGE(D327:F327),1))</f>
        <v/>
      </c>
      <c r="I327" s="18" t="str">
        <f aca="false">IF(H327="","",IF(J327&lt;설정!$B$7,"",ROUND(AVERAGEIFS($H$2:$H$1001,$B$2:$B$1001,B327,$A$2:$A$1001,"&lt;"&amp;A327,$A$2:$A$1001,"&gt;="&amp;(A327-설정!$B$6)),1)))</f>
        <v/>
      </c>
      <c r="J327" s="18" t="str">
        <f aca="false">IF(H327="","",COUNTIFS($B$2:$B$1001,B327,$A$2:$A$1001,"&lt;"&amp;A327,$A$2:$A$1001,"&gt;="&amp;(A327-설정!$B$6),$H$2:$H$1001,"&gt;=0"))</f>
        <v/>
      </c>
      <c r="K327" s="21" t="str">
        <f aca="false">IF(I327="","",H327/I327-1)</f>
        <v/>
      </c>
      <c r="L327" s="19" t="str">
        <f aca="false">IF(H327="","",IF(J327&lt;설정!$B$7,"baseline 수집 중",IF(K327&lt;=-설정!$B$8,"저하","정상")))</f>
        <v/>
      </c>
      <c r="M327" s="20"/>
    </row>
    <row r="328" customFormat="false" ht="15" hidden="false" customHeight="false" outlineLevel="0" collapsed="false">
      <c r="A328" s="16"/>
      <c r="B328" s="17"/>
      <c r="C328" s="17"/>
      <c r="D328" s="17"/>
      <c r="E328" s="17"/>
      <c r="F328" s="17"/>
      <c r="G328" s="18" t="str">
        <f aca="false">IF(COUNT(D328:F328)=0,"",MAX(D328:F328))</f>
        <v/>
      </c>
      <c r="H328" s="18" t="str">
        <f aca="false">IF(COUNT(D328:F328)=0,"",ROUND(AVERAGE(D328:F328),1))</f>
        <v/>
      </c>
      <c r="I328" s="18" t="str">
        <f aca="false">IF(H328="","",IF(J328&lt;설정!$B$7,"",ROUND(AVERAGEIFS($H$2:$H$1001,$B$2:$B$1001,B328,$A$2:$A$1001,"&lt;"&amp;A328,$A$2:$A$1001,"&gt;="&amp;(A328-설정!$B$6)),1)))</f>
        <v/>
      </c>
      <c r="J328" s="18" t="str">
        <f aca="false">IF(H328="","",COUNTIFS($B$2:$B$1001,B328,$A$2:$A$1001,"&lt;"&amp;A328,$A$2:$A$1001,"&gt;="&amp;(A328-설정!$B$6),$H$2:$H$1001,"&gt;=0"))</f>
        <v/>
      </c>
      <c r="K328" s="21" t="str">
        <f aca="false">IF(I328="","",H328/I328-1)</f>
        <v/>
      </c>
      <c r="L328" s="19" t="str">
        <f aca="false">IF(H328="","",IF(J328&lt;설정!$B$7,"baseline 수집 중",IF(K328&lt;=-설정!$B$8,"저하","정상")))</f>
        <v/>
      </c>
      <c r="M328" s="20"/>
    </row>
    <row r="329" customFormat="false" ht="15" hidden="false" customHeight="false" outlineLevel="0" collapsed="false">
      <c r="A329" s="16"/>
      <c r="B329" s="17"/>
      <c r="C329" s="17"/>
      <c r="D329" s="17"/>
      <c r="E329" s="17"/>
      <c r="F329" s="17"/>
      <c r="G329" s="18" t="str">
        <f aca="false">IF(COUNT(D329:F329)=0,"",MAX(D329:F329))</f>
        <v/>
      </c>
      <c r="H329" s="18" t="str">
        <f aca="false">IF(COUNT(D329:F329)=0,"",ROUND(AVERAGE(D329:F329),1))</f>
        <v/>
      </c>
      <c r="I329" s="18" t="str">
        <f aca="false">IF(H329="","",IF(J329&lt;설정!$B$7,"",ROUND(AVERAGEIFS($H$2:$H$1001,$B$2:$B$1001,B329,$A$2:$A$1001,"&lt;"&amp;A329,$A$2:$A$1001,"&gt;="&amp;(A329-설정!$B$6)),1)))</f>
        <v/>
      </c>
      <c r="J329" s="18" t="str">
        <f aca="false">IF(H329="","",COUNTIFS($B$2:$B$1001,B329,$A$2:$A$1001,"&lt;"&amp;A329,$A$2:$A$1001,"&gt;="&amp;(A329-설정!$B$6),$H$2:$H$1001,"&gt;=0"))</f>
        <v/>
      </c>
      <c r="K329" s="21" t="str">
        <f aca="false">IF(I329="","",H329/I329-1)</f>
        <v/>
      </c>
      <c r="L329" s="19" t="str">
        <f aca="false">IF(H329="","",IF(J329&lt;설정!$B$7,"baseline 수집 중",IF(K329&lt;=-설정!$B$8,"저하","정상")))</f>
        <v/>
      </c>
      <c r="M329" s="20"/>
    </row>
    <row r="330" customFormat="false" ht="15" hidden="false" customHeight="false" outlineLevel="0" collapsed="false">
      <c r="A330" s="16"/>
      <c r="B330" s="17"/>
      <c r="C330" s="17"/>
      <c r="D330" s="17"/>
      <c r="E330" s="17"/>
      <c r="F330" s="17"/>
      <c r="G330" s="18" t="str">
        <f aca="false">IF(COUNT(D330:F330)=0,"",MAX(D330:F330))</f>
        <v/>
      </c>
      <c r="H330" s="18" t="str">
        <f aca="false">IF(COUNT(D330:F330)=0,"",ROUND(AVERAGE(D330:F330),1))</f>
        <v/>
      </c>
      <c r="I330" s="18" t="str">
        <f aca="false">IF(H330="","",IF(J330&lt;설정!$B$7,"",ROUND(AVERAGEIFS($H$2:$H$1001,$B$2:$B$1001,B330,$A$2:$A$1001,"&lt;"&amp;A330,$A$2:$A$1001,"&gt;="&amp;(A330-설정!$B$6)),1)))</f>
        <v/>
      </c>
      <c r="J330" s="18" t="str">
        <f aca="false">IF(H330="","",COUNTIFS($B$2:$B$1001,B330,$A$2:$A$1001,"&lt;"&amp;A330,$A$2:$A$1001,"&gt;="&amp;(A330-설정!$B$6),$H$2:$H$1001,"&gt;=0"))</f>
        <v/>
      </c>
      <c r="K330" s="21" t="str">
        <f aca="false">IF(I330="","",H330/I330-1)</f>
        <v/>
      </c>
      <c r="L330" s="19" t="str">
        <f aca="false">IF(H330="","",IF(J330&lt;설정!$B$7,"baseline 수집 중",IF(K330&lt;=-설정!$B$8,"저하","정상")))</f>
        <v/>
      </c>
      <c r="M330" s="20"/>
    </row>
    <row r="331" customFormat="false" ht="15" hidden="false" customHeight="false" outlineLevel="0" collapsed="false">
      <c r="A331" s="16"/>
      <c r="B331" s="17"/>
      <c r="C331" s="17"/>
      <c r="D331" s="17"/>
      <c r="E331" s="17"/>
      <c r="F331" s="17"/>
      <c r="G331" s="18" t="str">
        <f aca="false">IF(COUNT(D331:F331)=0,"",MAX(D331:F331))</f>
        <v/>
      </c>
      <c r="H331" s="18" t="str">
        <f aca="false">IF(COUNT(D331:F331)=0,"",ROUND(AVERAGE(D331:F331),1))</f>
        <v/>
      </c>
      <c r="I331" s="18" t="str">
        <f aca="false">IF(H331="","",IF(J331&lt;설정!$B$7,"",ROUND(AVERAGEIFS($H$2:$H$1001,$B$2:$B$1001,B331,$A$2:$A$1001,"&lt;"&amp;A331,$A$2:$A$1001,"&gt;="&amp;(A331-설정!$B$6)),1)))</f>
        <v/>
      </c>
      <c r="J331" s="18" t="str">
        <f aca="false">IF(H331="","",COUNTIFS($B$2:$B$1001,B331,$A$2:$A$1001,"&lt;"&amp;A331,$A$2:$A$1001,"&gt;="&amp;(A331-설정!$B$6),$H$2:$H$1001,"&gt;=0"))</f>
        <v/>
      </c>
      <c r="K331" s="21" t="str">
        <f aca="false">IF(I331="","",H331/I331-1)</f>
        <v/>
      </c>
      <c r="L331" s="19" t="str">
        <f aca="false">IF(H331="","",IF(J331&lt;설정!$B$7,"baseline 수집 중",IF(K331&lt;=-설정!$B$8,"저하","정상")))</f>
        <v/>
      </c>
      <c r="M331" s="20"/>
    </row>
    <row r="332" customFormat="false" ht="15" hidden="false" customHeight="false" outlineLevel="0" collapsed="false">
      <c r="A332" s="16"/>
      <c r="B332" s="17"/>
      <c r="C332" s="17"/>
      <c r="D332" s="17"/>
      <c r="E332" s="17"/>
      <c r="F332" s="17"/>
      <c r="G332" s="18" t="str">
        <f aca="false">IF(COUNT(D332:F332)=0,"",MAX(D332:F332))</f>
        <v/>
      </c>
      <c r="H332" s="18" t="str">
        <f aca="false">IF(COUNT(D332:F332)=0,"",ROUND(AVERAGE(D332:F332),1))</f>
        <v/>
      </c>
      <c r="I332" s="18" t="str">
        <f aca="false">IF(H332="","",IF(J332&lt;설정!$B$7,"",ROUND(AVERAGEIFS($H$2:$H$1001,$B$2:$B$1001,B332,$A$2:$A$1001,"&lt;"&amp;A332,$A$2:$A$1001,"&gt;="&amp;(A332-설정!$B$6)),1)))</f>
        <v/>
      </c>
      <c r="J332" s="18" t="str">
        <f aca="false">IF(H332="","",COUNTIFS($B$2:$B$1001,B332,$A$2:$A$1001,"&lt;"&amp;A332,$A$2:$A$1001,"&gt;="&amp;(A332-설정!$B$6),$H$2:$H$1001,"&gt;=0"))</f>
        <v/>
      </c>
      <c r="K332" s="21" t="str">
        <f aca="false">IF(I332="","",H332/I332-1)</f>
        <v/>
      </c>
      <c r="L332" s="19" t="str">
        <f aca="false">IF(H332="","",IF(J332&lt;설정!$B$7,"baseline 수집 중",IF(K332&lt;=-설정!$B$8,"저하","정상")))</f>
        <v/>
      </c>
      <c r="M332" s="20"/>
    </row>
    <row r="333" customFormat="false" ht="15" hidden="false" customHeight="false" outlineLevel="0" collapsed="false">
      <c r="A333" s="16"/>
      <c r="B333" s="17"/>
      <c r="C333" s="17"/>
      <c r="D333" s="17"/>
      <c r="E333" s="17"/>
      <c r="F333" s="17"/>
      <c r="G333" s="18" t="str">
        <f aca="false">IF(COUNT(D333:F333)=0,"",MAX(D333:F333))</f>
        <v/>
      </c>
      <c r="H333" s="18" t="str">
        <f aca="false">IF(COUNT(D333:F333)=0,"",ROUND(AVERAGE(D333:F333),1))</f>
        <v/>
      </c>
      <c r="I333" s="18" t="str">
        <f aca="false">IF(H333="","",IF(J333&lt;설정!$B$7,"",ROUND(AVERAGEIFS($H$2:$H$1001,$B$2:$B$1001,B333,$A$2:$A$1001,"&lt;"&amp;A333,$A$2:$A$1001,"&gt;="&amp;(A333-설정!$B$6)),1)))</f>
        <v/>
      </c>
      <c r="J333" s="18" t="str">
        <f aca="false">IF(H333="","",COUNTIFS($B$2:$B$1001,B333,$A$2:$A$1001,"&lt;"&amp;A333,$A$2:$A$1001,"&gt;="&amp;(A333-설정!$B$6),$H$2:$H$1001,"&gt;=0"))</f>
        <v/>
      </c>
      <c r="K333" s="21" t="str">
        <f aca="false">IF(I333="","",H333/I333-1)</f>
        <v/>
      </c>
      <c r="L333" s="19" t="str">
        <f aca="false">IF(H333="","",IF(J333&lt;설정!$B$7,"baseline 수집 중",IF(K333&lt;=-설정!$B$8,"저하","정상")))</f>
        <v/>
      </c>
      <c r="M333" s="20"/>
    </row>
    <row r="334" customFormat="false" ht="15" hidden="false" customHeight="false" outlineLevel="0" collapsed="false">
      <c r="A334" s="16"/>
      <c r="B334" s="17"/>
      <c r="C334" s="17"/>
      <c r="D334" s="17"/>
      <c r="E334" s="17"/>
      <c r="F334" s="17"/>
      <c r="G334" s="18" t="str">
        <f aca="false">IF(COUNT(D334:F334)=0,"",MAX(D334:F334))</f>
        <v/>
      </c>
      <c r="H334" s="18" t="str">
        <f aca="false">IF(COUNT(D334:F334)=0,"",ROUND(AVERAGE(D334:F334),1))</f>
        <v/>
      </c>
      <c r="I334" s="18" t="str">
        <f aca="false">IF(H334="","",IF(J334&lt;설정!$B$7,"",ROUND(AVERAGEIFS($H$2:$H$1001,$B$2:$B$1001,B334,$A$2:$A$1001,"&lt;"&amp;A334,$A$2:$A$1001,"&gt;="&amp;(A334-설정!$B$6)),1)))</f>
        <v/>
      </c>
      <c r="J334" s="18" t="str">
        <f aca="false">IF(H334="","",COUNTIFS($B$2:$B$1001,B334,$A$2:$A$1001,"&lt;"&amp;A334,$A$2:$A$1001,"&gt;="&amp;(A334-설정!$B$6),$H$2:$H$1001,"&gt;=0"))</f>
        <v/>
      </c>
      <c r="K334" s="21" t="str">
        <f aca="false">IF(I334="","",H334/I334-1)</f>
        <v/>
      </c>
      <c r="L334" s="19" t="str">
        <f aca="false">IF(H334="","",IF(J334&lt;설정!$B$7,"baseline 수집 중",IF(K334&lt;=-설정!$B$8,"저하","정상")))</f>
        <v/>
      </c>
      <c r="M334" s="20"/>
    </row>
    <row r="335" customFormat="false" ht="15" hidden="false" customHeight="false" outlineLevel="0" collapsed="false">
      <c r="A335" s="16"/>
      <c r="B335" s="17"/>
      <c r="C335" s="17"/>
      <c r="D335" s="17"/>
      <c r="E335" s="17"/>
      <c r="F335" s="17"/>
      <c r="G335" s="18" t="str">
        <f aca="false">IF(COUNT(D335:F335)=0,"",MAX(D335:F335))</f>
        <v/>
      </c>
      <c r="H335" s="18" t="str">
        <f aca="false">IF(COUNT(D335:F335)=0,"",ROUND(AVERAGE(D335:F335),1))</f>
        <v/>
      </c>
      <c r="I335" s="18" t="str">
        <f aca="false">IF(H335="","",IF(J335&lt;설정!$B$7,"",ROUND(AVERAGEIFS($H$2:$H$1001,$B$2:$B$1001,B335,$A$2:$A$1001,"&lt;"&amp;A335,$A$2:$A$1001,"&gt;="&amp;(A335-설정!$B$6)),1)))</f>
        <v/>
      </c>
      <c r="J335" s="18" t="str">
        <f aca="false">IF(H335="","",COUNTIFS($B$2:$B$1001,B335,$A$2:$A$1001,"&lt;"&amp;A335,$A$2:$A$1001,"&gt;="&amp;(A335-설정!$B$6),$H$2:$H$1001,"&gt;=0"))</f>
        <v/>
      </c>
      <c r="K335" s="21" t="str">
        <f aca="false">IF(I335="","",H335/I335-1)</f>
        <v/>
      </c>
      <c r="L335" s="19" t="str">
        <f aca="false">IF(H335="","",IF(J335&lt;설정!$B$7,"baseline 수집 중",IF(K335&lt;=-설정!$B$8,"저하","정상")))</f>
        <v/>
      </c>
      <c r="M335" s="20"/>
    </row>
    <row r="336" customFormat="false" ht="15" hidden="false" customHeight="false" outlineLevel="0" collapsed="false">
      <c r="A336" s="16"/>
      <c r="B336" s="17"/>
      <c r="C336" s="17"/>
      <c r="D336" s="17"/>
      <c r="E336" s="17"/>
      <c r="F336" s="17"/>
      <c r="G336" s="18" t="str">
        <f aca="false">IF(COUNT(D336:F336)=0,"",MAX(D336:F336))</f>
        <v/>
      </c>
      <c r="H336" s="18" t="str">
        <f aca="false">IF(COUNT(D336:F336)=0,"",ROUND(AVERAGE(D336:F336),1))</f>
        <v/>
      </c>
      <c r="I336" s="18" t="str">
        <f aca="false">IF(H336="","",IF(J336&lt;설정!$B$7,"",ROUND(AVERAGEIFS($H$2:$H$1001,$B$2:$B$1001,B336,$A$2:$A$1001,"&lt;"&amp;A336,$A$2:$A$1001,"&gt;="&amp;(A336-설정!$B$6)),1)))</f>
        <v/>
      </c>
      <c r="J336" s="18" t="str">
        <f aca="false">IF(H336="","",COUNTIFS($B$2:$B$1001,B336,$A$2:$A$1001,"&lt;"&amp;A336,$A$2:$A$1001,"&gt;="&amp;(A336-설정!$B$6),$H$2:$H$1001,"&gt;=0"))</f>
        <v/>
      </c>
      <c r="K336" s="21" t="str">
        <f aca="false">IF(I336="","",H336/I336-1)</f>
        <v/>
      </c>
      <c r="L336" s="19" t="str">
        <f aca="false">IF(H336="","",IF(J336&lt;설정!$B$7,"baseline 수집 중",IF(K336&lt;=-설정!$B$8,"저하","정상")))</f>
        <v/>
      </c>
      <c r="M336" s="20"/>
    </row>
    <row r="337" customFormat="false" ht="15" hidden="false" customHeight="false" outlineLevel="0" collapsed="false">
      <c r="A337" s="16"/>
      <c r="B337" s="17"/>
      <c r="C337" s="17"/>
      <c r="D337" s="17"/>
      <c r="E337" s="17"/>
      <c r="F337" s="17"/>
      <c r="G337" s="18" t="str">
        <f aca="false">IF(COUNT(D337:F337)=0,"",MAX(D337:F337))</f>
        <v/>
      </c>
      <c r="H337" s="18" t="str">
        <f aca="false">IF(COUNT(D337:F337)=0,"",ROUND(AVERAGE(D337:F337),1))</f>
        <v/>
      </c>
      <c r="I337" s="18" t="str">
        <f aca="false">IF(H337="","",IF(J337&lt;설정!$B$7,"",ROUND(AVERAGEIFS($H$2:$H$1001,$B$2:$B$1001,B337,$A$2:$A$1001,"&lt;"&amp;A337,$A$2:$A$1001,"&gt;="&amp;(A337-설정!$B$6)),1)))</f>
        <v/>
      </c>
      <c r="J337" s="18" t="str">
        <f aca="false">IF(H337="","",COUNTIFS($B$2:$B$1001,B337,$A$2:$A$1001,"&lt;"&amp;A337,$A$2:$A$1001,"&gt;="&amp;(A337-설정!$B$6),$H$2:$H$1001,"&gt;=0"))</f>
        <v/>
      </c>
      <c r="K337" s="21" t="str">
        <f aca="false">IF(I337="","",H337/I337-1)</f>
        <v/>
      </c>
      <c r="L337" s="19" t="str">
        <f aca="false">IF(H337="","",IF(J337&lt;설정!$B$7,"baseline 수집 중",IF(K337&lt;=-설정!$B$8,"저하","정상")))</f>
        <v/>
      </c>
      <c r="M337" s="20"/>
    </row>
    <row r="338" customFormat="false" ht="15" hidden="false" customHeight="false" outlineLevel="0" collapsed="false">
      <c r="A338" s="16"/>
      <c r="B338" s="17"/>
      <c r="C338" s="17"/>
      <c r="D338" s="17"/>
      <c r="E338" s="17"/>
      <c r="F338" s="17"/>
      <c r="G338" s="18" t="str">
        <f aca="false">IF(COUNT(D338:F338)=0,"",MAX(D338:F338))</f>
        <v/>
      </c>
      <c r="H338" s="18" t="str">
        <f aca="false">IF(COUNT(D338:F338)=0,"",ROUND(AVERAGE(D338:F338),1))</f>
        <v/>
      </c>
      <c r="I338" s="18" t="str">
        <f aca="false">IF(H338="","",IF(J338&lt;설정!$B$7,"",ROUND(AVERAGEIFS($H$2:$H$1001,$B$2:$B$1001,B338,$A$2:$A$1001,"&lt;"&amp;A338,$A$2:$A$1001,"&gt;="&amp;(A338-설정!$B$6)),1)))</f>
        <v/>
      </c>
      <c r="J338" s="18" t="str">
        <f aca="false">IF(H338="","",COUNTIFS($B$2:$B$1001,B338,$A$2:$A$1001,"&lt;"&amp;A338,$A$2:$A$1001,"&gt;="&amp;(A338-설정!$B$6),$H$2:$H$1001,"&gt;=0"))</f>
        <v/>
      </c>
      <c r="K338" s="21" t="str">
        <f aca="false">IF(I338="","",H338/I338-1)</f>
        <v/>
      </c>
      <c r="L338" s="19" t="str">
        <f aca="false">IF(H338="","",IF(J338&lt;설정!$B$7,"baseline 수집 중",IF(K338&lt;=-설정!$B$8,"저하","정상")))</f>
        <v/>
      </c>
      <c r="M338" s="20"/>
    </row>
    <row r="339" customFormat="false" ht="15" hidden="false" customHeight="false" outlineLevel="0" collapsed="false">
      <c r="A339" s="16"/>
      <c r="B339" s="17"/>
      <c r="C339" s="17"/>
      <c r="D339" s="17"/>
      <c r="E339" s="17"/>
      <c r="F339" s="17"/>
      <c r="G339" s="18" t="str">
        <f aca="false">IF(COUNT(D339:F339)=0,"",MAX(D339:F339))</f>
        <v/>
      </c>
      <c r="H339" s="18" t="str">
        <f aca="false">IF(COUNT(D339:F339)=0,"",ROUND(AVERAGE(D339:F339),1))</f>
        <v/>
      </c>
      <c r="I339" s="18" t="str">
        <f aca="false">IF(H339="","",IF(J339&lt;설정!$B$7,"",ROUND(AVERAGEIFS($H$2:$H$1001,$B$2:$B$1001,B339,$A$2:$A$1001,"&lt;"&amp;A339,$A$2:$A$1001,"&gt;="&amp;(A339-설정!$B$6)),1)))</f>
        <v/>
      </c>
      <c r="J339" s="18" t="str">
        <f aca="false">IF(H339="","",COUNTIFS($B$2:$B$1001,B339,$A$2:$A$1001,"&lt;"&amp;A339,$A$2:$A$1001,"&gt;="&amp;(A339-설정!$B$6),$H$2:$H$1001,"&gt;=0"))</f>
        <v/>
      </c>
      <c r="K339" s="21" t="str">
        <f aca="false">IF(I339="","",H339/I339-1)</f>
        <v/>
      </c>
      <c r="L339" s="19" t="str">
        <f aca="false">IF(H339="","",IF(J339&lt;설정!$B$7,"baseline 수집 중",IF(K339&lt;=-설정!$B$8,"저하","정상")))</f>
        <v/>
      </c>
      <c r="M339" s="20"/>
    </row>
    <row r="340" customFormat="false" ht="15" hidden="false" customHeight="false" outlineLevel="0" collapsed="false">
      <c r="A340" s="16"/>
      <c r="B340" s="17"/>
      <c r="C340" s="17"/>
      <c r="D340" s="17"/>
      <c r="E340" s="17"/>
      <c r="F340" s="17"/>
      <c r="G340" s="18" t="str">
        <f aca="false">IF(COUNT(D340:F340)=0,"",MAX(D340:F340))</f>
        <v/>
      </c>
      <c r="H340" s="18" t="str">
        <f aca="false">IF(COUNT(D340:F340)=0,"",ROUND(AVERAGE(D340:F340),1))</f>
        <v/>
      </c>
      <c r="I340" s="18" t="str">
        <f aca="false">IF(H340="","",IF(J340&lt;설정!$B$7,"",ROUND(AVERAGEIFS($H$2:$H$1001,$B$2:$B$1001,B340,$A$2:$A$1001,"&lt;"&amp;A340,$A$2:$A$1001,"&gt;="&amp;(A340-설정!$B$6)),1)))</f>
        <v/>
      </c>
      <c r="J340" s="18" t="str">
        <f aca="false">IF(H340="","",COUNTIFS($B$2:$B$1001,B340,$A$2:$A$1001,"&lt;"&amp;A340,$A$2:$A$1001,"&gt;="&amp;(A340-설정!$B$6),$H$2:$H$1001,"&gt;=0"))</f>
        <v/>
      </c>
      <c r="K340" s="21" t="str">
        <f aca="false">IF(I340="","",H340/I340-1)</f>
        <v/>
      </c>
      <c r="L340" s="19" t="str">
        <f aca="false">IF(H340="","",IF(J340&lt;설정!$B$7,"baseline 수집 중",IF(K340&lt;=-설정!$B$8,"저하","정상")))</f>
        <v/>
      </c>
      <c r="M340" s="20"/>
    </row>
    <row r="341" customFormat="false" ht="15" hidden="false" customHeight="false" outlineLevel="0" collapsed="false">
      <c r="A341" s="16"/>
      <c r="B341" s="17"/>
      <c r="C341" s="17"/>
      <c r="D341" s="17"/>
      <c r="E341" s="17"/>
      <c r="F341" s="17"/>
      <c r="G341" s="18" t="str">
        <f aca="false">IF(COUNT(D341:F341)=0,"",MAX(D341:F341))</f>
        <v/>
      </c>
      <c r="H341" s="18" t="str">
        <f aca="false">IF(COUNT(D341:F341)=0,"",ROUND(AVERAGE(D341:F341),1))</f>
        <v/>
      </c>
      <c r="I341" s="18" t="str">
        <f aca="false">IF(H341="","",IF(J341&lt;설정!$B$7,"",ROUND(AVERAGEIFS($H$2:$H$1001,$B$2:$B$1001,B341,$A$2:$A$1001,"&lt;"&amp;A341,$A$2:$A$1001,"&gt;="&amp;(A341-설정!$B$6)),1)))</f>
        <v/>
      </c>
      <c r="J341" s="18" t="str">
        <f aca="false">IF(H341="","",COUNTIFS($B$2:$B$1001,B341,$A$2:$A$1001,"&lt;"&amp;A341,$A$2:$A$1001,"&gt;="&amp;(A341-설정!$B$6),$H$2:$H$1001,"&gt;=0"))</f>
        <v/>
      </c>
      <c r="K341" s="21" t="str">
        <f aca="false">IF(I341="","",H341/I341-1)</f>
        <v/>
      </c>
      <c r="L341" s="19" t="str">
        <f aca="false">IF(H341="","",IF(J341&lt;설정!$B$7,"baseline 수집 중",IF(K341&lt;=-설정!$B$8,"저하","정상")))</f>
        <v/>
      </c>
      <c r="M341" s="20"/>
    </row>
    <row r="342" customFormat="false" ht="15" hidden="false" customHeight="false" outlineLevel="0" collapsed="false">
      <c r="A342" s="16"/>
      <c r="B342" s="17"/>
      <c r="C342" s="17"/>
      <c r="D342" s="17"/>
      <c r="E342" s="17"/>
      <c r="F342" s="17"/>
      <c r="G342" s="18" t="str">
        <f aca="false">IF(COUNT(D342:F342)=0,"",MAX(D342:F342))</f>
        <v/>
      </c>
      <c r="H342" s="18" t="str">
        <f aca="false">IF(COUNT(D342:F342)=0,"",ROUND(AVERAGE(D342:F342),1))</f>
        <v/>
      </c>
      <c r="I342" s="18" t="str">
        <f aca="false">IF(H342="","",IF(J342&lt;설정!$B$7,"",ROUND(AVERAGEIFS($H$2:$H$1001,$B$2:$B$1001,B342,$A$2:$A$1001,"&lt;"&amp;A342,$A$2:$A$1001,"&gt;="&amp;(A342-설정!$B$6)),1)))</f>
        <v/>
      </c>
      <c r="J342" s="18" t="str">
        <f aca="false">IF(H342="","",COUNTIFS($B$2:$B$1001,B342,$A$2:$A$1001,"&lt;"&amp;A342,$A$2:$A$1001,"&gt;="&amp;(A342-설정!$B$6),$H$2:$H$1001,"&gt;=0"))</f>
        <v/>
      </c>
      <c r="K342" s="21" t="str">
        <f aca="false">IF(I342="","",H342/I342-1)</f>
        <v/>
      </c>
      <c r="L342" s="19" t="str">
        <f aca="false">IF(H342="","",IF(J342&lt;설정!$B$7,"baseline 수집 중",IF(K342&lt;=-설정!$B$8,"저하","정상")))</f>
        <v/>
      </c>
      <c r="M342" s="20"/>
    </row>
    <row r="343" customFormat="false" ht="15" hidden="false" customHeight="false" outlineLevel="0" collapsed="false">
      <c r="A343" s="16"/>
      <c r="B343" s="17"/>
      <c r="C343" s="17"/>
      <c r="D343" s="17"/>
      <c r="E343" s="17"/>
      <c r="F343" s="17"/>
      <c r="G343" s="18" t="str">
        <f aca="false">IF(COUNT(D343:F343)=0,"",MAX(D343:F343))</f>
        <v/>
      </c>
      <c r="H343" s="18" t="str">
        <f aca="false">IF(COUNT(D343:F343)=0,"",ROUND(AVERAGE(D343:F343),1))</f>
        <v/>
      </c>
      <c r="I343" s="18" t="str">
        <f aca="false">IF(H343="","",IF(J343&lt;설정!$B$7,"",ROUND(AVERAGEIFS($H$2:$H$1001,$B$2:$B$1001,B343,$A$2:$A$1001,"&lt;"&amp;A343,$A$2:$A$1001,"&gt;="&amp;(A343-설정!$B$6)),1)))</f>
        <v/>
      </c>
      <c r="J343" s="18" t="str">
        <f aca="false">IF(H343="","",COUNTIFS($B$2:$B$1001,B343,$A$2:$A$1001,"&lt;"&amp;A343,$A$2:$A$1001,"&gt;="&amp;(A343-설정!$B$6),$H$2:$H$1001,"&gt;=0"))</f>
        <v/>
      </c>
      <c r="K343" s="21" t="str">
        <f aca="false">IF(I343="","",H343/I343-1)</f>
        <v/>
      </c>
      <c r="L343" s="19" t="str">
        <f aca="false">IF(H343="","",IF(J343&lt;설정!$B$7,"baseline 수집 중",IF(K343&lt;=-설정!$B$8,"저하","정상")))</f>
        <v/>
      </c>
      <c r="M343" s="20"/>
    </row>
    <row r="344" customFormat="false" ht="15" hidden="false" customHeight="false" outlineLevel="0" collapsed="false">
      <c r="A344" s="16"/>
      <c r="B344" s="17"/>
      <c r="C344" s="17"/>
      <c r="D344" s="17"/>
      <c r="E344" s="17"/>
      <c r="F344" s="17"/>
      <c r="G344" s="18" t="str">
        <f aca="false">IF(COUNT(D344:F344)=0,"",MAX(D344:F344))</f>
        <v/>
      </c>
      <c r="H344" s="18" t="str">
        <f aca="false">IF(COUNT(D344:F344)=0,"",ROUND(AVERAGE(D344:F344),1))</f>
        <v/>
      </c>
      <c r="I344" s="18" t="str">
        <f aca="false">IF(H344="","",IF(J344&lt;설정!$B$7,"",ROUND(AVERAGEIFS($H$2:$H$1001,$B$2:$B$1001,B344,$A$2:$A$1001,"&lt;"&amp;A344,$A$2:$A$1001,"&gt;="&amp;(A344-설정!$B$6)),1)))</f>
        <v/>
      </c>
      <c r="J344" s="18" t="str">
        <f aca="false">IF(H344="","",COUNTIFS($B$2:$B$1001,B344,$A$2:$A$1001,"&lt;"&amp;A344,$A$2:$A$1001,"&gt;="&amp;(A344-설정!$B$6),$H$2:$H$1001,"&gt;=0"))</f>
        <v/>
      </c>
      <c r="K344" s="21" t="str">
        <f aca="false">IF(I344="","",H344/I344-1)</f>
        <v/>
      </c>
      <c r="L344" s="19" t="str">
        <f aca="false">IF(H344="","",IF(J344&lt;설정!$B$7,"baseline 수집 중",IF(K344&lt;=-설정!$B$8,"저하","정상")))</f>
        <v/>
      </c>
      <c r="M344" s="20"/>
    </row>
    <row r="345" customFormat="false" ht="15" hidden="false" customHeight="false" outlineLevel="0" collapsed="false">
      <c r="A345" s="16"/>
      <c r="B345" s="17"/>
      <c r="C345" s="17"/>
      <c r="D345" s="17"/>
      <c r="E345" s="17"/>
      <c r="F345" s="17"/>
      <c r="G345" s="18" t="str">
        <f aca="false">IF(COUNT(D345:F345)=0,"",MAX(D345:F345))</f>
        <v/>
      </c>
      <c r="H345" s="18" t="str">
        <f aca="false">IF(COUNT(D345:F345)=0,"",ROUND(AVERAGE(D345:F345),1))</f>
        <v/>
      </c>
      <c r="I345" s="18" t="str">
        <f aca="false">IF(H345="","",IF(J345&lt;설정!$B$7,"",ROUND(AVERAGEIFS($H$2:$H$1001,$B$2:$B$1001,B345,$A$2:$A$1001,"&lt;"&amp;A345,$A$2:$A$1001,"&gt;="&amp;(A345-설정!$B$6)),1)))</f>
        <v/>
      </c>
      <c r="J345" s="18" t="str">
        <f aca="false">IF(H345="","",COUNTIFS($B$2:$B$1001,B345,$A$2:$A$1001,"&lt;"&amp;A345,$A$2:$A$1001,"&gt;="&amp;(A345-설정!$B$6),$H$2:$H$1001,"&gt;=0"))</f>
        <v/>
      </c>
      <c r="K345" s="21" t="str">
        <f aca="false">IF(I345="","",H345/I345-1)</f>
        <v/>
      </c>
      <c r="L345" s="19" t="str">
        <f aca="false">IF(H345="","",IF(J345&lt;설정!$B$7,"baseline 수집 중",IF(K345&lt;=-설정!$B$8,"저하","정상")))</f>
        <v/>
      </c>
      <c r="M345" s="20"/>
    </row>
    <row r="346" customFormat="false" ht="15" hidden="false" customHeight="false" outlineLevel="0" collapsed="false">
      <c r="A346" s="16"/>
      <c r="B346" s="17"/>
      <c r="C346" s="17"/>
      <c r="D346" s="17"/>
      <c r="E346" s="17"/>
      <c r="F346" s="17"/>
      <c r="G346" s="18" t="str">
        <f aca="false">IF(COUNT(D346:F346)=0,"",MAX(D346:F346))</f>
        <v/>
      </c>
      <c r="H346" s="18" t="str">
        <f aca="false">IF(COUNT(D346:F346)=0,"",ROUND(AVERAGE(D346:F346),1))</f>
        <v/>
      </c>
      <c r="I346" s="18" t="str">
        <f aca="false">IF(H346="","",IF(J346&lt;설정!$B$7,"",ROUND(AVERAGEIFS($H$2:$H$1001,$B$2:$B$1001,B346,$A$2:$A$1001,"&lt;"&amp;A346,$A$2:$A$1001,"&gt;="&amp;(A346-설정!$B$6)),1)))</f>
        <v/>
      </c>
      <c r="J346" s="18" t="str">
        <f aca="false">IF(H346="","",COUNTIFS($B$2:$B$1001,B346,$A$2:$A$1001,"&lt;"&amp;A346,$A$2:$A$1001,"&gt;="&amp;(A346-설정!$B$6),$H$2:$H$1001,"&gt;=0"))</f>
        <v/>
      </c>
      <c r="K346" s="21" t="str">
        <f aca="false">IF(I346="","",H346/I346-1)</f>
        <v/>
      </c>
      <c r="L346" s="19" t="str">
        <f aca="false">IF(H346="","",IF(J346&lt;설정!$B$7,"baseline 수집 중",IF(K346&lt;=-설정!$B$8,"저하","정상")))</f>
        <v/>
      </c>
      <c r="M346" s="20"/>
    </row>
    <row r="347" customFormat="false" ht="15" hidden="false" customHeight="false" outlineLevel="0" collapsed="false">
      <c r="A347" s="16"/>
      <c r="B347" s="17"/>
      <c r="C347" s="17"/>
      <c r="D347" s="17"/>
      <c r="E347" s="17"/>
      <c r="F347" s="17"/>
      <c r="G347" s="18" t="str">
        <f aca="false">IF(COUNT(D347:F347)=0,"",MAX(D347:F347))</f>
        <v/>
      </c>
      <c r="H347" s="18" t="str">
        <f aca="false">IF(COUNT(D347:F347)=0,"",ROUND(AVERAGE(D347:F347),1))</f>
        <v/>
      </c>
      <c r="I347" s="18" t="str">
        <f aca="false">IF(H347="","",IF(J347&lt;설정!$B$7,"",ROUND(AVERAGEIFS($H$2:$H$1001,$B$2:$B$1001,B347,$A$2:$A$1001,"&lt;"&amp;A347,$A$2:$A$1001,"&gt;="&amp;(A347-설정!$B$6)),1)))</f>
        <v/>
      </c>
      <c r="J347" s="18" t="str">
        <f aca="false">IF(H347="","",COUNTIFS($B$2:$B$1001,B347,$A$2:$A$1001,"&lt;"&amp;A347,$A$2:$A$1001,"&gt;="&amp;(A347-설정!$B$6),$H$2:$H$1001,"&gt;=0"))</f>
        <v/>
      </c>
      <c r="K347" s="21" t="str">
        <f aca="false">IF(I347="","",H347/I347-1)</f>
        <v/>
      </c>
      <c r="L347" s="19" t="str">
        <f aca="false">IF(H347="","",IF(J347&lt;설정!$B$7,"baseline 수집 중",IF(K347&lt;=-설정!$B$8,"저하","정상")))</f>
        <v/>
      </c>
      <c r="M347" s="20"/>
    </row>
    <row r="348" customFormat="false" ht="15" hidden="false" customHeight="false" outlineLevel="0" collapsed="false">
      <c r="A348" s="16"/>
      <c r="B348" s="17"/>
      <c r="C348" s="17"/>
      <c r="D348" s="17"/>
      <c r="E348" s="17"/>
      <c r="F348" s="17"/>
      <c r="G348" s="18" t="str">
        <f aca="false">IF(COUNT(D348:F348)=0,"",MAX(D348:F348))</f>
        <v/>
      </c>
      <c r="H348" s="18" t="str">
        <f aca="false">IF(COUNT(D348:F348)=0,"",ROUND(AVERAGE(D348:F348),1))</f>
        <v/>
      </c>
      <c r="I348" s="18" t="str">
        <f aca="false">IF(H348="","",IF(J348&lt;설정!$B$7,"",ROUND(AVERAGEIFS($H$2:$H$1001,$B$2:$B$1001,B348,$A$2:$A$1001,"&lt;"&amp;A348,$A$2:$A$1001,"&gt;="&amp;(A348-설정!$B$6)),1)))</f>
        <v/>
      </c>
      <c r="J348" s="18" t="str">
        <f aca="false">IF(H348="","",COUNTIFS($B$2:$B$1001,B348,$A$2:$A$1001,"&lt;"&amp;A348,$A$2:$A$1001,"&gt;="&amp;(A348-설정!$B$6),$H$2:$H$1001,"&gt;=0"))</f>
        <v/>
      </c>
      <c r="K348" s="21" t="str">
        <f aca="false">IF(I348="","",H348/I348-1)</f>
        <v/>
      </c>
      <c r="L348" s="19" t="str">
        <f aca="false">IF(H348="","",IF(J348&lt;설정!$B$7,"baseline 수집 중",IF(K348&lt;=-설정!$B$8,"저하","정상")))</f>
        <v/>
      </c>
      <c r="M348" s="20"/>
    </row>
    <row r="349" customFormat="false" ht="15" hidden="false" customHeight="false" outlineLevel="0" collapsed="false">
      <c r="A349" s="16"/>
      <c r="B349" s="17"/>
      <c r="C349" s="17"/>
      <c r="D349" s="17"/>
      <c r="E349" s="17"/>
      <c r="F349" s="17"/>
      <c r="G349" s="18" t="str">
        <f aca="false">IF(COUNT(D349:F349)=0,"",MAX(D349:F349))</f>
        <v/>
      </c>
      <c r="H349" s="18" t="str">
        <f aca="false">IF(COUNT(D349:F349)=0,"",ROUND(AVERAGE(D349:F349),1))</f>
        <v/>
      </c>
      <c r="I349" s="18" t="str">
        <f aca="false">IF(H349="","",IF(J349&lt;설정!$B$7,"",ROUND(AVERAGEIFS($H$2:$H$1001,$B$2:$B$1001,B349,$A$2:$A$1001,"&lt;"&amp;A349,$A$2:$A$1001,"&gt;="&amp;(A349-설정!$B$6)),1)))</f>
        <v/>
      </c>
      <c r="J349" s="18" t="str">
        <f aca="false">IF(H349="","",COUNTIFS($B$2:$B$1001,B349,$A$2:$A$1001,"&lt;"&amp;A349,$A$2:$A$1001,"&gt;="&amp;(A349-설정!$B$6),$H$2:$H$1001,"&gt;=0"))</f>
        <v/>
      </c>
      <c r="K349" s="21" t="str">
        <f aca="false">IF(I349="","",H349/I349-1)</f>
        <v/>
      </c>
      <c r="L349" s="19" t="str">
        <f aca="false">IF(H349="","",IF(J349&lt;설정!$B$7,"baseline 수집 중",IF(K349&lt;=-설정!$B$8,"저하","정상")))</f>
        <v/>
      </c>
      <c r="M349" s="20"/>
    </row>
    <row r="350" customFormat="false" ht="15" hidden="false" customHeight="false" outlineLevel="0" collapsed="false">
      <c r="A350" s="16"/>
      <c r="B350" s="17"/>
      <c r="C350" s="17"/>
      <c r="D350" s="17"/>
      <c r="E350" s="17"/>
      <c r="F350" s="17"/>
      <c r="G350" s="18" t="str">
        <f aca="false">IF(COUNT(D350:F350)=0,"",MAX(D350:F350))</f>
        <v/>
      </c>
      <c r="H350" s="18" t="str">
        <f aca="false">IF(COUNT(D350:F350)=0,"",ROUND(AVERAGE(D350:F350),1))</f>
        <v/>
      </c>
      <c r="I350" s="18" t="str">
        <f aca="false">IF(H350="","",IF(J350&lt;설정!$B$7,"",ROUND(AVERAGEIFS($H$2:$H$1001,$B$2:$B$1001,B350,$A$2:$A$1001,"&lt;"&amp;A350,$A$2:$A$1001,"&gt;="&amp;(A350-설정!$B$6)),1)))</f>
        <v/>
      </c>
      <c r="J350" s="18" t="str">
        <f aca="false">IF(H350="","",COUNTIFS($B$2:$B$1001,B350,$A$2:$A$1001,"&lt;"&amp;A350,$A$2:$A$1001,"&gt;="&amp;(A350-설정!$B$6),$H$2:$H$1001,"&gt;=0"))</f>
        <v/>
      </c>
      <c r="K350" s="21" t="str">
        <f aca="false">IF(I350="","",H350/I350-1)</f>
        <v/>
      </c>
      <c r="L350" s="19" t="str">
        <f aca="false">IF(H350="","",IF(J350&lt;설정!$B$7,"baseline 수집 중",IF(K350&lt;=-설정!$B$8,"저하","정상")))</f>
        <v/>
      </c>
      <c r="M350" s="20"/>
    </row>
    <row r="351" customFormat="false" ht="15" hidden="false" customHeight="false" outlineLevel="0" collapsed="false">
      <c r="A351" s="16"/>
      <c r="B351" s="17"/>
      <c r="C351" s="17"/>
      <c r="D351" s="17"/>
      <c r="E351" s="17"/>
      <c r="F351" s="17"/>
      <c r="G351" s="18" t="str">
        <f aca="false">IF(COUNT(D351:F351)=0,"",MAX(D351:F351))</f>
        <v/>
      </c>
      <c r="H351" s="18" t="str">
        <f aca="false">IF(COUNT(D351:F351)=0,"",ROUND(AVERAGE(D351:F351),1))</f>
        <v/>
      </c>
      <c r="I351" s="18" t="str">
        <f aca="false">IF(H351="","",IF(J351&lt;설정!$B$7,"",ROUND(AVERAGEIFS($H$2:$H$1001,$B$2:$B$1001,B351,$A$2:$A$1001,"&lt;"&amp;A351,$A$2:$A$1001,"&gt;="&amp;(A351-설정!$B$6)),1)))</f>
        <v/>
      </c>
      <c r="J351" s="18" t="str">
        <f aca="false">IF(H351="","",COUNTIFS($B$2:$B$1001,B351,$A$2:$A$1001,"&lt;"&amp;A351,$A$2:$A$1001,"&gt;="&amp;(A351-설정!$B$6),$H$2:$H$1001,"&gt;=0"))</f>
        <v/>
      </c>
      <c r="K351" s="21" t="str">
        <f aca="false">IF(I351="","",H351/I351-1)</f>
        <v/>
      </c>
      <c r="L351" s="19" t="str">
        <f aca="false">IF(H351="","",IF(J351&lt;설정!$B$7,"baseline 수집 중",IF(K351&lt;=-설정!$B$8,"저하","정상")))</f>
        <v/>
      </c>
      <c r="M351" s="20"/>
    </row>
    <row r="352" customFormat="false" ht="15" hidden="false" customHeight="false" outlineLevel="0" collapsed="false">
      <c r="A352" s="16"/>
      <c r="B352" s="17"/>
      <c r="C352" s="17"/>
      <c r="D352" s="17"/>
      <c r="E352" s="17"/>
      <c r="F352" s="17"/>
      <c r="G352" s="18" t="str">
        <f aca="false">IF(COUNT(D352:F352)=0,"",MAX(D352:F352))</f>
        <v/>
      </c>
      <c r="H352" s="18" t="str">
        <f aca="false">IF(COUNT(D352:F352)=0,"",ROUND(AVERAGE(D352:F352),1))</f>
        <v/>
      </c>
      <c r="I352" s="18" t="str">
        <f aca="false">IF(H352="","",IF(J352&lt;설정!$B$7,"",ROUND(AVERAGEIFS($H$2:$H$1001,$B$2:$B$1001,B352,$A$2:$A$1001,"&lt;"&amp;A352,$A$2:$A$1001,"&gt;="&amp;(A352-설정!$B$6)),1)))</f>
        <v/>
      </c>
      <c r="J352" s="18" t="str">
        <f aca="false">IF(H352="","",COUNTIFS($B$2:$B$1001,B352,$A$2:$A$1001,"&lt;"&amp;A352,$A$2:$A$1001,"&gt;="&amp;(A352-설정!$B$6),$H$2:$H$1001,"&gt;=0"))</f>
        <v/>
      </c>
      <c r="K352" s="21" t="str">
        <f aca="false">IF(I352="","",H352/I352-1)</f>
        <v/>
      </c>
      <c r="L352" s="19" t="str">
        <f aca="false">IF(H352="","",IF(J352&lt;설정!$B$7,"baseline 수집 중",IF(K352&lt;=-설정!$B$8,"저하","정상")))</f>
        <v/>
      </c>
      <c r="M352" s="20"/>
    </row>
    <row r="353" customFormat="false" ht="15" hidden="false" customHeight="false" outlineLevel="0" collapsed="false">
      <c r="A353" s="16"/>
      <c r="B353" s="17"/>
      <c r="C353" s="17"/>
      <c r="D353" s="17"/>
      <c r="E353" s="17"/>
      <c r="F353" s="17"/>
      <c r="G353" s="18" t="str">
        <f aca="false">IF(COUNT(D353:F353)=0,"",MAX(D353:F353))</f>
        <v/>
      </c>
      <c r="H353" s="18" t="str">
        <f aca="false">IF(COUNT(D353:F353)=0,"",ROUND(AVERAGE(D353:F353),1))</f>
        <v/>
      </c>
      <c r="I353" s="18" t="str">
        <f aca="false">IF(H353="","",IF(J353&lt;설정!$B$7,"",ROUND(AVERAGEIFS($H$2:$H$1001,$B$2:$B$1001,B353,$A$2:$A$1001,"&lt;"&amp;A353,$A$2:$A$1001,"&gt;="&amp;(A353-설정!$B$6)),1)))</f>
        <v/>
      </c>
      <c r="J353" s="18" t="str">
        <f aca="false">IF(H353="","",COUNTIFS($B$2:$B$1001,B353,$A$2:$A$1001,"&lt;"&amp;A353,$A$2:$A$1001,"&gt;="&amp;(A353-설정!$B$6),$H$2:$H$1001,"&gt;=0"))</f>
        <v/>
      </c>
      <c r="K353" s="21" t="str">
        <f aca="false">IF(I353="","",H353/I353-1)</f>
        <v/>
      </c>
      <c r="L353" s="19" t="str">
        <f aca="false">IF(H353="","",IF(J353&lt;설정!$B$7,"baseline 수집 중",IF(K353&lt;=-설정!$B$8,"저하","정상")))</f>
        <v/>
      </c>
      <c r="M353" s="20"/>
    </row>
    <row r="354" customFormat="false" ht="15" hidden="false" customHeight="false" outlineLevel="0" collapsed="false">
      <c r="A354" s="16"/>
      <c r="B354" s="17"/>
      <c r="C354" s="17"/>
      <c r="D354" s="17"/>
      <c r="E354" s="17"/>
      <c r="F354" s="17"/>
      <c r="G354" s="18" t="str">
        <f aca="false">IF(COUNT(D354:F354)=0,"",MAX(D354:F354))</f>
        <v/>
      </c>
      <c r="H354" s="18" t="str">
        <f aca="false">IF(COUNT(D354:F354)=0,"",ROUND(AVERAGE(D354:F354),1))</f>
        <v/>
      </c>
      <c r="I354" s="18" t="str">
        <f aca="false">IF(H354="","",IF(J354&lt;설정!$B$7,"",ROUND(AVERAGEIFS($H$2:$H$1001,$B$2:$B$1001,B354,$A$2:$A$1001,"&lt;"&amp;A354,$A$2:$A$1001,"&gt;="&amp;(A354-설정!$B$6)),1)))</f>
        <v/>
      </c>
      <c r="J354" s="18" t="str">
        <f aca="false">IF(H354="","",COUNTIFS($B$2:$B$1001,B354,$A$2:$A$1001,"&lt;"&amp;A354,$A$2:$A$1001,"&gt;="&amp;(A354-설정!$B$6),$H$2:$H$1001,"&gt;=0"))</f>
        <v/>
      </c>
      <c r="K354" s="21" t="str">
        <f aca="false">IF(I354="","",H354/I354-1)</f>
        <v/>
      </c>
      <c r="L354" s="19" t="str">
        <f aca="false">IF(H354="","",IF(J354&lt;설정!$B$7,"baseline 수집 중",IF(K354&lt;=-설정!$B$8,"저하","정상")))</f>
        <v/>
      </c>
      <c r="M354" s="20"/>
    </row>
    <row r="355" customFormat="false" ht="15" hidden="false" customHeight="false" outlineLevel="0" collapsed="false">
      <c r="A355" s="16"/>
      <c r="B355" s="17"/>
      <c r="C355" s="17"/>
      <c r="D355" s="17"/>
      <c r="E355" s="17"/>
      <c r="F355" s="17"/>
      <c r="G355" s="18" t="str">
        <f aca="false">IF(COUNT(D355:F355)=0,"",MAX(D355:F355))</f>
        <v/>
      </c>
      <c r="H355" s="18" t="str">
        <f aca="false">IF(COUNT(D355:F355)=0,"",ROUND(AVERAGE(D355:F355),1))</f>
        <v/>
      </c>
      <c r="I355" s="18" t="str">
        <f aca="false">IF(H355="","",IF(J355&lt;설정!$B$7,"",ROUND(AVERAGEIFS($H$2:$H$1001,$B$2:$B$1001,B355,$A$2:$A$1001,"&lt;"&amp;A355,$A$2:$A$1001,"&gt;="&amp;(A355-설정!$B$6)),1)))</f>
        <v/>
      </c>
      <c r="J355" s="18" t="str">
        <f aca="false">IF(H355="","",COUNTIFS($B$2:$B$1001,B355,$A$2:$A$1001,"&lt;"&amp;A355,$A$2:$A$1001,"&gt;="&amp;(A355-설정!$B$6),$H$2:$H$1001,"&gt;=0"))</f>
        <v/>
      </c>
      <c r="K355" s="21" t="str">
        <f aca="false">IF(I355="","",H355/I355-1)</f>
        <v/>
      </c>
      <c r="L355" s="19" t="str">
        <f aca="false">IF(H355="","",IF(J355&lt;설정!$B$7,"baseline 수집 중",IF(K355&lt;=-설정!$B$8,"저하","정상")))</f>
        <v/>
      </c>
      <c r="M355" s="20"/>
    </row>
    <row r="356" customFormat="false" ht="15" hidden="false" customHeight="false" outlineLevel="0" collapsed="false">
      <c r="A356" s="16"/>
      <c r="B356" s="17"/>
      <c r="C356" s="17"/>
      <c r="D356" s="17"/>
      <c r="E356" s="17"/>
      <c r="F356" s="17"/>
      <c r="G356" s="18" t="str">
        <f aca="false">IF(COUNT(D356:F356)=0,"",MAX(D356:F356))</f>
        <v/>
      </c>
      <c r="H356" s="18" t="str">
        <f aca="false">IF(COUNT(D356:F356)=0,"",ROUND(AVERAGE(D356:F356),1))</f>
        <v/>
      </c>
      <c r="I356" s="18" t="str">
        <f aca="false">IF(H356="","",IF(J356&lt;설정!$B$7,"",ROUND(AVERAGEIFS($H$2:$H$1001,$B$2:$B$1001,B356,$A$2:$A$1001,"&lt;"&amp;A356,$A$2:$A$1001,"&gt;="&amp;(A356-설정!$B$6)),1)))</f>
        <v/>
      </c>
      <c r="J356" s="18" t="str">
        <f aca="false">IF(H356="","",COUNTIFS($B$2:$B$1001,B356,$A$2:$A$1001,"&lt;"&amp;A356,$A$2:$A$1001,"&gt;="&amp;(A356-설정!$B$6),$H$2:$H$1001,"&gt;=0"))</f>
        <v/>
      </c>
      <c r="K356" s="21" t="str">
        <f aca="false">IF(I356="","",H356/I356-1)</f>
        <v/>
      </c>
      <c r="L356" s="19" t="str">
        <f aca="false">IF(H356="","",IF(J356&lt;설정!$B$7,"baseline 수집 중",IF(K356&lt;=-설정!$B$8,"저하","정상")))</f>
        <v/>
      </c>
      <c r="M356" s="20"/>
    </row>
    <row r="357" customFormat="false" ht="15" hidden="false" customHeight="false" outlineLevel="0" collapsed="false">
      <c r="A357" s="16"/>
      <c r="B357" s="17"/>
      <c r="C357" s="17"/>
      <c r="D357" s="17"/>
      <c r="E357" s="17"/>
      <c r="F357" s="17"/>
      <c r="G357" s="18" t="str">
        <f aca="false">IF(COUNT(D357:F357)=0,"",MAX(D357:F357))</f>
        <v/>
      </c>
      <c r="H357" s="18" t="str">
        <f aca="false">IF(COUNT(D357:F357)=0,"",ROUND(AVERAGE(D357:F357),1))</f>
        <v/>
      </c>
      <c r="I357" s="18" t="str">
        <f aca="false">IF(H357="","",IF(J357&lt;설정!$B$7,"",ROUND(AVERAGEIFS($H$2:$H$1001,$B$2:$B$1001,B357,$A$2:$A$1001,"&lt;"&amp;A357,$A$2:$A$1001,"&gt;="&amp;(A357-설정!$B$6)),1)))</f>
        <v/>
      </c>
      <c r="J357" s="18" t="str">
        <f aca="false">IF(H357="","",COUNTIFS($B$2:$B$1001,B357,$A$2:$A$1001,"&lt;"&amp;A357,$A$2:$A$1001,"&gt;="&amp;(A357-설정!$B$6),$H$2:$H$1001,"&gt;=0"))</f>
        <v/>
      </c>
      <c r="K357" s="21" t="str">
        <f aca="false">IF(I357="","",H357/I357-1)</f>
        <v/>
      </c>
      <c r="L357" s="19" t="str">
        <f aca="false">IF(H357="","",IF(J357&lt;설정!$B$7,"baseline 수집 중",IF(K357&lt;=-설정!$B$8,"저하","정상")))</f>
        <v/>
      </c>
      <c r="M357" s="20"/>
    </row>
    <row r="358" customFormat="false" ht="15" hidden="false" customHeight="false" outlineLevel="0" collapsed="false">
      <c r="A358" s="16"/>
      <c r="B358" s="17"/>
      <c r="C358" s="17"/>
      <c r="D358" s="17"/>
      <c r="E358" s="17"/>
      <c r="F358" s="17"/>
      <c r="G358" s="18" t="str">
        <f aca="false">IF(COUNT(D358:F358)=0,"",MAX(D358:F358))</f>
        <v/>
      </c>
      <c r="H358" s="18" t="str">
        <f aca="false">IF(COUNT(D358:F358)=0,"",ROUND(AVERAGE(D358:F358),1))</f>
        <v/>
      </c>
      <c r="I358" s="18" t="str">
        <f aca="false">IF(H358="","",IF(J358&lt;설정!$B$7,"",ROUND(AVERAGEIFS($H$2:$H$1001,$B$2:$B$1001,B358,$A$2:$A$1001,"&lt;"&amp;A358,$A$2:$A$1001,"&gt;="&amp;(A358-설정!$B$6)),1)))</f>
        <v/>
      </c>
      <c r="J358" s="18" t="str">
        <f aca="false">IF(H358="","",COUNTIFS($B$2:$B$1001,B358,$A$2:$A$1001,"&lt;"&amp;A358,$A$2:$A$1001,"&gt;="&amp;(A358-설정!$B$6),$H$2:$H$1001,"&gt;=0"))</f>
        <v/>
      </c>
      <c r="K358" s="21" t="str">
        <f aca="false">IF(I358="","",H358/I358-1)</f>
        <v/>
      </c>
      <c r="L358" s="19" t="str">
        <f aca="false">IF(H358="","",IF(J358&lt;설정!$B$7,"baseline 수집 중",IF(K358&lt;=-설정!$B$8,"저하","정상")))</f>
        <v/>
      </c>
      <c r="M358" s="20"/>
    </row>
    <row r="359" customFormat="false" ht="15" hidden="false" customHeight="false" outlineLevel="0" collapsed="false">
      <c r="A359" s="16"/>
      <c r="B359" s="17"/>
      <c r="C359" s="17"/>
      <c r="D359" s="17"/>
      <c r="E359" s="17"/>
      <c r="F359" s="17"/>
      <c r="G359" s="18" t="str">
        <f aca="false">IF(COUNT(D359:F359)=0,"",MAX(D359:F359))</f>
        <v/>
      </c>
      <c r="H359" s="18" t="str">
        <f aca="false">IF(COUNT(D359:F359)=0,"",ROUND(AVERAGE(D359:F359),1))</f>
        <v/>
      </c>
      <c r="I359" s="18" t="str">
        <f aca="false">IF(H359="","",IF(J359&lt;설정!$B$7,"",ROUND(AVERAGEIFS($H$2:$H$1001,$B$2:$B$1001,B359,$A$2:$A$1001,"&lt;"&amp;A359,$A$2:$A$1001,"&gt;="&amp;(A359-설정!$B$6)),1)))</f>
        <v/>
      </c>
      <c r="J359" s="18" t="str">
        <f aca="false">IF(H359="","",COUNTIFS($B$2:$B$1001,B359,$A$2:$A$1001,"&lt;"&amp;A359,$A$2:$A$1001,"&gt;="&amp;(A359-설정!$B$6),$H$2:$H$1001,"&gt;=0"))</f>
        <v/>
      </c>
      <c r="K359" s="21" t="str">
        <f aca="false">IF(I359="","",H359/I359-1)</f>
        <v/>
      </c>
      <c r="L359" s="19" t="str">
        <f aca="false">IF(H359="","",IF(J359&lt;설정!$B$7,"baseline 수집 중",IF(K359&lt;=-설정!$B$8,"저하","정상")))</f>
        <v/>
      </c>
      <c r="M359" s="20"/>
    </row>
    <row r="360" customFormat="false" ht="15" hidden="false" customHeight="false" outlineLevel="0" collapsed="false">
      <c r="A360" s="16"/>
      <c r="B360" s="17"/>
      <c r="C360" s="17"/>
      <c r="D360" s="17"/>
      <c r="E360" s="17"/>
      <c r="F360" s="17"/>
      <c r="G360" s="18" t="str">
        <f aca="false">IF(COUNT(D360:F360)=0,"",MAX(D360:F360))</f>
        <v/>
      </c>
      <c r="H360" s="18" t="str">
        <f aca="false">IF(COUNT(D360:F360)=0,"",ROUND(AVERAGE(D360:F360),1))</f>
        <v/>
      </c>
      <c r="I360" s="18" t="str">
        <f aca="false">IF(H360="","",IF(J360&lt;설정!$B$7,"",ROUND(AVERAGEIFS($H$2:$H$1001,$B$2:$B$1001,B360,$A$2:$A$1001,"&lt;"&amp;A360,$A$2:$A$1001,"&gt;="&amp;(A360-설정!$B$6)),1)))</f>
        <v/>
      </c>
      <c r="J360" s="18" t="str">
        <f aca="false">IF(H360="","",COUNTIFS($B$2:$B$1001,B360,$A$2:$A$1001,"&lt;"&amp;A360,$A$2:$A$1001,"&gt;="&amp;(A360-설정!$B$6),$H$2:$H$1001,"&gt;=0"))</f>
        <v/>
      </c>
      <c r="K360" s="21" t="str">
        <f aca="false">IF(I360="","",H360/I360-1)</f>
        <v/>
      </c>
      <c r="L360" s="19" t="str">
        <f aca="false">IF(H360="","",IF(J360&lt;설정!$B$7,"baseline 수집 중",IF(K360&lt;=-설정!$B$8,"저하","정상")))</f>
        <v/>
      </c>
      <c r="M360" s="20"/>
    </row>
    <row r="361" customFormat="false" ht="15" hidden="false" customHeight="false" outlineLevel="0" collapsed="false">
      <c r="A361" s="16"/>
      <c r="B361" s="17"/>
      <c r="C361" s="17"/>
      <c r="D361" s="17"/>
      <c r="E361" s="17"/>
      <c r="F361" s="17"/>
      <c r="G361" s="18" t="str">
        <f aca="false">IF(COUNT(D361:F361)=0,"",MAX(D361:F361))</f>
        <v/>
      </c>
      <c r="H361" s="18" t="str">
        <f aca="false">IF(COUNT(D361:F361)=0,"",ROUND(AVERAGE(D361:F361),1))</f>
        <v/>
      </c>
      <c r="I361" s="18" t="str">
        <f aca="false">IF(H361="","",IF(J361&lt;설정!$B$7,"",ROUND(AVERAGEIFS($H$2:$H$1001,$B$2:$B$1001,B361,$A$2:$A$1001,"&lt;"&amp;A361,$A$2:$A$1001,"&gt;="&amp;(A361-설정!$B$6)),1)))</f>
        <v/>
      </c>
      <c r="J361" s="18" t="str">
        <f aca="false">IF(H361="","",COUNTIFS($B$2:$B$1001,B361,$A$2:$A$1001,"&lt;"&amp;A361,$A$2:$A$1001,"&gt;="&amp;(A361-설정!$B$6),$H$2:$H$1001,"&gt;=0"))</f>
        <v/>
      </c>
      <c r="K361" s="21" t="str">
        <f aca="false">IF(I361="","",H361/I361-1)</f>
        <v/>
      </c>
      <c r="L361" s="19" t="str">
        <f aca="false">IF(H361="","",IF(J361&lt;설정!$B$7,"baseline 수집 중",IF(K361&lt;=-설정!$B$8,"저하","정상")))</f>
        <v/>
      </c>
      <c r="M361" s="20"/>
    </row>
    <row r="362" customFormat="false" ht="15" hidden="false" customHeight="false" outlineLevel="0" collapsed="false">
      <c r="A362" s="16"/>
      <c r="B362" s="17"/>
      <c r="C362" s="17"/>
      <c r="D362" s="17"/>
      <c r="E362" s="17"/>
      <c r="F362" s="17"/>
      <c r="G362" s="18" t="str">
        <f aca="false">IF(COUNT(D362:F362)=0,"",MAX(D362:F362))</f>
        <v/>
      </c>
      <c r="H362" s="18" t="str">
        <f aca="false">IF(COUNT(D362:F362)=0,"",ROUND(AVERAGE(D362:F362),1))</f>
        <v/>
      </c>
      <c r="I362" s="18" t="str">
        <f aca="false">IF(H362="","",IF(J362&lt;설정!$B$7,"",ROUND(AVERAGEIFS($H$2:$H$1001,$B$2:$B$1001,B362,$A$2:$A$1001,"&lt;"&amp;A362,$A$2:$A$1001,"&gt;="&amp;(A362-설정!$B$6)),1)))</f>
        <v/>
      </c>
      <c r="J362" s="18" t="str">
        <f aca="false">IF(H362="","",COUNTIFS($B$2:$B$1001,B362,$A$2:$A$1001,"&lt;"&amp;A362,$A$2:$A$1001,"&gt;="&amp;(A362-설정!$B$6),$H$2:$H$1001,"&gt;=0"))</f>
        <v/>
      </c>
      <c r="K362" s="21" t="str">
        <f aca="false">IF(I362="","",H362/I362-1)</f>
        <v/>
      </c>
      <c r="L362" s="19" t="str">
        <f aca="false">IF(H362="","",IF(J362&lt;설정!$B$7,"baseline 수집 중",IF(K362&lt;=-설정!$B$8,"저하","정상")))</f>
        <v/>
      </c>
      <c r="M362" s="20"/>
    </row>
    <row r="363" customFormat="false" ht="15" hidden="false" customHeight="false" outlineLevel="0" collapsed="false">
      <c r="A363" s="16"/>
      <c r="B363" s="17"/>
      <c r="C363" s="17"/>
      <c r="D363" s="17"/>
      <c r="E363" s="17"/>
      <c r="F363" s="17"/>
      <c r="G363" s="18" t="str">
        <f aca="false">IF(COUNT(D363:F363)=0,"",MAX(D363:F363))</f>
        <v/>
      </c>
      <c r="H363" s="18" t="str">
        <f aca="false">IF(COUNT(D363:F363)=0,"",ROUND(AVERAGE(D363:F363),1))</f>
        <v/>
      </c>
      <c r="I363" s="18" t="str">
        <f aca="false">IF(H363="","",IF(J363&lt;설정!$B$7,"",ROUND(AVERAGEIFS($H$2:$H$1001,$B$2:$B$1001,B363,$A$2:$A$1001,"&lt;"&amp;A363,$A$2:$A$1001,"&gt;="&amp;(A363-설정!$B$6)),1)))</f>
        <v/>
      </c>
      <c r="J363" s="18" t="str">
        <f aca="false">IF(H363="","",COUNTIFS($B$2:$B$1001,B363,$A$2:$A$1001,"&lt;"&amp;A363,$A$2:$A$1001,"&gt;="&amp;(A363-설정!$B$6),$H$2:$H$1001,"&gt;=0"))</f>
        <v/>
      </c>
      <c r="K363" s="21" t="str">
        <f aca="false">IF(I363="","",H363/I363-1)</f>
        <v/>
      </c>
      <c r="L363" s="19" t="str">
        <f aca="false">IF(H363="","",IF(J363&lt;설정!$B$7,"baseline 수집 중",IF(K363&lt;=-설정!$B$8,"저하","정상")))</f>
        <v/>
      </c>
      <c r="M363" s="20"/>
    </row>
    <row r="364" customFormat="false" ht="15" hidden="false" customHeight="false" outlineLevel="0" collapsed="false">
      <c r="A364" s="16"/>
      <c r="B364" s="17"/>
      <c r="C364" s="17"/>
      <c r="D364" s="17"/>
      <c r="E364" s="17"/>
      <c r="F364" s="17"/>
      <c r="G364" s="18" t="str">
        <f aca="false">IF(COUNT(D364:F364)=0,"",MAX(D364:F364))</f>
        <v/>
      </c>
      <c r="H364" s="18" t="str">
        <f aca="false">IF(COUNT(D364:F364)=0,"",ROUND(AVERAGE(D364:F364),1))</f>
        <v/>
      </c>
      <c r="I364" s="18" t="str">
        <f aca="false">IF(H364="","",IF(J364&lt;설정!$B$7,"",ROUND(AVERAGEIFS($H$2:$H$1001,$B$2:$B$1001,B364,$A$2:$A$1001,"&lt;"&amp;A364,$A$2:$A$1001,"&gt;="&amp;(A364-설정!$B$6)),1)))</f>
        <v/>
      </c>
      <c r="J364" s="18" t="str">
        <f aca="false">IF(H364="","",COUNTIFS($B$2:$B$1001,B364,$A$2:$A$1001,"&lt;"&amp;A364,$A$2:$A$1001,"&gt;="&amp;(A364-설정!$B$6),$H$2:$H$1001,"&gt;=0"))</f>
        <v/>
      </c>
      <c r="K364" s="21" t="str">
        <f aca="false">IF(I364="","",H364/I364-1)</f>
        <v/>
      </c>
      <c r="L364" s="19" t="str">
        <f aca="false">IF(H364="","",IF(J364&lt;설정!$B$7,"baseline 수집 중",IF(K364&lt;=-설정!$B$8,"저하","정상")))</f>
        <v/>
      </c>
      <c r="M364" s="20"/>
    </row>
    <row r="365" customFormat="false" ht="15" hidden="false" customHeight="false" outlineLevel="0" collapsed="false">
      <c r="A365" s="16"/>
      <c r="B365" s="17"/>
      <c r="C365" s="17"/>
      <c r="D365" s="17"/>
      <c r="E365" s="17"/>
      <c r="F365" s="17"/>
      <c r="G365" s="18" t="str">
        <f aca="false">IF(COUNT(D365:F365)=0,"",MAX(D365:F365))</f>
        <v/>
      </c>
      <c r="H365" s="18" t="str">
        <f aca="false">IF(COUNT(D365:F365)=0,"",ROUND(AVERAGE(D365:F365),1))</f>
        <v/>
      </c>
      <c r="I365" s="18" t="str">
        <f aca="false">IF(H365="","",IF(J365&lt;설정!$B$7,"",ROUND(AVERAGEIFS($H$2:$H$1001,$B$2:$B$1001,B365,$A$2:$A$1001,"&lt;"&amp;A365,$A$2:$A$1001,"&gt;="&amp;(A365-설정!$B$6)),1)))</f>
        <v/>
      </c>
      <c r="J365" s="18" t="str">
        <f aca="false">IF(H365="","",COUNTIFS($B$2:$B$1001,B365,$A$2:$A$1001,"&lt;"&amp;A365,$A$2:$A$1001,"&gt;="&amp;(A365-설정!$B$6),$H$2:$H$1001,"&gt;=0"))</f>
        <v/>
      </c>
      <c r="K365" s="21" t="str">
        <f aca="false">IF(I365="","",H365/I365-1)</f>
        <v/>
      </c>
      <c r="L365" s="19" t="str">
        <f aca="false">IF(H365="","",IF(J365&lt;설정!$B$7,"baseline 수집 중",IF(K365&lt;=-설정!$B$8,"저하","정상")))</f>
        <v/>
      </c>
      <c r="M365" s="20"/>
    </row>
    <row r="366" customFormat="false" ht="15" hidden="false" customHeight="false" outlineLevel="0" collapsed="false">
      <c r="A366" s="16"/>
      <c r="B366" s="17"/>
      <c r="C366" s="17"/>
      <c r="D366" s="17"/>
      <c r="E366" s="17"/>
      <c r="F366" s="17"/>
      <c r="G366" s="18" t="str">
        <f aca="false">IF(COUNT(D366:F366)=0,"",MAX(D366:F366))</f>
        <v/>
      </c>
      <c r="H366" s="18" t="str">
        <f aca="false">IF(COUNT(D366:F366)=0,"",ROUND(AVERAGE(D366:F366),1))</f>
        <v/>
      </c>
      <c r="I366" s="18" t="str">
        <f aca="false">IF(H366="","",IF(J366&lt;설정!$B$7,"",ROUND(AVERAGEIFS($H$2:$H$1001,$B$2:$B$1001,B366,$A$2:$A$1001,"&lt;"&amp;A366,$A$2:$A$1001,"&gt;="&amp;(A366-설정!$B$6)),1)))</f>
        <v/>
      </c>
      <c r="J366" s="18" t="str">
        <f aca="false">IF(H366="","",COUNTIFS($B$2:$B$1001,B366,$A$2:$A$1001,"&lt;"&amp;A366,$A$2:$A$1001,"&gt;="&amp;(A366-설정!$B$6),$H$2:$H$1001,"&gt;=0"))</f>
        <v/>
      </c>
      <c r="K366" s="21" t="str">
        <f aca="false">IF(I366="","",H366/I366-1)</f>
        <v/>
      </c>
      <c r="L366" s="19" t="str">
        <f aca="false">IF(H366="","",IF(J366&lt;설정!$B$7,"baseline 수집 중",IF(K366&lt;=-설정!$B$8,"저하","정상")))</f>
        <v/>
      </c>
      <c r="M366" s="20"/>
    </row>
    <row r="367" customFormat="false" ht="15" hidden="false" customHeight="false" outlineLevel="0" collapsed="false">
      <c r="A367" s="16"/>
      <c r="B367" s="17"/>
      <c r="C367" s="17"/>
      <c r="D367" s="17"/>
      <c r="E367" s="17"/>
      <c r="F367" s="17"/>
      <c r="G367" s="18" t="str">
        <f aca="false">IF(COUNT(D367:F367)=0,"",MAX(D367:F367))</f>
        <v/>
      </c>
      <c r="H367" s="18" t="str">
        <f aca="false">IF(COUNT(D367:F367)=0,"",ROUND(AVERAGE(D367:F367),1))</f>
        <v/>
      </c>
      <c r="I367" s="18" t="str">
        <f aca="false">IF(H367="","",IF(J367&lt;설정!$B$7,"",ROUND(AVERAGEIFS($H$2:$H$1001,$B$2:$B$1001,B367,$A$2:$A$1001,"&lt;"&amp;A367,$A$2:$A$1001,"&gt;="&amp;(A367-설정!$B$6)),1)))</f>
        <v/>
      </c>
      <c r="J367" s="18" t="str">
        <f aca="false">IF(H367="","",COUNTIFS($B$2:$B$1001,B367,$A$2:$A$1001,"&lt;"&amp;A367,$A$2:$A$1001,"&gt;="&amp;(A367-설정!$B$6),$H$2:$H$1001,"&gt;=0"))</f>
        <v/>
      </c>
      <c r="K367" s="21" t="str">
        <f aca="false">IF(I367="","",H367/I367-1)</f>
        <v/>
      </c>
      <c r="L367" s="19" t="str">
        <f aca="false">IF(H367="","",IF(J367&lt;설정!$B$7,"baseline 수집 중",IF(K367&lt;=-설정!$B$8,"저하","정상")))</f>
        <v/>
      </c>
      <c r="M367" s="20"/>
    </row>
    <row r="368" customFormat="false" ht="15" hidden="false" customHeight="false" outlineLevel="0" collapsed="false">
      <c r="A368" s="16"/>
      <c r="B368" s="17"/>
      <c r="C368" s="17"/>
      <c r="D368" s="17"/>
      <c r="E368" s="17"/>
      <c r="F368" s="17"/>
      <c r="G368" s="18" t="str">
        <f aca="false">IF(COUNT(D368:F368)=0,"",MAX(D368:F368))</f>
        <v/>
      </c>
      <c r="H368" s="18" t="str">
        <f aca="false">IF(COUNT(D368:F368)=0,"",ROUND(AVERAGE(D368:F368),1))</f>
        <v/>
      </c>
      <c r="I368" s="18" t="str">
        <f aca="false">IF(H368="","",IF(J368&lt;설정!$B$7,"",ROUND(AVERAGEIFS($H$2:$H$1001,$B$2:$B$1001,B368,$A$2:$A$1001,"&lt;"&amp;A368,$A$2:$A$1001,"&gt;="&amp;(A368-설정!$B$6)),1)))</f>
        <v/>
      </c>
      <c r="J368" s="18" t="str">
        <f aca="false">IF(H368="","",COUNTIFS($B$2:$B$1001,B368,$A$2:$A$1001,"&lt;"&amp;A368,$A$2:$A$1001,"&gt;="&amp;(A368-설정!$B$6),$H$2:$H$1001,"&gt;=0"))</f>
        <v/>
      </c>
      <c r="K368" s="21" t="str">
        <f aca="false">IF(I368="","",H368/I368-1)</f>
        <v/>
      </c>
      <c r="L368" s="19" t="str">
        <f aca="false">IF(H368="","",IF(J368&lt;설정!$B$7,"baseline 수집 중",IF(K368&lt;=-설정!$B$8,"저하","정상")))</f>
        <v/>
      </c>
      <c r="M368" s="20"/>
    </row>
    <row r="369" customFormat="false" ht="15" hidden="false" customHeight="false" outlineLevel="0" collapsed="false">
      <c r="A369" s="16"/>
      <c r="B369" s="17"/>
      <c r="C369" s="17"/>
      <c r="D369" s="17"/>
      <c r="E369" s="17"/>
      <c r="F369" s="17"/>
      <c r="G369" s="18" t="str">
        <f aca="false">IF(COUNT(D369:F369)=0,"",MAX(D369:F369))</f>
        <v/>
      </c>
      <c r="H369" s="18" t="str">
        <f aca="false">IF(COUNT(D369:F369)=0,"",ROUND(AVERAGE(D369:F369),1))</f>
        <v/>
      </c>
      <c r="I369" s="18" t="str">
        <f aca="false">IF(H369="","",IF(J369&lt;설정!$B$7,"",ROUND(AVERAGEIFS($H$2:$H$1001,$B$2:$B$1001,B369,$A$2:$A$1001,"&lt;"&amp;A369,$A$2:$A$1001,"&gt;="&amp;(A369-설정!$B$6)),1)))</f>
        <v/>
      </c>
      <c r="J369" s="18" t="str">
        <f aca="false">IF(H369="","",COUNTIFS($B$2:$B$1001,B369,$A$2:$A$1001,"&lt;"&amp;A369,$A$2:$A$1001,"&gt;="&amp;(A369-설정!$B$6),$H$2:$H$1001,"&gt;=0"))</f>
        <v/>
      </c>
      <c r="K369" s="21" t="str">
        <f aca="false">IF(I369="","",H369/I369-1)</f>
        <v/>
      </c>
      <c r="L369" s="19" t="str">
        <f aca="false">IF(H369="","",IF(J369&lt;설정!$B$7,"baseline 수집 중",IF(K369&lt;=-설정!$B$8,"저하","정상")))</f>
        <v/>
      </c>
      <c r="M369" s="20"/>
    </row>
    <row r="370" customFormat="false" ht="15" hidden="false" customHeight="false" outlineLevel="0" collapsed="false">
      <c r="A370" s="16"/>
      <c r="B370" s="17"/>
      <c r="C370" s="17"/>
      <c r="D370" s="17"/>
      <c r="E370" s="17"/>
      <c r="F370" s="17"/>
      <c r="G370" s="18" t="str">
        <f aca="false">IF(COUNT(D370:F370)=0,"",MAX(D370:F370))</f>
        <v/>
      </c>
      <c r="H370" s="18" t="str">
        <f aca="false">IF(COUNT(D370:F370)=0,"",ROUND(AVERAGE(D370:F370),1))</f>
        <v/>
      </c>
      <c r="I370" s="18" t="str">
        <f aca="false">IF(H370="","",IF(J370&lt;설정!$B$7,"",ROUND(AVERAGEIFS($H$2:$H$1001,$B$2:$B$1001,B370,$A$2:$A$1001,"&lt;"&amp;A370,$A$2:$A$1001,"&gt;="&amp;(A370-설정!$B$6)),1)))</f>
        <v/>
      </c>
      <c r="J370" s="18" t="str">
        <f aca="false">IF(H370="","",COUNTIFS($B$2:$B$1001,B370,$A$2:$A$1001,"&lt;"&amp;A370,$A$2:$A$1001,"&gt;="&amp;(A370-설정!$B$6),$H$2:$H$1001,"&gt;=0"))</f>
        <v/>
      </c>
      <c r="K370" s="21" t="str">
        <f aca="false">IF(I370="","",H370/I370-1)</f>
        <v/>
      </c>
      <c r="L370" s="19" t="str">
        <f aca="false">IF(H370="","",IF(J370&lt;설정!$B$7,"baseline 수집 중",IF(K370&lt;=-설정!$B$8,"저하","정상")))</f>
        <v/>
      </c>
      <c r="M370" s="20"/>
    </row>
    <row r="371" customFormat="false" ht="15" hidden="false" customHeight="false" outlineLevel="0" collapsed="false">
      <c r="A371" s="16"/>
      <c r="B371" s="17"/>
      <c r="C371" s="17"/>
      <c r="D371" s="17"/>
      <c r="E371" s="17"/>
      <c r="F371" s="17"/>
      <c r="G371" s="18" t="str">
        <f aca="false">IF(COUNT(D371:F371)=0,"",MAX(D371:F371))</f>
        <v/>
      </c>
      <c r="H371" s="18" t="str">
        <f aca="false">IF(COUNT(D371:F371)=0,"",ROUND(AVERAGE(D371:F371),1))</f>
        <v/>
      </c>
      <c r="I371" s="18" t="str">
        <f aca="false">IF(H371="","",IF(J371&lt;설정!$B$7,"",ROUND(AVERAGEIFS($H$2:$H$1001,$B$2:$B$1001,B371,$A$2:$A$1001,"&lt;"&amp;A371,$A$2:$A$1001,"&gt;="&amp;(A371-설정!$B$6)),1)))</f>
        <v/>
      </c>
      <c r="J371" s="18" t="str">
        <f aca="false">IF(H371="","",COUNTIFS($B$2:$B$1001,B371,$A$2:$A$1001,"&lt;"&amp;A371,$A$2:$A$1001,"&gt;="&amp;(A371-설정!$B$6),$H$2:$H$1001,"&gt;=0"))</f>
        <v/>
      </c>
      <c r="K371" s="21" t="str">
        <f aca="false">IF(I371="","",H371/I371-1)</f>
        <v/>
      </c>
      <c r="L371" s="19" t="str">
        <f aca="false">IF(H371="","",IF(J371&lt;설정!$B$7,"baseline 수집 중",IF(K371&lt;=-설정!$B$8,"저하","정상")))</f>
        <v/>
      </c>
      <c r="M371" s="20"/>
    </row>
    <row r="372" customFormat="false" ht="15" hidden="false" customHeight="false" outlineLevel="0" collapsed="false">
      <c r="A372" s="16"/>
      <c r="B372" s="17"/>
      <c r="C372" s="17"/>
      <c r="D372" s="17"/>
      <c r="E372" s="17"/>
      <c r="F372" s="17"/>
      <c r="G372" s="18" t="str">
        <f aca="false">IF(COUNT(D372:F372)=0,"",MAX(D372:F372))</f>
        <v/>
      </c>
      <c r="H372" s="18" t="str">
        <f aca="false">IF(COUNT(D372:F372)=0,"",ROUND(AVERAGE(D372:F372),1))</f>
        <v/>
      </c>
      <c r="I372" s="18" t="str">
        <f aca="false">IF(H372="","",IF(J372&lt;설정!$B$7,"",ROUND(AVERAGEIFS($H$2:$H$1001,$B$2:$B$1001,B372,$A$2:$A$1001,"&lt;"&amp;A372,$A$2:$A$1001,"&gt;="&amp;(A372-설정!$B$6)),1)))</f>
        <v/>
      </c>
      <c r="J372" s="18" t="str">
        <f aca="false">IF(H372="","",COUNTIFS($B$2:$B$1001,B372,$A$2:$A$1001,"&lt;"&amp;A372,$A$2:$A$1001,"&gt;="&amp;(A372-설정!$B$6),$H$2:$H$1001,"&gt;=0"))</f>
        <v/>
      </c>
      <c r="K372" s="21" t="str">
        <f aca="false">IF(I372="","",H372/I372-1)</f>
        <v/>
      </c>
      <c r="L372" s="19" t="str">
        <f aca="false">IF(H372="","",IF(J372&lt;설정!$B$7,"baseline 수집 중",IF(K372&lt;=-설정!$B$8,"저하","정상")))</f>
        <v/>
      </c>
      <c r="M372" s="20"/>
    </row>
    <row r="373" customFormat="false" ht="15" hidden="false" customHeight="false" outlineLevel="0" collapsed="false">
      <c r="A373" s="16"/>
      <c r="B373" s="17"/>
      <c r="C373" s="17"/>
      <c r="D373" s="17"/>
      <c r="E373" s="17"/>
      <c r="F373" s="17"/>
      <c r="G373" s="18" t="str">
        <f aca="false">IF(COUNT(D373:F373)=0,"",MAX(D373:F373))</f>
        <v/>
      </c>
      <c r="H373" s="18" t="str">
        <f aca="false">IF(COUNT(D373:F373)=0,"",ROUND(AVERAGE(D373:F373),1))</f>
        <v/>
      </c>
      <c r="I373" s="18" t="str">
        <f aca="false">IF(H373="","",IF(J373&lt;설정!$B$7,"",ROUND(AVERAGEIFS($H$2:$H$1001,$B$2:$B$1001,B373,$A$2:$A$1001,"&lt;"&amp;A373,$A$2:$A$1001,"&gt;="&amp;(A373-설정!$B$6)),1)))</f>
        <v/>
      </c>
      <c r="J373" s="18" t="str">
        <f aca="false">IF(H373="","",COUNTIFS($B$2:$B$1001,B373,$A$2:$A$1001,"&lt;"&amp;A373,$A$2:$A$1001,"&gt;="&amp;(A373-설정!$B$6),$H$2:$H$1001,"&gt;=0"))</f>
        <v/>
      </c>
      <c r="K373" s="21" t="str">
        <f aca="false">IF(I373="","",H373/I373-1)</f>
        <v/>
      </c>
      <c r="L373" s="19" t="str">
        <f aca="false">IF(H373="","",IF(J373&lt;설정!$B$7,"baseline 수집 중",IF(K373&lt;=-설정!$B$8,"저하","정상")))</f>
        <v/>
      </c>
      <c r="M373" s="20"/>
    </row>
    <row r="374" customFormat="false" ht="15" hidden="false" customHeight="false" outlineLevel="0" collapsed="false">
      <c r="A374" s="16"/>
      <c r="B374" s="17"/>
      <c r="C374" s="17"/>
      <c r="D374" s="17"/>
      <c r="E374" s="17"/>
      <c r="F374" s="17"/>
      <c r="G374" s="18" t="str">
        <f aca="false">IF(COUNT(D374:F374)=0,"",MAX(D374:F374))</f>
        <v/>
      </c>
      <c r="H374" s="18" t="str">
        <f aca="false">IF(COUNT(D374:F374)=0,"",ROUND(AVERAGE(D374:F374),1))</f>
        <v/>
      </c>
      <c r="I374" s="18" t="str">
        <f aca="false">IF(H374="","",IF(J374&lt;설정!$B$7,"",ROUND(AVERAGEIFS($H$2:$H$1001,$B$2:$B$1001,B374,$A$2:$A$1001,"&lt;"&amp;A374,$A$2:$A$1001,"&gt;="&amp;(A374-설정!$B$6)),1)))</f>
        <v/>
      </c>
      <c r="J374" s="18" t="str">
        <f aca="false">IF(H374="","",COUNTIFS($B$2:$B$1001,B374,$A$2:$A$1001,"&lt;"&amp;A374,$A$2:$A$1001,"&gt;="&amp;(A374-설정!$B$6),$H$2:$H$1001,"&gt;=0"))</f>
        <v/>
      </c>
      <c r="K374" s="21" t="str">
        <f aca="false">IF(I374="","",H374/I374-1)</f>
        <v/>
      </c>
      <c r="L374" s="19" t="str">
        <f aca="false">IF(H374="","",IF(J374&lt;설정!$B$7,"baseline 수집 중",IF(K374&lt;=-설정!$B$8,"저하","정상")))</f>
        <v/>
      </c>
      <c r="M374" s="20"/>
    </row>
    <row r="375" customFormat="false" ht="15" hidden="false" customHeight="false" outlineLevel="0" collapsed="false">
      <c r="A375" s="16"/>
      <c r="B375" s="17"/>
      <c r="C375" s="17"/>
      <c r="D375" s="17"/>
      <c r="E375" s="17"/>
      <c r="F375" s="17"/>
      <c r="G375" s="18" t="str">
        <f aca="false">IF(COUNT(D375:F375)=0,"",MAX(D375:F375))</f>
        <v/>
      </c>
      <c r="H375" s="18" t="str">
        <f aca="false">IF(COUNT(D375:F375)=0,"",ROUND(AVERAGE(D375:F375),1))</f>
        <v/>
      </c>
      <c r="I375" s="18" t="str">
        <f aca="false">IF(H375="","",IF(J375&lt;설정!$B$7,"",ROUND(AVERAGEIFS($H$2:$H$1001,$B$2:$B$1001,B375,$A$2:$A$1001,"&lt;"&amp;A375,$A$2:$A$1001,"&gt;="&amp;(A375-설정!$B$6)),1)))</f>
        <v/>
      </c>
      <c r="J375" s="18" t="str">
        <f aca="false">IF(H375="","",COUNTIFS($B$2:$B$1001,B375,$A$2:$A$1001,"&lt;"&amp;A375,$A$2:$A$1001,"&gt;="&amp;(A375-설정!$B$6),$H$2:$H$1001,"&gt;=0"))</f>
        <v/>
      </c>
      <c r="K375" s="21" t="str">
        <f aca="false">IF(I375="","",H375/I375-1)</f>
        <v/>
      </c>
      <c r="L375" s="19" t="str">
        <f aca="false">IF(H375="","",IF(J375&lt;설정!$B$7,"baseline 수집 중",IF(K375&lt;=-설정!$B$8,"저하","정상")))</f>
        <v/>
      </c>
      <c r="M375" s="20"/>
    </row>
    <row r="376" customFormat="false" ht="15" hidden="false" customHeight="false" outlineLevel="0" collapsed="false">
      <c r="A376" s="16"/>
      <c r="B376" s="17"/>
      <c r="C376" s="17"/>
      <c r="D376" s="17"/>
      <c r="E376" s="17"/>
      <c r="F376" s="17"/>
      <c r="G376" s="18" t="str">
        <f aca="false">IF(COUNT(D376:F376)=0,"",MAX(D376:F376))</f>
        <v/>
      </c>
      <c r="H376" s="18" t="str">
        <f aca="false">IF(COUNT(D376:F376)=0,"",ROUND(AVERAGE(D376:F376),1))</f>
        <v/>
      </c>
      <c r="I376" s="18" t="str">
        <f aca="false">IF(H376="","",IF(J376&lt;설정!$B$7,"",ROUND(AVERAGEIFS($H$2:$H$1001,$B$2:$B$1001,B376,$A$2:$A$1001,"&lt;"&amp;A376,$A$2:$A$1001,"&gt;="&amp;(A376-설정!$B$6)),1)))</f>
        <v/>
      </c>
      <c r="J376" s="18" t="str">
        <f aca="false">IF(H376="","",COUNTIFS($B$2:$B$1001,B376,$A$2:$A$1001,"&lt;"&amp;A376,$A$2:$A$1001,"&gt;="&amp;(A376-설정!$B$6),$H$2:$H$1001,"&gt;=0"))</f>
        <v/>
      </c>
      <c r="K376" s="21" t="str">
        <f aca="false">IF(I376="","",H376/I376-1)</f>
        <v/>
      </c>
      <c r="L376" s="19" t="str">
        <f aca="false">IF(H376="","",IF(J376&lt;설정!$B$7,"baseline 수집 중",IF(K376&lt;=-설정!$B$8,"저하","정상")))</f>
        <v/>
      </c>
      <c r="M376" s="20"/>
    </row>
    <row r="377" customFormat="false" ht="15" hidden="false" customHeight="false" outlineLevel="0" collapsed="false">
      <c r="A377" s="16"/>
      <c r="B377" s="17"/>
      <c r="C377" s="17"/>
      <c r="D377" s="17"/>
      <c r="E377" s="17"/>
      <c r="F377" s="17"/>
      <c r="G377" s="18" t="str">
        <f aca="false">IF(COUNT(D377:F377)=0,"",MAX(D377:F377))</f>
        <v/>
      </c>
      <c r="H377" s="18" t="str">
        <f aca="false">IF(COUNT(D377:F377)=0,"",ROUND(AVERAGE(D377:F377),1))</f>
        <v/>
      </c>
      <c r="I377" s="18" t="str">
        <f aca="false">IF(H377="","",IF(J377&lt;설정!$B$7,"",ROUND(AVERAGEIFS($H$2:$H$1001,$B$2:$B$1001,B377,$A$2:$A$1001,"&lt;"&amp;A377,$A$2:$A$1001,"&gt;="&amp;(A377-설정!$B$6)),1)))</f>
        <v/>
      </c>
      <c r="J377" s="18" t="str">
        <f aca="false">IF(H377="","",COUNTIFS($B$2:$B$1001,B377,$A$2:$A$1001,"&lt;"&amp;A377,$A$2:$A$1001,"&gt;="&amp;(A377-설정!$B$6),$H$2:$H$1001,"&gt;=0"))</f>
        <v/>
      </c>
      <c r="K377" s="21" t="str">
        <f aca="false">IF(I377="","",H377/I377-1)</f>
        <v/>
      </c>
      <c r="L377" s="19" t="str">
        <f aca="false">IF(H377="","",IF(J377&lt;설정!$B$7,"baseline 수집 중",IF(K377&lt;=-설정!$B$8,"저하","정상")))</f>
        <v/>
      </c>
      <c r="M377" s="20"/>
    </row>
    <row r="378" customFormat="false" ht="15" hidden="false" customHeight="false" outlineLevel="0" collapsed="false">
      <c r="A378" s="16"/>
      <c r="B378" s="17"/>
      <c r="C378" s="17"/>
      <c r="D378" s="17"/>
      <c r="E378" s="17"/>
      <c r="F378" s="17"/>
      <c r="G378" s="18" t="str">
        <f aca="false">IF(COUNT(D378:F378)=0,"",MAX(D378:F378))</f>
        <v/>
      </c>
      <c r="H378" s="18" t="str">
        <f aca="false">IF(COUNT(D378:F378)=0,"",ROUND(AVERAGE(D378:F378),1))</f>
        <v/>
      </c>
      <c r="I378" s="18" t="str">
        <f aca="false">IF(H378="","",IF(J378&lt;설정!$B$7,"",ROUND(AVERAGEIFS($H$2:$H$1001,$B$2:$B$1001,B378,$A$2:$A$1001,"&lt;"&amp;A378,$A$2:$A$1001,"&gt;="&amp;(A378-설정!$B$6)),1)))</f>
        <v/>
      </c>
      <c r="J378" s="18" t="str">
        <f aca="false">IF(H378="","",COUNTIFS($B$2:$B$1001,B378,$A$2:$A$1001,"&lt;"&amp;A378,$A$2:$A$1001,"&gt;="&amp;(A378-설정!$B$6),$H$2:$H$1001,"&gt;=0"))</f>
        <v/>
      </c>
      <c r="K378" s="21" t="str">
        <f aca="false">IF(I378="","",H378/I378-1)</f>
        <v/>
      </c>
      <c r="L378" s="19" t="str">
        <f aca="false">IF(H378="","",IF(J378&lt;설정!$B$7,"baseline 수집 중",IF(K378&lt;=-설정!$B$8,"저하","정상")))</f>
        <v/>
      </c>
      <c r="M378" s="20"/>
    </row>
    <row r="379" customFormat="false" ht="15" hidden="false" customHeight="false" outlineLevel="0" collapsed="false">
      <c r="A379" s="16"/>
      <c r="B379" s="17"/>
      <c r="C379" s="17"/>
      <c r="D379" s="17"/>
      <c r="E379" s="17"/>
      <c r="F379" s="17"/>
      <c r="G379" s="18" t="str">
        <f aca="false">IF(COUNT(D379:F379)=0,"",MAX(D379:F379))</f>
        <v/>
      </c>
      <c r="H379" s="18" t="str">
        <f aca="false">IF(COUNT(D379:F379)=0,"",ROUND(AVERAGE(D379:F379),1))</f>
        <v/>
      </c>
      <c r="I379" s="18" t="str">
        <f aca="false">IF(H379="","",IF(J379&lt;설정!$B$7,"",ROUND(AVERAGEIFS($H$2:$H$1001,$B$2:$B$1001,B379,$A$2:$A$1001,"&lt;"&amp;A379,$A$2:$A$1001,"&gt;="&amp;(A379-설정!$B$6)),1)))</f>
        <v/>
      </c>
      <c r="J379" s="18" t="str">
        <f aca="false">IF(H379="","",COUNTIFS($B$2:$B$1001,B379,$A$2:$A$1001,"&lt;"&amp;A379,$A$2:$A$1001,"&gt;="&amp;(A379-설정!$B$6),$H$2:$H$1001,"&gt;=0"))</f>
        <v/>
      </c>
      <c r="K379" s="21" t="str">
        <f aca="false">IF(I379="","",H379/I379-1)</f>
        <v/>
      </c>
      <c r="L379" s="19" t="str">
        <f aca="false">IF(H379="","",IF(J379&lt;설정!$B$7,"baseline 수집 중",IF(K379&lt;=-설정!$B$8,"저하","정상")))</f>
        <v/>
      </c>
      <c r="M379" s="20"/>
    </row>
    <row r="380" customFormat="false" ht="15" hidden="false" customHeight="false" outlineLevel="0" collapsed="false">
      <c r="A380" s="16"/>
      <c r="B380" s="17"/>
      <c r="C380" s="17"/>
      <c r="D380" s="17"/>
      <c r="E380" s="17"/>
      <c r="F380" s="17"/>
      <c r="G380" s="18" t="str">
        <f aca="false">IF(COUNT(D380:F380)=0,"",MAX(D380:F380))</f>
        <v/>
      </c>
      <c r="H380" s="18" t="str">
        <f aca="false">IF(COUNT(D380:F380)=0,"",ROUND(AVERAGE(D380:F380),1))</f>
        <v/>
      </c>
      <c r="I380" s="18" t="str">
        <f aca="false">IF(H380="","",IF(J380&lt;설정!$B$7,"",ROUND(AVERAGEIFS($H$2:$H$1001,$B$2:$B$1001,B380,$A$2:$A$1001,"&lt;"&amp;A380,$A$2:$A$1001,"&gt;="&amp;(A380-설정!$B$6)),1)))</f>
        <v/>
      </c>
      <c r="J380" s="18" t="str">
        <f aca="false">IF(H380="","",COUNTIFS($B$2:$B$1001,B380,$A$2:$A$1001,"&lt;"&amp;A380,$A$2:$A$1001,"&gt;="&amp;(A380-설정!$B$6),$H$2:$H$1001,"&gt;=0"))</f>
        <v/>
      </c>
      <c r="K380" s="21" t="str">
        <f aca="false">IF(I380="","",H380/I380-1)</f>
        <v/>
      </c>
      <c r="L380" s="19" t="str">
        <f aca="false">IF(H380="","",IF(J380&lt;설정!$B$7,"baseline 수집 중",IF(K380&lt;=-설정!$B$8,"저하","정상")))</f>
        <v/>
      </c>
      <c r="M380" s="20"/>
    </row>
    <row r="381" customFormat="false" ht="15" hidden="false" customHeight="false" outlineLevel="0" collapsed="false">
      <c r="A381" s="16"/>
      <c r="B381" s="17"/>
      <c r="C381" s="17"/>
      <c r="D381" s="17"/>
      <c r="E381" s="17"/>
      <c r="F381" s="17"/>
      <c r="G381" s="18" t="str">
        <f aca="false">IF(COUNT(D381:F381)=0,"",MAX(D381:F381))</f>
        <v/>
      </c>
      <c r="H381" s="18" t="str">
        <f aca="false">IF(COUNT(D381:F381)=0,"",ROUND(AVERAGE(D381:F381),1))</f>
        <v/>
      </c>
      <c r="I381" s="18" t="str">
        <f aca="false">IF(H381="","",IF(J381&lt;설정!$B$7,"",ROUND(AVERAGEIFS($H$2:$H$1001,$B$2:$B$1001,B381,$A$2:$A$1001,"&lt;"&amp;A381,$A$2:$A$1001,"&gt;="&amp;(A381-설정!$B$6)),1)))</f>
        <v/>
      </c>
      <c r="J381" s="18" t="str">
        <f aca="false">IF(H381="","",COUNTIFS($B$2:$B$1001,B381,$A$2:$A$1001,"&lt;"&amp;A381,$A$2:$A$1001,"&gt;="&amp;(A381-설정!$B$6),$H$2:$H$1001,"&gt;=0"))</f>
        <v/>
      </c>
      <c r="K381" s="21" t="str">
        <f aca="false">IF(I381="","",H381/I381-1)</f>
        <v/>
      </c>
      <c r="L381" s="19" t="str">
        <f aca="false">IF(H381="","",IF(J381&lt;설정!$B$7,"baseline 수집 중",IF(K381&lt;=-설정!$B$8,"저하","정상")))</f>
        <v/>
      </c>
      <c r="M381" s="20"/>
    </row>
    <row r="382" customFormat="false" ht="15" hidden="false" customHeight="false" outlineLevel="0" collapsed="false">
      <c r="A382" s="16"/>
      <c r="B382" s="17"/>
      <c r="C382" s="17"/>
      <c r="D382" s="17"/>
      <c r="E382" s="17"/>
      <c r="F382" s="17"/>
      <c r="G382" s="18" t="str">
        <f aca="false">IF(COUNT(D382:F382)=0,"",MAX(D382:F382))</f>
        <v/>
      </c>
      <c r="H382" s="18" t="str">
        <f aca="false">IF(COUNT(D382:F382)=0,"",ROUND(AVERAGE(D382:F382),1))</f>
        <v/>
      </c>
      <c r="I382" s="18" t="str">
        <f aca="false">IF(H382="","",IF(J382&lt;설정!$B$7,"",ROUND(AVERAGEIFS($H$2:$H$1001,$B$2:$B$1001,B382,$A$2:$A$1001,"&lt;"&amp;A382,$A$2:$A$1001,"&gt;="&amp;(A382-설정!$B$6)),1)))</f>
        <v/>
      </c>
      <c r="J382" s="18" t="str">
        <f aca="false">IF(H382="","",COUNTIFS($B$2:$B$1001,B382,$A$2:$A$1001,"&lt;"&amp;A382,$A$2:$A$1001,"&gt;="&amp;(A382-설정!$B$6),$H$2:$H$1001,"&gt;=0"))</f>
        <v/>
      </c>
      <c r="K382" s="21" t="str">
        <f aca="false">IF(I382="","",H382/I382-1)</f>
        <v/>
      </c>
      <c r="L382" s="19" t="str">
        <f aca="false">IF(H382="","",IF(J382&lt;설정!$B$7,"baseline 수집 중",IF(K382&lt;=-설정!$B$8,"저하","정상")))</f>
        <v/>
      </c>
      <c r="M382" s="20"/>
    </row>
    <row r="383" customFormat="false" ht="15" hidden="false" customHeight="false" outlineLevel="0" collapsed="false">
      <c r="A383" s="16"/>
      <c r="B383" s="17"/>
      <c r="C383" s="17"/>
      <c r="D383" s="17"/>
      <c r="E383" s="17"/>
      <c r="F383" s="17"/>
      <c r="G383" s="18" t="str">
        <f aca="false">IF(COUNT(D383:F383)=0,"",MAX(D383:F383))</f>
        <v/>
      </c>
      <c r="H383" s="18" t="str">
        <f aca="false">IF(COUNT(D383:F383)=0,"",ROUND(AVERAGE(D383:F383),1))</f>
        <v/>
      </c>
      <c r="I383" s="18" t="str">
        <f aca="false">IF(H383="","",IF(J383&lt;설정!$B$7,"",ROUND(AVERAGEIFS($H$2:$H$1001,$B$2:$B$1001,B383,$A$2:$A$1001,"&lt;"&amp;A383,$A$2:$A$1001,"&gt;="&amp;(A383-설정!$B$6)),1)))</f>
        <v/>
      </c>
      <c r="J383" s="18" t="str">
        <f aca="false">IF(H383="","",COUNTIFS($B$2:$B$1001,B383,$A$2:$A$1001,"&lt;"&amp;A383,$A$2:$A$1001,"&gt;="&amp;(A383-설정!$B$6),$H$2:$H$1001,"&gt;=0"))</f>
        <v/>
      </c>
      <c r="K383" s="21" t="str">
        <f aca="false">IF(I383="","",H383/I383-1)</f>
        <v/>
      </c>
      <c r="L383" s="19" t="str">
        <f aca="false">IF(H383="","",IF(J383&lt;설정!$B$7,"baseline 수집 중",IF(K383&lt;=-설정!$B$8,"저하","정상")))</f>
        <v/>
      </c>
      <c r="M383" s="20"/>
    </row>
    <row r="384" customFormat="false" ht="15" hidden="false" customHeight="false" outlineLevel="0" collapsed="false">
      <c r="A384" s="16"/>
      <c r="B384" s="17"/>
      <c r="C384" s="17"/>
      <c r="D384" s="17"/>
      <c r="E384" s="17"/>
      <c r="F384" s="17"/>
      <c r="G384" s="18" t="str">
        <f aca="false">IF(COUNT(D384:F384)=0,"",MAX(D384:F384))</f>
        <v/>
      </c>
      <c r="H384" s="18" t="str">
        <f aca="false">IF(COUNT(D384:F384)=0,"",ROUND(AVERAGE(D384:F384),1))</f>
        <v/>
      </c>
      <c r="I384" s="18" t="str">
        <f aca="false">IF(H384="","",IF(J384&lt;설정!$B$7,"",ROUND(AVERAGEIFS($H$2:$H$1001,$B$2:$B$1001,B384,$A$2:$A$1001,"&lt;"&amp;A384,$A$2:$A$1001,"&gt;="&amp;(A384-설정!$B$6)),1)))</f>
        <v/>
      </c>
      <c r="J384" s="18" t="str">
        <f aca="false">IF(H384="","",COUNTIFS($B$2:$B$1001,B384,$A$2:$A$1001,"&lt;"&amp;A384,$A$2:$A$1001,"&gt;="&amp;(A384-설정!$B$6),$H$2:$H$1001,"&gt;=0"))</f>
        <v/>
      </c>
      <c r="K384" s="21" t="str">
        <f aca="false">IF(I384="","",H384/I384-1)</f>
        <v/>
      </c>
      <c r="L384" s="19" t="str">
        <f aca="false">IF(H384="","",IF(J384&lt;설정!$B$7,"baseline 수집 중",IF(K384&lt;=-설정!$B$8,"저하","정상")))</f>
        <v/>
      </c>
      <c r="M384" s="20"/>
    </row>
    <row r="385" customFormat="false" ht="15" hidden="false" customHeight="false" outlineLevel="0" collapsed="false">
      <c r="A385" s="16"/>
      <c r="B385" s="17"/>
      <c r="C385" s="17"/>
      <c r="D385" s="17"/>
      <c r="E385" s="17"/>
      <c r="F385" s="17"/>
      <c r="G385" s="18" t="str">
        <f aca="false">IF(COUNT(D385:F385)=0,"",MAX(D385:F385))</f>
        <v/>
      </c>
      <c r="H385" s="18" t="str">
        <f aca="false">IF(COUNT(D385:F385)=0,"",ROUND(AVERAGE(D385:F385),1))</f>
        <v/>
      </c>
      <c r="I385" s="18" t="str">
        <f aca="false">IF(H385="","",IF(J385&lt;설정!$B$7,"",ROUND(AVERAGEIFS($H$2:$H$1001,$B$2:$B$1001,B385,$A$2:$A$1001,"&lt;"&amp;A385,$A$2:$A$1001,"&gt;="&amp;(A385-설정!$B$6)),1)))</f>
        <v/>
      </c>
      <c r="J385" s="18" t="str">
        <f aca="false">IF(H385="","",COUNTIFS($B$2:$B$1001,B385,$A$2:$A$1001,"&lt;"&amp;A385,$A$2:$A$1001,"&gt;="&amp;(A385-설정!$B$6),$H$2:$H$1001,"&gt;=0"))</f>
        <v/>
      </c>
      <c r="K385" s="21" t="str">
        <f aca="false">IF(I385="","",H385/I385-1)</f>
        <v/>
      </c>
      <c r="L385" s="19" t="str">
        <f aca="false">IF(H385="","",IF(J385&lt;설정!$B$7,"baseline 수집 중",IF(K385&lt;=-설정!$B$8,"저하","정상")))</f>
        <v/>
      </c>
      <c r="M385" s="20"/>
    </row>
    <row r="386" customFormat="false" ht="15" hidden="false" customHeight="false" outlineLevel="0" collapsed="false">
      <c r="A386" s="16"/>
      <c r="B386" s="17"/>
      <c r="C386" s="17"/>
      <c r="D386" s="17"/>
      <c r="E386" s="17"/>
      <c r="F386" s="17"/>
      <c r="G386" s="18" t="str">
        <f aca="false">IF(COUNT(D386:F386)=0,"",MAX(D386:F386))</f>
        <v/>
      </c>
      <c r="H386" s="18" t="str">
        <f aca="false">IF(COUNT(D386:F386)=0,"",ROUND(AVERAGE(D386:F386),1))</f>
        <v/>
      </c>
      <c r="I386" s="18" t="str">
        <f aca="false">IF(H386="","",IF(J386&lt;설정!$B$7,"",ROUND(AVERAGEIFS($H$2:$H$1001,$B$2:$B$1001,B386,$A$2:$A$1001,"&lt;"&amp;A386,$A$2:$A$1001,"&gt;="&amp;(A386-설정!$B$6)),1)))</f>
        <v/>
      </c>
      <c r="J386" s="18" t="str">
        <f aca="false">IF(H386="","",COUNTIFS($B$2:$B$1001,B386,$A$2:$A$1001,"&lt;"&amp;A386,$A$2:$A$1001,"&gt;="&amp;(A386-설정!$B$6),$H$2:$H$1001,"&gt;=0"))</f>
        <v/>
      </c>
      <c r="K386" s="21" t="str">
        <f aca="false">IF(I386="","",H386/I386-1)</f>
        <v/>
      </c>
      <c r="L386" s="19" t="str">
        <f aca="false">IF(H386="","",IF(J386&lt;설정!$B$7,"baseline 수집 중",IF(K386&lt;=-설정!$B$8,"저하","정상")))</f>
        <v/>
      </c>
      <c r="M386" s="20"/>
    </row>
    <row r="387" customFormat="false" ht="15" hidden="false" customHeight="false" outlineLevel="0" collapsed="false">
      <c r="A387" s="16"/>
      <c r="B387" s="17"/>
      <c r="C387" s="17"/>
      <c r="D387" s="17"/>
      <c r="E387" s="17"/>
      <c r="F387" s="17"/>
      <c r="G387" s="18" t="str">
        <f aca="false">IF(COUNT(D387:F387)=0,"",MAX(D387:F387))</f>
        <v/>
      </c>
      <c r="H387" s="18" t="str">
        <f aca="false">IF(COUNT(D387:F387)=0,"",ROUND(AVERAGE(D387:F387),1))</f>
        <v/>
      </c>
      <c r="I387" s="18" t="str">
        <f aca="false">IF(H387="","",IF(J387&lt;설정!$B$7,"",ROUND(AVERAGEIFS($H$2:$H$1001,$B$2:$B$1001,B387,$A$2:$A$1001,"&lt;"&amp;A387,$A$2:$A$1001,"&gt;="&amp;(A387-설정!$B$6)),1)))</f>
        <v/>
      </c>
      <c r="J387" s="18" t="str">
        <f aca="false">IF(H387="","",COUNTIFS($B$2:$B$1001,B387,$A$2:$A$1001,"&lt;"&amp;A387,$A$2:$A$1001,"&gt;="&amp;(A387-설정!$B$6),$H$2:$H$1001,"&gt;=0"))</f>
        <v/>
      </c>
      <c r="K387" s="21" t="str">
        <f aca="false">IF(I387="","",H387/I387-1)</f>
        <v/>
      </c>
      <c r="L387" s="19" t="str">
        <f aca="false">IF(H387="","",IF(J387&lt;설정!$B$7,"baseline 수집 중",IF(K387&lt;=-설정!$B$8,"저하","정상")))</f>
        <v/>
      </c>
      <c r="M387" s="20"/>
    </row>
    <row r="388" customFormat="false" ht="15" hidden="false" customHeight="false" outlineLevel="0" collapsed="false">
      <c r="A388" s="16"/>
      <c r="B388" s="17"/>
      <c r="C388" s="17"/>
      <c r="D388" s="17"/>
      <c r="E388" s="17"/>
      <c r="F388" s="17"/>
      <c r="G388" s="18" t="str">
        <f aca="false">IF(COUNT(D388:F388)=0,"",MAX(D388:F388))</f>
        <v/>
      </c>
      <c r="H388" s="18" t="str">
        <f aca="false">IF(COUNT(D388:F388)=0,"",ROUND(AVERAGE(D388:F388),1))</f>
        <v/>
      </c>
      <c r="I388" s="18" t="str">
        <f aca="false">IF(H388="","",IF(J388&lt;설정!$B$7,"",ROUND(AVERAGEIFS($H$2:$H$1001,$B$2:$B$1001,B388,$A$2:$A$1001,"&lt;"&amp;A388,$A$2:$A$1001,"&gt;="&amp;(A388-설정!$B$6)),1)))</f>
        <v/>
      </c>
      <c r="J388" s="18" t="str">
        <f aca="false">IF(H388="","",COUNTIFS($B$2:$B$1001,B388,$A$2:$A$1001,"&lt;"&amp;A388,$A$2:$A$1001,"&gt;="&amp;(A388-설정!$B$6),$H$2:$H$1001,"&gt;=0"))</f>
        <v/>
      </c>
      <c r="K388" s="21" t="str">
        <f aca="false">IF(I388="","",H388/I388-1)</f>
        <v/>
      </c>
      <c r="L388" s="19" t="str">
        <f aca="false">IF(H388="","",IF(J388&lt;설정!$B$7,"baseline 수집 중",IF(K388&lt;=-설정!$B$8,"저하","정상")))</f>
        <v/>
      </c>
      <c r="M388" s="20"/>
    </row>
    <row r="389" customFormat="false" ht="15" hidden="false" customHeight="false" outlineLevel="0" collapsed="false">
      <c r="A389" s="16"/>
      <c r="B389" s="17"/>
      <c r="C389" s="17"/>
      <c r="D389" s="17"/>
      <c r="E389" s="17"/>
      <c r="F389" s="17"/>
      <c r="G389" s="18" t="str">
        <f aca="false">IF(COUNT(D389:F389)=0,"",MAX(D389:F389))</f>
        <v/>
      </c>
      <c r="H389" s="18" t="str">
        <f aca="false">IF(COUNT(D389:F389)=0,"",ROUND(AVERAGE(D389:F389),1))</f>
        <v/>
      </c>
      <c r="I389" s="18" t="str">
        <f aca="false">IF(H389="","",IF(J389&lt;설정!$B$7,"",ROUND(AVERAGEIFS($H$2:$H$1001,$B$2:$B$1001,B389,$A$2:$A$1001,"&lt;"&amp;A389,$A$2:$A$1001,"&gt;="&amp;(A389-설정!$B$6)),1)))</f>
        <v/>
      </c>
      <c r="J389" s="18" t="str">
        <f aca="false">IF(H389="","",COUNTIFS($B$2:$B$1001,B389,$A$2:$A$1001,"&lt;"&amp;A389,$A$2:$A$1001,"&gt;="&amp;(A389-설정!$B$6),$H$2:$H$1001,"&gt;=0"))</f>
        <v/>
      </c>
      <c r="K389" s="21" t="str">
        <f aca="false">IF(I389="","",H389/I389-1)</f>
        <v/>
      </c>
      <c r="L389" s="19" t="str">
        <f aca="false">IF(H389="","",IF(J389&lt;설정!$B$7,"baseline 수집 중",IF(K389&lt;=-설정!$B$8,"저하","정상")))</f>
        <v/>
      </c>
      <c r="M389" s="20"/>
    </row>
    <row r="390" customFormat="false" ht="15" hidden="false" customHeight="false" outlineLevel="0" collapsed="false">
      <c r="A390" s="16"/>
      <c r="B390" s="17"/>
      <c r="C390" s="17"/>
      <c r="D390" s="17"/>
      <c r="E390" s="17"/>
      <c r="F390" s="17"/>
      <c r="G390" s="18" t="str">
        <f aca="false">IF(COUNT(D390:F390)=0,"",MAX(D390:F390))</f>
        <v/>
      </c>
      <c r="H390" s="18" t="str">
        <f aca="false">IF(COUNT(D390:F390)=0,"",ROUND(AVERAGE(D390:F390),1))</f>
        <v/>
      </c>
      <c r="I390" s="18" t="str">
        <f aca="false">IF(H390="","",IF(J390&lt;설정!$B$7,"",ROUND(AVERAGEIFS($H$2:$H$1001,$B$2:$B$1001,B390,$A$2:$A$1001,"&lt;"&amp;A390,$A$2:$A$1001,"&gt;="&amp;(A390-설정!$B$6)),1)))</f>
        <v/>
      </c>
      <c r="J390" s="18" t="str">
        <f aca="false">IF(H390="","",COUNTIFS($B$2:$B$1001,B390,$A$2:$A$1001,"&lt;"&amp;A390,$A$2:$A$1001,"&gt;="&amp;(A390-설정!$B$6),$H$2:$H$1001,"&gt;=0"))</f>
        <v/>
      </c>
      <c r="K390" s="21" t="str">
        <f aca="false">IF(I390="","",H390/I390-1)</f>
        <v/>
      </c>
      <c r="L390" s="19" t="str">
        <f aca="false">IF(H390="","",IF(J390&lt;설정!$B$7,"baseline 수집 중",IF(K390&lt;=-설정!$B$8,"저하","정상")))</f>
        <v/>
      </c>
      <c r="M390" s="20"/>
    </row>
    <row r="391" customFormat="false" ht="15" hidden="false" customHeight="false" outlineLevel="0" collapsed="false">
      <c r="A391" s="16"/>
      <c r="B391" s="17"/>
      <c r="C391" s="17"/>
      <c r="D391" s="17"/>
      <c r="E391" s="17"/>
      <c r="F391" s="17"/>
      <c r="G391" s="18" t="str">
        <f aca="false">IF(COUNT(D391:F391)=0,"",MAX(D391:F391))</f>
        <v/>
      </c>
      <c r="H391" s="18" t="str">
        <f aca="false">IF(COUNT(D391:F391)=0,"",ROUND(AVERAGE(D391:F391),1))</f>
        <v/>
      </c>
      <c r="I391" s="18" t="str">
        <f aca="false">IF(H391="","",IF(J391&lt;설정!$B$7,"",ROUND(AVERAGEIFS($H$2:$H$1001,$B$2:$B$1001,B391,$A$2:$A$1001,"&lt;"&amp;A391,$A$2:$A$1001,"&gt;="&amp;(A391-설정!$B$6)),1)))</f>
        <v/>
      </c>
      <c r="J391" s="18" t="str">
        <f aca="false">IF(H391="","",COUNTIFS($B$2:$B$1001,B391,$A$2:$A$1001,"&lt;"&amp;A391,$A$2:$A$1001,"&gt;="&amp;(A391-설정!$B$6),$H$2:$H$1001,"&gt;=0"))</f>
        <v/>
      </c>
      <c r="K391" s="21" t="str">
        <f aca="false">IF(I391="","",H391/I391-1)</f>
        <v/>
      </c>
      <c r="L391" s="19" t="str">
        <f aca="false">IF(H391="","",IF(J391&lt;설정!$B$7,"baseline 수집 중",IF(K391&lt;=-설정!$B$8,"저하","정상")))</f>
        <v/>
      </c>
      <c r="M391" s="20"/>
    </row>
    <row r="392" customFormat="false" ht="15" hidden="false" customHeight="false" outlineLevel="0" collapsed="false">
      <c r="A392" s="16"/>
      <c r="B392" s="17"/>
      <c r="C392" s="17"/>
      <c r="D392" s="17"/>
      <c r="E392" s="17"/>
      <c r="F392" s="17"/>
      <c r="G392" s="18" t="str">
        <f aca="false">IF(COUNT(D392:F392)=0,"",MAX(D392:F392))</f>
        <v/>
      </c>
      <c r="H392" s="18" t="str">
        <f aca="false">IF(COUNT(D392:F392)=0,"",ROUND(AVERAGE(D392:F392),1))</f>
        <v/>
      </c>
      <c r="I392" s="18" t="str">
        <f aca="false">IF(H392="","",IF(J392&lt;설정!$B$7,"",ROUND(AVERAGEIFS($H$2:$H$1001,$B$2:$B$1001,B392,$A$2:$A$1001,"&lt;"&amp;A392,$A$2:$A$1001,"&gt;="&amp;(A392-설정!$B$6)),1)))</f>
        <v/>
      </c>
      <c r="J392" s="18" t="str">
        <f aca="false">IF(H392="","",COUNTIFS($B$2:$B$1001,B392,$A$2:$A$1001,"&lt;"&amp;A392,$A$2:$A$1001,"&gt;="&amp;(A392-설정!$B$6),$H$2:$H$1001,"&gt;=0"))</f>
        <v/>
      </c>
      <c r="K392" s="21" t="str">
        <f aca="false">IF(I392="","",H392/I392-1)</f>
        <v/>
      </c>
      <c r="L392" s="19" t="str">
        <f aca="false">IF(H392="","",IF(J392&lt;설정!$B$7,"baseline 수집 중",IF(K392&lt;=-설정!$B$8,"저하","정상")))</f>
        <v/>
      </c>
      <c r="M392" s="20"/>
    </row>
    <row r="393" customFormat="false" ht="15" hidden="false" customHeight="false" outlineLevel="0" collapsed="false">
      <c r="A393" s="16"/>
      <c r="B393" s="17"/>
      <c r="C393" s="17"/>
      <c r="D393" s="17"/>
      <c r="E393" s="17"/>
      <c r="F393" s="17"/>
      <c r="G393" s="18" t="str">
        <f aca="false">IF(COUNT(D393:F393)=0,"",MAX(D393:F393))</f>
        <v/>
      </c>
      <c r="H393" s="18" t="str">
        <f aca="false">IF(COUNT(D393:F393)=0,"",ROUND(AVERAGE(D393:F393),1))</f>
        <v/>
      </c>
      <c r="I393" s="18" t="str">
        <f aca="false">IF(H393="","",IF(J393&lt;설정!$B$7,"",ROUND(AVERAGEIFS($H$2:$H$1001,$B$2:$B$1001,B393,$A$2:$A$1001,"&lt;"&amp;A393,$A$2:$A$1001,"&gt;="&amp;(A393-설정!$B$6)),1)))</f>
        <v/>
      </c>
      <c r="J393" s="18" t="str">
        <f aca="false">IF(H393="","",COUNTIFS($B$2:$B$1001,B393,$A$2:$A$1001,"&lt;"&amp;A393,$A$2:$A$1001,"&gt;="&amp;(A393-설정!$B$6),$H$2:$H$1001,"&gt;=0"))</f>
        <v/>
      </c>
      <c r="K393" s="21" t="str">
        <f aca="false">IF(I393="","",H393/I393-1)</f>
        <v/>
      </c>
      <c r="L393" s="19" t="str">
        <f aca="false">IF(H393="","",IF(J393&lt;설정!$B$7,"baseline 수집 중",IF(K393&lt;=-설정!$B$8,"저하","정상")))</f>
        <v/>
      </c>
      <c r="M393" s="20"/>
    </row>
    <row r="394" customFormat="false" ht="15" hidden="false" customHeight="false" outlineLevel="0" collapsed="false">
      <c r="A394" s="16"/>
      <c r="B394" s="17"/>
      <c r="C394" s="17"/>
      <c r="D394" s="17"/>
      <c r="E394" s="17"/>
      <c r="F394" s="17"/>
      <c r="G394" s="18" t="str">
        <f aca="false">IF(COUNT(D394:F394)=0,"",MAX(D394:F394))</f>
        <v/>
      </c>
      <c r="H394" s="18" t="str">
        <f aca="false">IF(COUNT(D394:F394)=0,"",ROUND(AVERAGE(D394:F394),1))</f>
        <v/>
      </c>
      <c r="I394" s="18" t="str">
        <f aca="false">IF(H394="","",IF(J394&lt;설정!$B$7,"",ROUND(AVERAGEIFS($H$2:$H$1001,$B$2:$B$1001,B394,$A$2:$A$1001,"&lt;"&amp;A394,$A$2:$A$1001,"&gt;="&amp;(A394-설정!$B$6)),1)))</f>
        <v/>
      </c>
      <c r="J394" s="18" t="str">
        <f aca="false">IF(H394="","",COUNTIFS($B$2:$B$1001,B394,$A$2:$A$1001,"&lt;"&amp;A394,$A$2:$A$1001,"&gt;="&amp;(A394-설정!$B$6),$H$2:$H$1001,"&gt;=0"))</f>
        <v/>
      </c>
      <c r="K394" s="21" t="str">
        <f aca="false">IF(I394="","",H394/I394-1)</f>
        <v/>
      </c>
      <c r="L394" s="19" t="str">
        <f aca="false">IF(H394="","",IF(J394&lt;설정!$B$7,"baseline 수집 중",IF(K394&lt;=-설정!$B$8,"저하","정상")))</f>
        <v/>
      </c>
      <c r="M394" s="20"/>
    </row>
    <row r="395" customFormat="false" ht="15" hidden="false" customHeight="false" outlineLevel="0" collapsed="false">
      <c r="A395" s="16"/>
      <c r="B395" s="17"/>
      <c r="C395" s="17"/>
      <c r="D395" s="17"/>
      <c r="E395" s="17"/>
      <c r="F395" s="17"/>
      <c r="G395" s="18" t="str">
        <f aca="false">IF(COUNT(D395:F395)=0,"",MAX(D395:F395))</f>
        <v/>
      </c>
      <c r="H395" s="18" t="str">
        <f aca="false">IF(COUNT(D395:F395)=0,"",ROUND(AVERAGE(D395:F395),1))</f>
        <v/>
      </c>
      <c r="I395" s="18" t="str">
        <f aca="false">IF(H395="","",IF(J395&lt;설정!$B$7,"",ROUND(AVERAGEIFS($H$2:$H$1001,$B$2:$B$1001,B395,$A$2:$A$1001,"&lt;"&amp;A395,$A$2:$A$1001,"&gt;="&amp;(A395-설정!$B$6)),1)))</f>
        <v/>
      </c>
      <c r="J395" s="18" t="str">
        <f aca="false">IF(H395="","",COUNTIFS($B$2:$B$1001,B395,$A$2:$A$1001,"&lt;"&amp;A395,$A$2:$A$1001,"&gt;="&amp;(A395-설정!$B$6),$H$2:$H$1001,"&gt;=0"))</f>
        <v/>
      </c>
      <c r="K395" s="21" t="str">
        <f aca="false">IF(I395="","",H395/I395-1)</f>
        <v/>
      </c>
      <c r="L395" s="19" t="str">
        <f aca="false">IF(H395="","",IF(J395&lt;설정!$B$7,"baseline 수집 중",IF(K395&lt;=-설정!$B$8,"저하","정상")))</f>
        <v/>
      </c>
      <c r="M395" s="20"/>
    </row>
    <row r="396" customFormat="false" ht="15" hidden="false" customHeight="false" outlineLevel="0" collapsed="false">
      <c r="A396" s="16"/>
      <c r="B396" s="17"/>
      <c r="C396" s="17"/>
      <c r="D396" s="17"/>
      <c r="E396" s="17"/>
      <c r="F396" s="17"/>
      <c r="G396" s="18" t="str">
        <f aca="false">IF(COUNT(D396:F396)=0,"",MAX(D396:F396))</f>
        <v/>
      </c>
      <c r="H396" s="18" t="str">
        <f aca="false">IF(COUNT(D396:F396)=0,"",ROUND(AVERAGE(D396:F396),1))</f>
        <v/>
      </c>
      <c r="I396" s="18" t="str">
        <f aca="false">IF(H396="","",IF(J396&lt;설정!$B$7,"",ROUND(AVERAGEIFS($H$2:$H$1001,$B$2:$B$1001,B396,$A$2:$A$1001,"&lt;"&amp;A396,$A$2:$A$1001,"&gt;="&amp;(A396-설정!$B$6)),1)))</f>
        <v/>
      </c>
      <c r="J396" s="18" t="str">
        <f aca="false">IF(H396="","",COUNTIFS($B$2:$B$1001,B396,$A$2:$A$1001,"&lt;"&amp;A396,$A$2:$A$1001,"&gt;="&amp;(A396-설정!$B$6),$H$2:$H$1001,"&gt;=0"))</f>
        <v/>
      </c>
      <c r="K396" s="21" t="str">
        <f aca="false">IF(I396="","",H396/I396-1)</f>
        <v/>
      </c>
      <c r="L396" s="19" t="str">
        <f aca="false">IF(H396="","",IF(J396&lt;설정!$B$7,"baseline 수집 중",IF(K396&lt;=-설정!$B$8,"저하","정상")))</f>
        <v/>
      </c>
      <c r="M396" s="20"/>
    </row>
    <row r="397" customFormat="false" ht="15" hidden="false" customHeight="false" outlineLevel="0" collapsed="false">
      <c r="A397" s="16"/>
      <c r="B397" s="17"/>
      <c r="C397" s="17"/>
      <c r="D397" s="17"/>
      <c r="E397" s="17"/>
      <c r="F397" s="17"/>
      <c r="G397" s="18" t="str">
        <f aca="false">IF(COUNT(D397:F397)=0,"",MAX(D397:F397))</f>
        <v/>
      </c>
      <c r="H397" s="18" t="str">
        <f aca="false">IF(COUNT(D397:F397)=0,"",ROUND(AVERAGE(D397:F397),1))</f>
        <v/>
      </c>
      <c r="I397" s="18" t="str">
        <f aca="false">IF(H397="","",IF(J397&lt;설정!$B$7,"",ROUND(AVERAGEIFS($H$2:$H$1001,$B$2:$B$1001,B397,$A$2:$A$1001,"&lt;"&amp;A397,$A$2:$A$1001,"&gt;="&amp;(A397-설정!$B$6)),1)))</f>
        <v/>
      </c>
      <c r="J397" s="18" t="str">
        <f aca="false">IF(H397="","",COUNTIFS($B$2:$B$1001,B397,$A$2:$A$1001,"&lt;"&amp;A397,$A$2:$A$1001,"&gt;="&amp;(A397-설정!$B$6),$H$2:$H$1001,"&gt;=0"))</f>
        <v/>
      </c>
      <c r="K397" s="21" t="str">
        <f aca="false">IF(I397="","",H397/I397-1)</f>
        <v/>
      </c>
      <c r="L397" s="19" t="str">
        <f aca="false">IF(H397="","",IF(J397&lt;설정!$B$7,"baseline 수집 중",IF(K397&lt;=-설정!$B$8,"저하","정상")))</f>
        <v/>
      </c>
      <c r="M397" s="20"/>
    </row>
    <row r="398" customFormat="false" ht="15" hidden="false" customHeight="false" outlineLevel="0" collapsed="false">
      <c r="A398" s="16"/>
      <c r="B398" s="17"/>
      <c r="C398" s="17"/>
      <c r="D398" s="17"/>
      <c r="E398" s="17"/>
      <c r="F398" s="17"/>
      <c r="G398" s="18" t="str">
        <f aca="false">IF(COUNT(D398:F398)=0,"",MAX(D398:F398))</f>
        <v/>
      </c>
      <c r="H398" s="18" t="str">
        <f aca="false">IF(COUNT(D398:F398)=0,"",ROUND(AVERAGE(D398:F398),1))</f>
        <v/>
      </c>
      <c r="I398" s="18" t="str">
        <f aca="false">IF(H398="","",IF(J398&lt;설정!$B$7,"",ROUND(AVERAGEIFS($H$2:$H$1001,$B$2:$B$1001,B398,$A$2:$A$1001,"&lt;"&amp;A398,$A$2:$A$1001,"&gt;="&amp;(A398-설정!$B$6)),1)))</f>
        <v/>
      </c>
      <c r="J398" s="18" t="str">
        <f aca="false">IF(H398="","",COUNTIFS($B$2:$B$1001,B398,$A$2:$A$1001,"&lt;"&amp;A398,$A$2:$A$1001,"&gt;="&amp;(A398-설정!$B$6),$H$2:$H$1001,"&gt;=0"))</f>
        <v/>
      </c>
      <c r="K398" s="21" t="str">
        <f aca="false">IF(I398="","",H398/I398-1)</f>
        <v/>
      </c>
      <c r="L398" s="19" t="str">
        <f aca="false">IF(H398="","",IF(J398&lt;설정!$B$7,"baseline 수집 중",IF(K398&lt;=-설정!$B$8,"저하","정상")))</f>
        <v/>
      </c>
      <c r="M398" s="20"/>
    </row>
    <row r="399" customFormat="false" ht="15" hidden="false" customHeight="false" outlineLevel="0" collapsed="false">
      <c r="A399" s="16"/>
      <c r="B399" s="17"/>
      <c r="C399" s="17"/>
      <c r="D399" s="17"/>
      <c r="E399" s="17"/>
      <c r="F399" s="17"/>
      <c r="G399" s="18" t="str">
        <f aca="false">IF(COUNT(D399:F399)=0,"",MAX(D399:F399))</f>
        <v/>
      </c>
      <c r="H399" s="18" t="str">
        <f aca="false">IF(COUNT(D399:F399)=0,"",ROUND(AVERAGE(D399:F399),1))</f>
        <v/>
      </c>
      <c r="I399" s="18" t="str">
        <f aca="false">IF(H399="","",IF(J399&lt;설정!$B$7,"",ROUND(AVERAGEIFS($H$2:$H$1001,$B$2:$B$1001,B399,$A$2:$A$1001,"&lt;"&amp;A399,$A$2:$A$1001,"&gt;="&amp;(A399-설정!$B$6)),1)))</f>
        <v/>
      </c>
      <c r="J399" s="18" t="str">
        <f aca="false">IF(H399="","",COUNTIFS($B$2:$B$1001,B399,$A$2:$A$1001,"&lt;"&amp;A399,$A$2:$A$1001,"&gt;="&amp;(A399-설정!$B$6),$H$2:$H$1001,"&gt;=0"))</f>
        <v/>
      </c>
      <c r="K399" s="21" t="str">
        <f aca="false">IF(I399="","",H399/I399-1)</f>
        <v/>
      </c>
      <c r="L399" s="19" t="str">
        <f aca="false">IF(H399="","",IF(J399&lt;설정!$B$7,"baseline 수집 중",IF(K399&lt;=-설정!$B$8,"저하","정상")))</f>
        <v/>
      </c>
      <c r="M399" s="20"/>
    </row>
    <row r="400" customFormat="false" ht="15" hidden="false" customHeight="false" outlineLevel="0" collapsed="false">
      <c r="A400" s="16"/>
      <c r="B400" s="17"/>
      <c r="C400" s="17"/>
      <c r="D400" s="17"/>
      <c r="E400" s="17"/>
      <c r="F400" s="17"/>
      <c r="G400" s="18" t="str">
        <f aca="false">IF(COUNT(D400:F400)=0,"",MAX(D400:F400))</f>
        <v/>
      </c>
      <c r="H400" s="18" t="str">
        <f aca="false">IF(COUNT(D400:F400)=0,"",ROUND(AVERAGE(D400:F400),1))</f>
        <v/>
      </c>
      <c r="I400" s="18" t="str">
        <f aca="false">IF(H400="","",IF(J400&lt;설정!$B$7,"",ROUND(AVERAGEIFS($H$2:$H$1001,$B$2:$B$1001,B400,$A$2:$A$1001,"&lt;"&amp;A400,$A$2:$A$1001,"&gt;="&amp;(A400-설정!$B$6)),1)))</f>
        <v/>
      </c>
      <c r="J400" s="18" t="str">
        <f aca="false">IF(H400="","",COUNTIFS($B$2:$B$1001,B400,$A$2:$A$1001,"&lt;"&amp;A400,$A$2:$A$1001,"&gt;="&amp;(A400-설정!$B$6),$H$2:$H$1001,"&gt;=0"))</f>
        <v/>
      </c>
      <c r="K400" s="21" t="str">
        <f aca="false">IF(I400="","",H400/I400-1)</f>
        <v/>
      </c>
      <c r="L400" s="19" t="str">
        <f aca="false">IF(H400="","",IF(J400&lt;설정!$B$7,"baseline 수집 중",IF(K400&lt;=-설정!$B$8,"저하","정상")))</f>
        <v/>
      </c>
      <c r="M400" s="20"/>
    </row>
    <row r="401" customFormat="false" ht="15" hidden="false" customHeight="false" outlineLevel="0" collapsed="false">
      <c r="A401" s="16"/>
      <c r="B401" s="17"/>
      <c r="C401" s="17"/>
      <c r="D401" s="17"/>
      <c r="E401" s="17"/>
      <c r="F401" s="17"/>
      <c r="G401" s="18" t="str">
        <f aca="false">IF(COUNT(D401:F401)=0,"",MAX(D401:F401))</f>
        <v/>
      </c>
      <c r="H401" s="18" t="str">
        <f aca="false">IF(COUNT(D401:F401)=0,"",ROUND(AVERAGE(D401:F401),1))</f>
        <v/>
      </c>
      <c r="I401" s="18" t="str">
        <f aca="false">IF(H401="","",IF(J401&lt;설정!$B$7,"",ROUND(AVERAGEIFS($H$2:$H$1001,$B$2:$B$1001,B401,$A$2:$A$1001,"&lt;"&amp;A401,$A$2:$A$1001,"&gt;="&amp;(A401-설정!$B$6)),1)))</f>
        <v/>
      </c>
      <c r="J401" s="18" t="str">
        <f aca="false">IF(H401="","",COUNTIFS($B$2:$B$1001,B401,$A$2:$A$1001,"&lt;"&amp;A401,$A$2:$A$1001,"&gt;="&amp;(A401-설정!$B$6),$H$2:$H$1001,"&gt;=0"))</f>
        <v/>
      </c>
      <c r="K401" s="21" t="str">
        <f aca="false">IF(I401="","",H401/I401-1)</f>
        <v/>
      </c>
      <c r="L401" s="19" t="str">
        <f aca="false">IF(H401="","",IF(J401&lt;설정!$B$7,"baseline 수집 중",IF(K401&lt;=-설정!$B$8,"저하","정상")))</f>
        <v/>
      </c>
      <c r="M401" s="20"/>
    </row>
    <row r="402" customFormat="false" ht="15" hidden="false" customHeight="false" outlineLevel="0" collapsed="false">
      <c r="A402" s="16"/>
      <c r="B402" s="17"/>
      <c r="C402" s="17"/>
      <c r="D402" s="17"/>
      <c r="E402" s="17"/>
      <c r="F402" s="17"/>
      <c r="G402" s="18" t="str">
        <f aca="false">IF(COUNT(D402:F402)=0,"",MAX(D402:F402))</f>
        <v/>
      </c>
      <c r="H402" s="18" t="str">
        <f aca="false">IF(COUNT(D402:F402)=0,"",ROUND(AVERAGE(D402:F402),1))</f>
        <v/>
      </c>
      <c r="I402" s="18" t="str">
        <f aca="false">IF(H402="","",IF(J402&lt;설정!$B$7,"",ROUND(AVERAGEIFS($H$2:$H$1001,$B$2:$B$1001,B402,$A$2:$A$1001,"&lt;"&amp;A402,$A$2:$A$1001,"&gt;="&amp;(A402-설정!$B$6)),1)))</f>
        <v/>
      </c>
      <c r="J402" s="18" t="str">
        <f aca="false">IF(H402="","",COUNTIFS($B$2:$B$1001,B402,$A$2:$A$1001,"&lt;"&amp;A402,$A$2:$A$1001,"&gt;="&amp;(A402-설정!$B$6),$H$2:$H$1001,"&gt;=0"))</f>
        <v/>
      </c>
      <c r="K402" s="21" t="str">
        <f aca="false">IF(I402="","",H402/I402-1)</f>
        <v/>
      </c>
      <c r="L402" s="19" t="str">
        <f aca="false">IF(H402="","",IF(J402&lt;설정!$B$7,"baseline 수집 중",IF(K402&lt;=-설정!$B$8,"저하","정상")))</f>
        <v/>
      </c>
      <c r="M402" s="20"/>
    </row>
    <row r="403" customFormat="false" ht="15" hidden="false" customHeight="false" outlineLevel="0" collapsed="false">
      <c r="A403" s="16"/>
      <c r="B403" s="17"/>
      <c r="C403" s="17"/>
      <c r="D403" s="17"/>
      <c r="E403" s="17"/>
      <c r="F403" s="17"/>
      <c r="G403" s="18" t="str">
        <f aca="false">IF(COUNT(D403:F403)=0,"",MAX(D403:F403))</f>
        <v/>
      </c>
      <c r="H403" s="18" t="str">
        <f aca="false">IF(COUNT(D403:F403)=0,"",ROUND(AVERAGE(D403:F403),1))</f>
        <v/>
      </c>
      <c r="I403" s="18" t="str">
        <f aca="false">IF(H403="","",IF(J403&lt;설정!$B$7,"",ROUND(AVERAGEIFS($H$2:$H$1001,$B$2:$B$1001,B403,$A$2:$A$1001,"&lt;"&amp;A403,$A$2:$A$1001,"&gt;="&amp;(A403-설정!$B$6)),1)))</f>
        <v/>
      </c>
      <c r="J403" s="18" t="str">
        <f aca="false">IF(H403="","",COUNTIFS($B$2:$B$1001,B403,$A$2:$A$1001,"&lt;"&amp;A403,$A$2:$A$1001,"&gt;="&amp;(A403-설정!$B$6),$H$2:$H$1001,"&gt;=0"))</f>
        <v/>
      </c>
      <c r="K403" s="21" t="str">
        <f aca="false">IF(I403="","",H403/I403-1)</f>
        <v/>
      </c>
      <c r="L403" s="19" t="str">
        <f aca="false">IF(H403="","",IF(J403&lt;설정!$B$7,"baseline 수집 중",IF(K403&lt;=-설정!$B$8,"저하","정상")))</f>
        <v/>
      </c>
      <c r="M403" s="20"/>
    </row>
    <row r="404" customFormat="false" ht="15" hidden="false" customHeight="false" outlineLevel="0" collapsed="false">
      <c r="A404" s="16"/>
      <c r="B404" s="17"/>
      <c r="C404" s="17"/>
      <c r="D404" s="17"/>
      <c r="E404" s="17"/>
      <c r="F404" s="17"/>
      <c r="G404" s="18" t="str">
        <f aca="false">IF(COUNT(D404:F404)=0,"",MAX(D404:F404))</f>
        <v/>
      </c>
      <c r="H404" s="18" t="str">
        <f aca="false">IF(COUNT(D404:F404)=0,"",ROUND(AVERAGE(D404:F404),1))</f>
        <v/>
      </c>
      <c r="I404" s="18" t="str">
        <f aca="false">IF(H404="","",IF(J404&lt;설정!$B$7,"",ROUND(AVERAGEIFS($H$2:$H$1001,$B$2:$B$1001,B404,$A$2:$A$1001,"&lt;"&amp;A404,$A$2:$A$1001,"&gt;="&amp;(A404-설정!$B$6)),1)))</f>
        <v/>
      </c>
      <c r="J404" s="18" t="str">
        <f aca="false">IF(H404="","",COUNTIFS($B$2:$B$1001,B404,$A$2:$A$1001,"&lt;"&amp;A404,$A$2:$A$1001,"&gt;="&amp;(A404-설정!$B$6),$H$2:$H$1001,"&gt;=0"))</f>
        <v/>
      </c>
      <c r="K404" s="21" t="str">
        <f aca="false">IF(I404="","",H404/I404-1)</f>
        <v/>
      </c>
      <c r="L404" s="19" t="str">
        <f aca="false">IF(H404="","",IF(J404&lt;설정!$B$7,"baseline 수집 중",IF(K404&lt;=-설정!$B$8,"저하","정상")))</f>
        <v/>
      </c>
      <c r="M404" s="20"/>
    </row>
    <row r="405" customFormat="false" ht="15" hidden="false" customHeight="false" outlineLevel="0" collapsed="false">
      <c r="A405" s="16"/>
      <c r="B405" s="17"/>
      <c r="C405" s="17"/>
      <c r="D405" s="17"/>
      <c r="E405" s="17"/>
      <c r="F405" s="17"/>
      <c r="G405" s="18" t="str">
        <f aca="false">IF(COUNT(D405:F405)=0,"",MAX(D405:F405))</f>
        <v/>
      </c>
      <c r="H405" s="18" t="str">
        <f aca="false">IF(COUNT(D405:F405)=0,"",ROUND(AVERAGE(D405:F405),1))</f>
        <v/>
      </c>
      <c r="I405" s="18" t="str">
        <f aca="false">IF(H405="","",IF(J405&lt;설정!$B$7,"",ROUND(AVERAGEIFS($H$2:$H$1001,$B$2:$B$1001,B405,$A$2:$A$1001,"&lt;"&amp;A405,$A$2:$A$1001,"&gt;="&amp;(A405-설정!$B$6)),1)))</f>
        <v/>
      </c>
      <c r="J405" s="18" t="str">
        <f aca="false">IF(H405="","",COUNTIFS($B$2:$B$1001,B405,$A$2:$A$1001,"&lt;"&amp;A405,$A$2:$A$1001,"&gt;="&amp;(A405-설정!$B$6),$H$2:$H$1001,"&gt;=0"))</f>
        <v/>
      </c>
      <c r="K405" s="21" t="str">
        <f aca="false">IF(I405="","",H405/I405-1)</f>
        <v/>
      </c>
      <c r="L405" s="19" t="str">
        <f aca="false">IF(H405="","",IF(J405&lt;설정!$B$7,"baseline 수집 중",IF(K405&lt;=-설정!$B$8,"저하","정상")))</f>
        <v/>
      </c>
      <c r="M405" s="20"/>
    </row>
    <row r="406" customFormat="false" ht="15" hidden="false" customHeight="false" outlineLevel="0" collapsed="false">
      <c r="A406" s="16"/>
      <c r="B406" s="17"/>
      <c r="C406" s="17"/>
      <c r="D406" s="17"/>
      <c r="E406" s="17"/>
      <c r="F406" s="17"/>
      <c r="G406" s="18" t="str">
        <f aca="false">IF(COUNT(D406:F406)=0,"",MAX(D406:F406))</f>
        <v/>
      </c>
      <c r="H406" s="18" t="str">
        <f aca="false">IF(COUNT(D406:F406)=0,"",ROUND(AVERAGE(D406:F406),1))</f>
        <v/>
      </c>
      <c r="I406" s="18" t="str">
        <f aca="false">IF(H406="","",IF(J406&lt;설정!$B$7,"",ROUND(AVERAGEIFS($H$2:$H$1001,$B$2:$B$1001,B406,$A$2:$A$1001,"&lt;"&amp;A406,$A$2:$A$1001,"&gt;="&amp;(A406-설정!$B$6)),1)))</f>
        <v/>
      </c>
      <c r="J406" s="18" t="str">
        <f aca="false">IF(H406="","",COUNTIFS($B$2:$B$1001,B406,$A$2:$A$1001,"&lt;"&amp;A406,$A$2:$A$1001,"&gt;="&amp;(A406-설정!$B$6),$H$2:$H$1001,"&gt;=0"))</f>
        <v/>
      </c>
      <c r="K406" s="21" t="str">
        <f aca="false">IF(I406="","",H406/I406-1)</f>
        <v/>
      </c>
      <c r="L406" s="19" t="str">
        <f aca="false">IF(H406="","",IF(J406&lt;설정!$B$7,"baseline 수집 중",IF(K406&lt;=-설정!$B$8,"저하","정상")))</f>
        <v/>
      </c>
      <c r="M406" s="20"/>
    </row>
    <row r="407" customFormat="false" ht="15" hidden="false" customHeight="false" outlineLevel="0" collapsed="false">
      <c r="A407" s="16"/>
      <c r="B407" s="17"/>
      <c r="C407" s="17"/>
      <c r="D407" s="17"/>
      <c r="E407" s="17"/>
      <c r="F407" s="17"/>
      <c r="G407" s="18" t="str">
        <f aca="false">IF(COUNT(D407:F407)=0,"",MAX(D407:F407))</f>
        <v/>
      </c>
      <c r="H407" s="18" t="str">
        <f aca="false">IF(COUNT(D407:F407)=0,"",ROUND(AVERAGE(D407:F407),1))</f>
        <v/>
      </c>
      <c r="I407" s="18" t="str">
        <f aca="false">IF(H407="","",IF(J407&lt;설정!$B$7,"",ROUND(AVERAGEIFS($H$2:$H$1001,$B$2:$B$1001,B407,$A$2:$A$1001,"&lt;"&amp;A407,$A$2:$A$1001,"&gt;="&amp;(A407-설정!$B$6)),1)))</f>
        <v/>
      </c>
      <c r="J407" s="18" t="str">
        <f aca="false">IF(H407="","",COUNTIFS($B$2:$B$1001,B407,$A$2:$A$1001,"&lt;"&amp;A407,$A$2:$A$1001,"&gt;="&amp;(A407-설정!$B$6),$H$2:$H$1001,"&gt;=0"))</f>
        <v/>
      </c>
      <c r="K407" s="21" t="str">
        <f aca="false">IF(I407="","",H407/I407-1)</f>
        <v/>
      </c>
      <c r="L407" s="19" t="str">
        <f aca="false">IF(H407="","",IF(J407&lt;설정!$B$7,"baseline 수집 중",IF(K407&lt;=-설정!$B$8,"저하","정상")))</f>
        <v/>
      </c>
      <c r="M407" s="20"/>
    </row>
    <row r="408" customFormat="false" ht="15" hidden="false" customHeight="false" outlineLevel="0" collapsed="false">
      <c r="A408" s="16"/>
      <c r="B408" s="17"/>
      <c r="C408" s="17"/>
      <c r="D408" s="17"/>
      <c r="E408" s="17"/>
      <c r="F408" s="17"/>
      <c r="G408" s="18" t="str">
        <f aca="false">IF(COUNT(D408:F408)=0,"",MAX(D408:F408))</f>
        <v/>
      </c>
      <c r="H408" s="18" t="str">
        <f aca="false">IF(COUNT(D408:F408)=0,"",ROUND(AVERAGE(D408:F408),1))</f>
        <v/>
      </c>
      <c r="I408" s="18" t="str">
        <f aca="false">IF(H408="","",IF(J408&lt;설정!$B$7,"",ROUND(AVERAGEIFS($H$2:$H$1001,$B$2:$B$1001,B408,$A$2:$A$1001,"&lt;"&amp;A408,$A$2:$A$1001,"&gt;="&amp;(A408-설정!$B$6)),1)))</f>
        <v/>
      </c>
      <c r="J408" s="18" t="str">
        <f aca="false">IF(H408="","",COUNTIFS($B$2:$B$1001,B408,$A$2:$A$1001,"&lt;"&amp;A408,$A$2:$A$1001,"&gt;="&amp;(A408-설정!$B$6),$H$2:$H$1001,"&gt;=0"))</f>
        <v/>
      </c>
      <c r="K408" s="21" t="str">
        <f aca="false">IF(I408="","",H408/I408-1)</f>
        <v/>
      </c>
      <c r="L408" s="19" t="str">
        <f aca="false">IF(H408="","",IF(J408&lt;설정!$B$7,"baseline 수집 중",IF(K408&lt;=-설정!$B$8,"저하","정상")))</f>
        <v/>
      </c>
      <c r="M408" s="20"/>
    </row>
    <row r="409" customFormat="false" ht="15" hidden="false" customHeight="false" outlineLevel="0" collapsed="false">
      <c r="A409" s="16"/>
      <c r="B409" s="17"/>
      <c r="C409" s="17"/>
      <c r="D409" s="17"/>
      <c r="E409" s="17"/>
      <c r="F409" s="17"/>
      <c r="G409" s="18" t="str">
        <f aca="false">IF(COUNT(D409:F409)=0,"",MAX(D409:F409))</f>
        <v/>
      </c>
      <c r="H409" s="18" t="str">
        <f aca="false">IF(COUNT(D409:F409)=0,"",ROUND(AVERAGE(D409:F409),1))</f>
        <v/>
      </c>
      <c r="I409" s="18" t="str">
        <f aca="false">IF(H409="","",IF(J409&lt;설정!$B$7,"",ROUND(AVERAGEIFS($H$2:$H$1001,$B$2:$B$1001,B409,$A$2:$A$1001,"&lt;"&amp;A409,$A$2:$A$1001,"&gt;="&amp;(A409-설정!$B$6)),1)))</f>
        <v/>
      </c>
      <c r="J409" s="18" t="str">
        <f aca="false">IF(H409="","",COUNTIFS($B$2:$B$1001,B409,$A$2:$A$1001,"&lt;"&amp;A409,$A$2:$A$1001,"&gt;="&amp;(A409-설정!$B$6),$H$2:$H$1001,"&gt;=0"))</f>
        <v/>
      </c>
      <c r="K409" s="21" t="str">
        <f aca="false">IF(I409="","",H409/I409-1)</f>
        <v/>
      </c>
      <c r="L409" s="19" t="str">
        <f aca="false">IF(H409="","",IF(J409&lt;설정!$B$7,"baseline 수집 중",IF(K409&lt;=-설정!$B$8,"저하","정상")))</f>
        <v/>
      </c>
      <c r="M409" s="20"/>
    </row>
    <row r="410" customFormat="false" ht="15" hidden="false" customHeight="false" outlineLevel="0" collapsed="false">
      <c r="A410" s="16"/>
      <c r="B410" s="17"/>
      <c r="C410" s="17"/>
      <c r="D410" s="17"/>
      <c r="E410" s="17"/>
      <c r="F410" s="17"/>
      <c r="G410" s="18" t="str">
        <f aca="false">IF(COUNT(D410:F410)=0,"",MAX(D410:F410))</f>
        <v/>
      </c>
      <c r="H410" s="18" t="str">
        <f aca="false">IF(COUNT(D410:F410)=0,"",ROUND(AVERAGE(D410:F410),1))</f>
        <v/>
      </c>
      <c r="I410" s="18" t="str">
        <f aca="false">IF(H410="","",IF(J410&lt;설정!$B$7,"",ROUND(AVERAGEIFS($H$2:$H$1001,$B$2:$B$1001,B410,$A$2:$A$1001,"&lt;"&amp;A410,$A$2:$A$1001,"&gt;="&amp;(A410-설정!$B$6)),1)))</f>
        <v/>
      </c>
      <c r="J410" s="18" t="str">
        <f aca="false">IF(H410="","",COUNTIFS($B$2:$B$1001,B410,$A$2:$A$1001,"&lt;"&amp;A410,$A$2:$A$1001,"&gt;="&amp;(A410-설정!$B$6),$H$2:$H$1001,"&gt;=0"))</f>
        <v/>
      </c>
      <c r="K410" s="21" t="str">
        <f aca="false">IF(I410="","",H410/I410-1)</f>
        <v/>
      </c>
      <c r="L410" s="19" t="str">
        <f aca="false">IF(H410="","",IF(J410&lt;설정!$B$7,"baseline 수집 중",IF(K410&lt;=-설정!$B$8,"저하","정상")))</f>
        <v/>
      </c>
      <c r="M410" s="20"/>
    </row>
    <row r="411" customFormat="false" ht="15" hidden="false" customHeight="false" outlineLevel="0" collapsed="false">
      <c r="A411" s="16"/>
      <c r="B411" s="17"/>
      <c r="C411" s="17"/>
      <c r="D411" s="17"/>
      <c r="E411" s="17"/>
      <c r="F411" s="17"/>
      <c r="G411" s="18" t="str">
        <f aca="false">IF(COUNT(D411:F411)=0,"",MAX(D411:F411))</f>
        <v/>
      </c>
      <c r="H411" s="18" t="str">
        <f aca="false">IF(COUNT(D411:F411)=0,"",ROUND(AVERAGE(D411:F411),1))</f>
        <v/>
      </c>
      <c r="I411" s="18" t="str">
        <f aca="false">IF(H411="","",IF(J411&lt;설정!$B$7,"",ROUND(AVERAGEIFS($H$2:$H$1001,$B$2:$B$1001,B411,$A$2:$A$1001,"&lt;"&amp;A411,$A$2:$A$1001,"&gt;="&amp;(A411-설정!$B$6)),1)))</f>
        <v/>
      </c>
      <c r="J411" s="18" t="str">
        <f aca="false">IF(H411="","",COUNTIFS($B$2:$B$1001,B411,$A$2:$A$1001,"&lt;"&amp;A411,$A$2:$A$1001,"&gt;="&amp;(A411-설정!$B$6),$H$2:$H$1001,"&gt;=0"))</f>
        <v/>
      </c>
      <c r="K411" s="21" t="str">
        <f aca="false">IF(I411="","",H411/I411-1)</f>
        <v/>
      </c>
      <c r="L411" s="19" t="str">
        <f aca="false">IF(H411="","",IF(J411&lt;설정!$B$7,"baseline 수집 중",IF(K411&lt;=-설정!$B$8,"저하","정상")))</f>
        <v/>
      </c>
      <c r="M411" s="20"/>
    </row>
    <row r="412" customFormat="false" ht="15" hidden="false" customHeight="false" outlineLevel="0" collapsed="false">
      <c r="A412" s="16"/>
      <c r="B412" s="17"/>
      <c r="C412" s="17"/>
      <c r="D412" s="17"/>
      <c r="E412" s="17"/>
      <c r="F412" s="17"/>
      <c r="G412" s="18" t="str">
        <f aca="false">IF(COUNT(D412:F412)=0,"",MAX(D412:F412))</f>
        <v/>
      </c>
      <c r="H412" s="18" t="str">
        <f aca="false">IF(COUNT(D412:F412)=0,"",ROUND(AVERAGE(D412:F412),1))</f>
        <v/>
      </c>
      <c r="I412" s="18" t="str">
        <f aca="false">IF(H412="","",IF(J412&lt;설정!$B$7,"",ROUND(AVERAGEIFS($H$2:$H$1001,$B$2:$B$1001,B412,$A$2:$A$1001,"&lt;"&amp;A412,$A$2:$A$1001,"&gt;="&amp;(A412-설정!$B$6)),1)))</f>
        <v/>
      </c>
      <c r="J412" s="18" t="str">
        <f aca="false">IF(H412="","",COUNTIFS($B$2:$B$1001,B412,$A$2:$A$1001,"&lt;"&amp;A412,$A$2:$A$1001,"&gt;="&amp;(A412-설정!$B$6),$H$2:$H$1001,"&gt;=0"))</f>
        <v/>
      </c>
      <c r="K412" s="21" t="str">
        <f aca="false">IF(I412="","",H412/I412-1)</f>
        <v/>
      </c>
      <c r="L412" s="19" t="str">
        <f aca="false">IF(H412="","",IF(J412&lt;설정!$B$7,"baseline 수집 중",IF(K412&lt;=-설정!$B$8,"저하","정상")))</f>
        <v/>
      </c>
      <c r="M412" s="20"/>
    </row>
    <row r="413" customFormat="false" ht="15" hidden="false" customHeight="false" outlineLevel="0" collapsed="false">
      <c r="A413" s="16"/>
      <c r="B413" s="17"/>
      <c r="C413" s="17"/>
      <c r="D413" s="17"/>
      <c r="E413" s="17"/>
      <c r="F413" s="17"/>
      <c r="G413" s="18" t="str">
        <f aca="false">IF(COUNT(D413:F413)=0,"",MAX(D413:F413))</f>
        <v/>
      </c>
      <c r="H413" s="18" t="str">
        <f aca="false">IF(COUNT(D413:F413)=0,"",ROUND(AVERAGE(D413:F413),1))</f>
        <v/>
      </c>
      <c r="I413" s="18" t="str">
        <f aca="false">IF(H413="","",IF(J413&lt;설정!$B$7,"",ROUND(AVERAGEIFS($H$2:$H$1001,$B$2:$B$1001,B413,$A$2:$A$1001,"&lt;"&amp;A413,$A$2:$A$1001,"&gt;="&amp;(A413-설정!$B$6)),1)))</f>
        <v/>
      </c>
      <c r="J413" s="18" t="str">
        <f aca="false">IF(H413="","",COUNTIFS($B$2:$B$1001,B413,$A$2:$A$1001,"&lt;"&amp;A413,$A$2:$A$1001,"&gt;="&amp;(A413-설정!$B$6),$H$2:$H$1001,"&gt;=0"))</f>
        <v/>
      </c>
      <c r="K413" s="21" t="str">
        <f aca="false">IF(I413="","",H413/I413-1)</f>
        <v/>
      </c>
      <c r="L413" s="19" t="str">
        <f aca="false">IF(H413="","",IF(J413&lt;설정!$B$7,"baseline 수집 중",IF(K413&lt;=-설정!$B$8,"저하","정상")))</f>
        <v/>
      </c>
      <c r="M413" s="20"/>
    </row>
    <row r="414" customFormat="false" ht="15" hidden="false" customHeight="false" outlineLevel="0" collapsed="false">
      <c r="A414" s="16"/>
      <c r="B414" s="17"/>
      <c r="C414" s="17"/>
      <c r="D414" s="17"/>
      <c r="E414" s="17"/>
      <c r="F414" s="17"/>
      <c r="G414" s="18" t="str">
        <f aca="false">IF(COUNT(D414:F414)=0,"",MAX(D414:F414))</f>
        <v/>
      </c>
      <c r="H414" s="18" t="str">
        <f aca="false">IF(COUNT(D414:F414)=0,"",ROUND(AVERAGE(D414:F414),1))</f>
        <v/>
      </c>
      <c r="I414" s="18" t="str">
        <f aca="false">IF(H414="","",IF(J414&lt;설정!$B$7,"",ROUND(AVERAGEIFS($H$2:$H$1001,$B$2:$B$1001,B414,$A$2:$A$1001,"&lt;"&amp;A414,$A$2:$A$1001,"&gt;="&amp;(A414-설정!$B$6)),1)))</f>
        <v/>
      </c>
      <c r="J414" s="18" t="str">
        <f aca="false">IF(H414="","",COUNTIFS($B$2:$B$1001,B414,$A$2:$A$1001,"&lt;"&amp;A414,$A$2:$A$1001,"&gt;="&amp;(A414-설정!$B$6),$H$2:$H$1001,"&gt;=0"))</f>
        <v/>
      </c>
      <c r="K414" s="21" t="str">
        <f aca="false">IF(I414="","",H414/I414-1)</f>
        <v/>
      </c>
      <c r="L414" s="19" t="str">
        <f aca="false">IF(H414="","",IF(J414&lt;설정!$B$7,"baseline 수집 중",IF(K414&lt;=-설정!$B$8,"저하","정상")))</f>
        <v/>
      </c>
      <c r="M414" s="20"/>
    </row>
    <row r="415" customFormat="false" ht="15" hidden="false" customHeight="false" outlineLevel="0" collapsed="false">
      <c r="A415" s="16"/>
      <c r="B415" s="17"/>
      <c r="C415" s="17"/>
      <c r="D415" s="17"/>
      <c r="E415" s="17"/>
      <c r="F415" s="17"/>
      <c r="G415" s="18" t="str">
        <f aca="false">IF(COUNT(D415:F415)=0,"",MAX(D415:F415))</f>
        <v/>
      </c>
      <c r="H415" s="18" t="str">
        <f aca="false">IF(COUNT(D415:F415)=0,"",ROUND(AVERAGE(D415:F415),1))</f>
        <v/>
      </c>
      <c r="I415" s="18" t="str">
        <f aca="false">IF(H415="","",IF(J415&lt;설정!$B$7,"",ROUND(AVERAGEIFS($H$2:$H$1001,$B$2:$B$1001,B415,$A$2:$A$1001,"&lt;"&amp;A415,$A$2:$A$1001,"&gt;="&amp;(A415-설정!$B$6)),1)))</f>
        <v/>
      </c>
      <c r="J415" s="18" t="str">
        <f aca="false">IF(H415="","",COUNTIFS($B$2:$B$1001,B415,$A$2:$A$1001,"&lt;"&amp;A415,$A$2:$A$1001,"&gt;="&amp;(A415-설정!$B$6),$H$2:$H$1001,"&gt;=0"))</f>
        <v/>
      </c>
      <c r="K415" s="21" t="str">
        <f aca="false">IF(I415="","",H415/I415-1)</f>
        <v/>
      </c>
      <c r="L415" s="19" t="str">
        <f aca="false">IF(H415="","",IF(J415&lt;설정!$B$7,"baseline 수집 중",IF(K415&lt;=-설정!$B$8,"저하","정상")))</f>
        <v/>
      </c>
      <c r="M415" s="20"/>
    </row>
    <row r="416" customFormat="false" ht="15" hidden="false" customHeight="false" outlineLevel="0" collapsed="false">
      <c r="A416" s="16"/>
      <c r="B416" s="17"/>
      <c r="C416" s="17"/>
      <c r="D416" s="17"/>
      <c r="E416" s="17"/>
      <c r="F416" s="17"/>
      <c r="G416" s="18" t="str">
        <f aca="false">IF(COUNT(D416:F416)=0,"",MAX(D416:F416))</f>
        <v/>
      </c>
      <c r="H416" s="18" t="str">
        <f aca="false">IF(COUNT(D416:F416)=0,"",ROUND(AVERAGE(D416:F416),1))</f>
        <v/>
      </c>
      <c r="I416" s="18" t="str">
        <f aca="false">IF(H416="","",IF(J416&lt;설정!$B$7,"",ROUND(AVERAGEIFS($H$2:$H$1001,$B$2:$B$1001,B416,$A$2:$A$1001,"&lt;"&amp;A416,$A$2:$A$1001,"&gt;="&amp;(A416-설정!$B$6)),1)))</f>
        <v/>
      </c>
      <c r="J416" s="18" t="str">
        <f aca="false">IF(H416="","",COUNTIFS($B$2:$B$1001,B416,$A$2:$A$1001,"&lt;"&amp;A416,$A$2:$A$1001,"&gt;="&amp;(A416-설정!$B$6),$H$2:$H$1001,"&gt;=0"))</f>
        <v/>
      </c>
      <c r="K416" s="21" t="str">
        <f aca="false">IF(I416="","",H416/I416-1)</f>
        <v/>
      </c>
      <c r="L416" s="19" t="str">
        <f aca="false">IF(H416="","",IF(J416&lt;설정!$B$7,"baseline 수집 중",IF(K416&lt;=-설정!$B$8,"저하","정상")))</f>
        <v/>
      </c>
      <c r="M416" s="20"/>
    </row>
    <row r="417" customFormat="false" ht="15" hidden="false" customHeight="false" outlineLevel="0" collapsed="false">
      <c r="A417" s="16"/>
      <c r="B417" s="17"/>
      <c r="C417" s="17"/>
      <c r="D417" s="17"/>
      <c r="E417" s="17"/>
      <c r="F417" s="17"/>
      <c r="G417" s="18" t="str">
        <f aca="false">IF(COUNT(D417:F417)=0,"",MAX(D417:F417))</f>
        <v/>
      </c>
      <c r="H417" s="18" t="str">
        <f aca="false">IF(COUNT(D417:F417)=0,"",ROUND(AVERAGE(D417:F417),1))</f>
        <v/>
      </c>
      <c r="I417" s="18" t="str">
        <f aca="false">IF(H417="","",IF(J417&lt;설정!$B$7,"",ROUND(AVERAGEIFS($H$2:$H$1001,$B$2:$B$1001,B417,$A$2:$A$1001,"&lt;"&amp;A417,$A$2:$A$1001,"&gt;="&amp;(A417-설정!$B$6)),1)))</f>
        <v/>
      </c>
      <c r="J417" s="18" t="str">
        <f aca="false">IF(H417="","",COUNTIFS($B$2:$B$1001,B417,$A$2:$A$1001,"&lt;"&amp;A417,$A$2:$A$1001,"&gt;="&amp;(A417-설정!$B$6),$H$2:$H$1001,"&gt;=0"))</f>
        <v/>
      </c>
      <c r="K417" s="21" t="str">
        <f aca="false">IF(I417="","",H417/I417-1)</f>
        <v/>
      </c>
      <c r="L417" s="19" t="str">
        <f aca="false">IF(H417="","",IF(J417&lt;설정!$B$7,"baseline 수집 중",IF(K417&lt;=-설정!$B$8,"저하","정상")))</f>
        <v/>
      </c>
      <c r="M417" s="20"/>
    </row>
    <row r="418" customFormat="false" ht="15" hidden="false" customHeight="false" outlineLevel="0" collapsed="false">
      <c r="A418" s="16"/>
      <c r="B418" s="17"/>
      <c r="C418" s="17"/>
      <c r="D418" s="17"/>
      <c r="E418" s="17"/>
      <c r="F418" s="17"/>
      <c r="G418" s="18" t="str">
        <f aca="false">IF(COUNT(D418:F418)=0,"",MAX(D418:F418))</f>
        <v/>
      </c>
      <c r="H418" s="18" t="str">
        <f aca="false">IF(COUNT(D418:F418)=0,"",ROUND(AVERAGE(D418:F418),1))</f>
        <v/>
      </c>
      <c r="I418" s="18" t="str">
        <f aca="false">IF(H418="","",IF(J418&lt;설정!$B$7,"",ROUND(AVERAGEIFS($H$2:$H$1001,$B$2:$B$1001,B418,$A$2:$A$1001,"&lt;"&amp;A418,$A$2:$A$1001,"&gt;="&amp;(A418-설정!$B$6)),1)))</f>
        <v/>
      </c>
      <c r="J418" s="18" t="str">
        <f aca="false">IF(H418="","",COUNTIFS($B$2:$B$1001,B418,$A$2:$A$1001,"&lt;"&amp;A418,$A$2:$A$1001,"&gt;="&amp;(A418-설정!$B$6),$H$2:$H$1001,"&gt;=0"))</f>
        <v/>
      </c>
      <c r="K418" s="21" t="str">
        <f aca="false">IF(I418="","",H418/I418-1)</f>
        <v/>
      </c>
      <c r="L418" s="19" t="str">
        <f aca="false">IF(H418="","",IF(J418&lt;설정!$B$7,"baseline 수집 중",IF(K418&lt;=-설정!$B$8,"저하","정상")))</f>
        <v/>
      </c>
      <c r="M418" s="20"/>
    </row>
    <row r="419" customFormat="false" ht="15" hidden="false" customHeight="false" outlineLevel="0" collapsed="false">
      <c r="A419" s="16"/>
      <c r="B419" s="17"/>
      <c r="C419" s="17"/>
      <c r="D419" s="17"/>
      <c r="E419" s="17"/>
      <c r="F419" s="17"/>
      <c r="G419" s="18" t="str">
        <f aca="false">IF(COUNT(D419:F419)=0,"",MAX(D419:F419))</f>
        <v/>
      </c>
      <c r="H419" s="18" t="str">
        <f aca="false">IF(COUNT(D419:F419)=0,"",ROUND(AVERAGE(D419:F419),1))</f>
        <v/>
      </c>
      <c r="I419" s="18" t="str">
        <f aca="false">IF(H419="","",IF(J419&lt;설정!$B$7,"",ROUND(AVERAGEIFS($H$2:$H$1001,$B$2:$B$1001,B419,$A$2:$A$1001,"&lt;"&amp;A419,$A$2:$A$1001,"&gt;="&amp;(A419-설정!$B$6)),1)))</f>
        <v/>
      </c>
      <c r="J419" s="18" t="str">
        <f aca="false">IF(H419="","",COUNTIFS($B$2:$B$1001,B419,$A$2:$A$1001,"&lt;"&amp;A419,$A$2:$A$1001,"&gt;="&amp;(A419-설정!$B$6),$H$2:$H$1001,"&gt;=0"))</f>
        <v/>
      </c>
      <c r="K419" s="21" t="str">
        <f aca="false">IF(I419="","",H419/I419-1)</f>
        <v/>
      </c>
      <c r="L419" s="19" t="str">
        <f aca="false">IF(H419="","",IF(J419&lt;설정!$B$7,"baseline 수집 중",IF(K419&lt;=-설정!$B$8,"저하","정상")))</f>
        <v/>
      </c>
      <c r="M419" s="20"/>
    </row>
    <row r="420" customFormat="false" ht="15" hidden="false" customHeight="false" outlineLevel="0" collapsed="false">
      <c r="A420" s="16"/>
      <c r="B420" s="17"/>
      <c r="C420" s="17"/>
      <c r="D420" s="17"/>
      <c r="E420" s="17"/>
      <c r="F420" s="17"/>
      <c r="G420" s="18" t="str">
        <f aca="false">IF(COUNT(D420:F420)=0,"",MAX(D420:F420))</f>
        <v/>
      </c>
      <c r="H420" s="18" t="str">
        <f aca="false">IF(COUNT(D420:F420)=0,"",ROUND(AVERAGE(D420:F420),1))</f>
        <v/>
      </c>
      <c r="I420" s="18" t="str">
        <f aca="false">IF(H420="","",IF(J420&lt;설정!$B$7,"",ROUND(AVERAGEIFS($H$2:$H$1001,$B$2:$B$1001,B420,$A$2:$A$1001,"&lt;"&amp;A420,$A$2:$A$1001,"&gt;="&amp;(A420-설정!$B$6)),1)))</f>
        <v/>
      </c>
      <c r="J420" s="18" t="str">
        <f aca="false">IF(H420="","",COUNTIFS($B$2:$B$1001,B420,$A$2:$A$1001,"&lt;"&amp;A420,$A$2:$A$1001,"&gt;="&amp;(A420-설정!$B$6),$H$2:$H$1001,"&gt;=0"))</f>
        <v/>
      </c>
      <c r="K420" s="21" t="str">
        <f aca="false">IF(I420="","",H420/I420-1)</f>
        <v/>
      </c>
      <c r="L420" s="19" t="str">
        <f aca="false">IF(H420="","",IF(J420&lt;설정!$B$7,"baseline 수집 중",IF(K420&lt;=-설정!$B$8,"저하","정상")))</f>
        <v/>
      </c>
      <c r="M420" s="20"/>
    </row>
    <row r="421" customFormat="false" ht="15" hidden="false" customHeight="false" outlineLevel="0" collapsed="false">
      <c r="A421" s="16"/>
      <c r="B421" s="17"/>
      <c r="C421" s="17"/>
      <c r="D421" s="17"/>
      <c r="E421" s="17"/>
      <c r="F421" s="17"/>
      <c r="G421" s="18" t="str">
        <f aca="false">IF(COUNT(D421:F421)=0,"",MAX(D421:F421))</f>
        <v/>
      </c>
      <c r="H421" s="18" t="str">
        <f aca="false">IF(COUNT(D421:F421)=0,"",ROUND(AVERAGE(D421:F421),1))</f>
        <v/>
      </c>
      <c r="I421" s="18" t="str">
        <f aca="false">IF(H421="","",IF(J421&lt;설정!$B$7,"",ROUND(AVERAGEIFS($H$2:$H$1001,$B$2:$B$1001,B421,$A$2:$A$1001,"&lt;"&amp;A421,$A$2:$A$1001,"&gt;="&amp;(A421-설정!$B$6)),1)))</f>
        <v/>
      </c>
      <c r="J421" s="18" t="str">
        <f aca="false">IF(H421="","",COUNTIFS($B$2:$B$1001,B421,$A$2:$A$1001,"&lt;"&amp;A421,$A$2:$A$1001,"&gt;="&amp;(A421-설정!$B$6),$H$2:$H$1001,"&gt;=0"))</f>
        <v/>
      </c>
      <c r="K421" s="21" t="str">
        <f aca="false">IF(I421="","",H421/I421-1)</f>
        <v/>
      </c>
      <c r="L421" s="19" t="str">
        <f aca="false">IF(H421="","",IF(J421&lt;설정!$B$7,"baseline 수집 중",IF(K421&lt;=-설정!$B$8,"저하","정상")))</f>
        <v/>
      </c>
      <c r="M421" s="20"/>
    </row>
    <row r="422" customFormat="false" ht="15" hidden="false" customHeight="false" outlineLevel="0" collapsed="false">
      <c r="A422" s="16"/>
      <c r="B422" s="17"/>
      <c r="C422" s="17"/>
      <c r="D422" s="17"/>
      <c r="E422" s="17"/>
      <c r="F422" s="17"/>
      <c r="G422" s="18" t="str">
        <f aca="false">IF(COUNT(D422:F422)=0,"",MAX(D422:F422))</f>
        <v/>
      </c>
      <c r="H422" s="18" t="str">
        <f aca="false">IF(COUNT(D422:F422)=0,"",ROUND(AVERAGE(D422:F422),1))</f>
        <v/>
      </c>
      <c r="I422" s="18" t="str">
        <f aca="false">IF(H422="","",IF(J422&lt;설정!$B$7,"",ROUND(AVERAGEIFS($H$2:$H$1001,$B$2:$B$1001,B422,$A$2:$A$1001,"&lt;"&amp;A422,$A$2:$A$1001,"&gt;="&amp;(A422-설정!$B$6)),1)))</f>
        <v/>
      </c>
      <c r="J422" s="18" t="str">
        <f aca="false">IF(H422="","",COUNTIFS($B$2:$B$1001,B422,$A$2:$A$1001,"&lt;"&amp;A422,$A$2:$A$1001,"&gt;="&amp;(A422-설정!$B$6),$H$2:$H$1001,"&gt;=0"))</f>
        <v/>
      </c>
      <c r="K422" s="21" t="str">
        <f aca="false">IF(I422="","",H422/I422-1)</f>
        <v/>
      </c>
      <c r="L422" s="19" t="str">
        <f aca="false">IF(H422="","",IF(J422&lt;설정!$B$7,"baseline 수집 중",IF(K422&lt;=-설정!$B$8,"저하","정상")))</f>
        <v/>
      </c>
      <c r="M422" s="20"/>
    </row>
    <row r="423" customFormat="false" ht="15" hidden="false" customHeight="false" outlineLevel="0" collapsed="false">
      <c r="A423" s="16"/>
      <c r="B423" s="17"/>
      <c r="C423" s="17"/>
      <c r="D423" s="17"/>
      <c r="E423" s="17"/>
      <c r="F423" s="17"/>
      <c r="G423" s="18" t="str">
        <f aca="false">IF(COUNT(D423:F423)=0,"",MAX(D423:F423))</f>
        <v/>
      </c>
      <c r="H423" s="18" t="str">
        <f aca="false">IF(COUNT(D423:F423)=0,"",ROUND(AVERAGE(D423:F423),1))</f>
        <v/>
      </c>
      <c r="I423" s="18" t="str">
        <f aca="false">IF(H423="","",IF(J423&lt;설정!$B$7,"",ROUND(AVERAGEIFS($H$2:$H$1001,$B$2:$B$1001,B423,$A$2:$A$1001,"&lt;"&amp;A423,$A$2:$A$1001,"&gt;="&amp;(A423-설정!$B$6)),1)))</f>
        <v/>
      </c>
      <c r="J423" s="18" t="str">
        <f aca="false">IF(H423="","",COUNTIFS($B$2:$B$1001,B423,$A$2:$A$1001,"&lt;"&amp;A423,$A$2:$A$1001,"&gt;="&amp;(A423-설정!$B$6),$H$2:$H$1001,"&gt;=0"))</f>
        <v/>
      </c>
      <c r="K423" s="21" t="str">
        <f aca="false">IF(I423="","",H423/I423-1)</f>
        <v/>
      </c>
      <c r="L423" s="19" t="str">
        <f aca="false">IF(H423="","",IF(J423&lt;설정!$B$7,"baseline 수집 중",IF(K423&lt;=-설정!$B$8,"저하","정상")))</f>
        <v/>
      </c>
      <c r="M423" s="20"/>
    </row>
    <row r="424" customFormat="false" ht="15" hidden="false" customHeight="false" outlineLevel="0" collapsed="false">
      <c r="A424" s="16"/>
      <c r="B424" s="17"/>
      <c r="C424" s="17"/>
      <c r="D424" s="17"/>
      <c r="E424" s="17"/>
      <c r="F424" s="17"/>
      <c r="G424" s="18" t="str">
        <f aca="false">IF(COUNT(D424:F424)=0,"",MAX(D424:F424))</f>
        <v/>
      </c>
      <c r="H424" s="18" t="str">
        <f aca="false">IF(COUNT(D424:F424)=0,"",ROUND(AVERAGE(D424:F424),1))</f>
        <v/>
      </c>
      <c r="I424" s="18" t="str">
        <f aca="false">IF(H424="","",IF(J424&lt;설정!$B$7,"",ROUND(AVERAGEIFS($H$2:$H$1001,$B$2:$B$1001,B424,$A$2:$A$1001,"&lt;"&amp;A424,$A$2:$A$1001,"&gt;="&amp;(A424-설정!$B$6)),1)))</f>
        <v/>
      </c>
      <c r="J424" s="18" t="str">
        <f aca="false">IF(H424="","",COUNTIFS($B$2:$B$1001,B424,$A$2:$A$1001,"&lt;"&amp;A424,$A$2:$A$1001,"&gt;="&amp;(A424-설정!$B$6),$H$2:$H$1001,"&gt;=0"))</f>
        <v/>
      </c>
      <c r="K424" s="21" t="str">
        <f aca="false">IF(I424="","",H424/I424-1)</f>
        <v/>
      </c>
      <c r="L424" s="19" t="str">
        <f aca="false">IF(H424="","",IF(J424&lt;설정!$B$7,"baseline 수집 중",IF(K424&lt;=-설정!$B$8,"저하","정상")))</f>
        <v/>
      </c>
      <c r="M424" s="20"/>
    </row>
    <row r="425" customFormat="false" ht="15" hidden="false" customHeight="false" outlineLevel="0" collapsed="false">
      <c r="A425" s="16"/>
      <c r="B425" s="17"/>
      <c r="C425" s="17"/>
      <c r="D425" s="17"/>
      <c r="E425" s="17"/>
      <c r="F425" s="17"/>
      <c r="G425" s="18" t="str">
        <f aca="false">IF(COUNT(D425:F425)=0,"",MAX(D425:F425))</f>
        <v/>
      </c>
      <c r="H425" s="18" t="str">
        <f aca="false">IF(COUNT(D425:F425)=0,"",ROUND(AVERAGE(D425:F425),1))</f>
        <v/>
      </c>
      <c r="I425" s="18" t="str">
        <f aca="false">IF(H425="","",IF(J425&lt;설정!$B$7,"",ROUND(AVERAGEIFS($H$2:$H$1001,$B$2:$B$1001,B425,$A$2:$A$1001,"&lt;"&amp;A425,$A$2:$A$1001,"&gt;="&amp;(A425-설정!$B$6)),1)))</f>
        <v/>
      </c>
      <c r="J425" s="18" t="str">
        <f aca="false">IF(H425="","",COUNTIFS($B$2:$B$1001,B425,$A$2:$A$1001,"&lt;"&amp;A425,$A$2:$A$1001,"&gt;="&amp;(A425-설정!$B$6),$H$2:$H$1001,"&gt;=0"))</f>
        <v/>
      </c>
      <c r="K425" s="21" t="str">
        <f aca="false">IF(I425="","",H425/I425-1)</f>
        <v/>
      </c>
      <c r="L425" s="19" t="str">
        <f aca="false">IF(H425="","",IF(J425&lt;설정!$B$7,"baseline 수집 중",IF(K425&lt;=-설정!$B$8,"저하","정상")))</f>
        <v/>
      </c>
      <c r="M425" s="20"/>
    </row>
    <row r="426" customFormat="false" ht="15" hidden="false" customHeight="false" outlineLevel="0" collapsed="false">
      <c r="A426" s="16"/>
      <c r="B426" s="17"/>
      <c r="C426" s="17"/>
      <c r="D426" s="17"/>
      <c r="E426" s="17"/>
      <c r="F426" s="17"/>
      <c r="G426" s="18" t="str">
        <f aca="false">IF(COUNT(D426:F426)=0,"",MAX(D426:F426))</f>
        <v/>
      </c>
      <c r="H426" s="18" t="str">
        <f aca="false">IF(COUNT(D426:F426)=0,"",ROUND(AVERAGE(D426:F426),1))</f>
        <v/>
      </c>
      <c r="I426" s="18" t="str">
        <f aca="false">IF(H426="","",IF(J426&lt;설정!$B$7,"",ROUND(AVERAGEIFS($H$2:$H$1001,$B$2:$B$1001,B426,$A$2:$A$1001,"&lt;"&amp;A426,$A$2:$A$1001,"&gt;="&amp;(A426-설정!$B$6)),1)))</f>
        <v/>
      </c>
      <c r="J426" s="18" t="str">
        <f aca="false">IF(H426="","",COUNTIFS($B$2:$B$1001,B426,$A$2:$A$1001,"&lt;"&amp;A426,$A$2:$A$1001,"&gt;="&amp;(A426-설정!$B$6),$H$2:$H$1001,"&gt;=0"))</f>
        <v/>
      </c>
      <c r="K426" s="21" t="str">
        <f aca="false">IF(I426="","",H426/I426-1)</f>
        <v/>
      </c>
      <c r="L426" s="19" t="str">
        <f aca="false">IF(H426="","",IF(J426&lt;설정!$B$7,"baseline 수집 중",IF(K426&lt;=-설정!$B$8,"저하","정상")))</f>
        <v/>
      </c>
      <c r="M426" s="20"/>
    </row>
    <row r="427" customFormat="false" ht="15" hidden="false" customHeight="false" outlineLevel="0" collapsed="false">
      <c r="A427" s="16"/>
      <c r="B427" s="17"/>
      <c r="C427" s="17"/>
      <c r="D427" s="17"/>
      <c r="E427" s="17"/>
      <c r="F427" s="17"/>
      <c r="G427" s="18" t="str">
        <f aca="false">IF(COUNT(D427:F427)=0,"",MAX(D427:F427))</f>
        <v/>
      </c>
      <c r="H427" s="18" t="str">
        <f aca="false">IF(COUNT(D427:F427)=0,"",ROUND(AVERAGE(D427:F427),1))</f>
        <v/>
      </c>
      <c r="I427" s="18" t="str">
        <f aca="false">IF(H427="","",IF(J427&lt;설정!$B$7,"",ROUND(AVERAGEIFS($H$2:$H$1001,$B$2:$B$1001,B427,$A$2:$A$1001,"&lt;"&amp;A427,$A$2:$A$1001,"&gt;="&amp;(A427-설정!$B$6)),1)))</f>
        <v/>
      </c>
      <c r="J427" s="18" t="str">
        <f aca="false">IF(H427="","",COUNTIFS($B$2:$B$1001,B427,$A$2:$A$1001,"&lt;"&amp;A427,$A$2:$A$1001,"&gt;="&amp;(A427-설정!$B$6),$H$2:$H$1001,"&gt;=0"))</f>
        <v/>
      </c>
      <c r="K427" s="21" t="str">
        <f aca="false">IF(I427="","",H427/I427-1)</f>
        <v/>
      </c>
      <c r="L427" s="19" t="str">
        <f aca="false">IF(H427="","",IF(J427&lt;설정!$B$7,"baseline 수집 중",IF(K427&lt;=-설정!$B$8,"저하","정상")))</f>
        <v/>
      </c>
      <c r="M427" s="20"/>
    </row>
    <row r="428" customFormat="false" ht="15" hidden="false" customHeight="false" outlineLevel="0" collapsed="false">
      <c r="A428" s="16"/>
      <c r="B428" s="17"/>
      <c r="C428" s="17"/>
      <c r="D428" s="17"/>
      <c r="E428" s="17"/>
      <c r="F428" s="17"/>
      <c r="G428" s="18" t="str">
        <f aca="false">IF(COUNT(D428:F428)=0,"",MAX(D428:F428))</f>
        <v/>
      </c>
      <c r="H428" s="18" t="str">
        <f aca="false">IF(COUNT(D428:F428)=0,"",ROUND(AVERAGE(D428:F428),1))</f>
        <v/>
      </c>
      <c r="I428" s="18" t="str">
        <f aca="false">IF(H428="","",IF(J428&lt;설정!$B$7,"",ROUND(AVERAGEIFS($H$2:$H$1001,$B$2:$B$1001,B428,$A$2:$A$1001,"&lt;"&amp;A428,$A$2:$A$1001,"&gt;="&amp;(A428-설정!$B$6)),1)))</f>
        <v/>
      </c>
      <c r="J428" s="18" t="str">
        <f aca="false">IF(H428="","",COUNTIFS($B$2:$B$1001,B428,$A$2:$A$1001,"&lt;"&amp;A428,$A$2:$A$1001,"&gt;="&amp;(A428-설정!$B$6),$H$2:$H$1001,"&gt;=0"))</f>
        <v/>
      </c>
      <c r="K428" s="21" t="str">
        <f aca="false">IF(I428="","",H428/I428-1)</f>
        <v/>
      </c>
      <c r="L428" s="19" t="str">
        <f aca="false">IF(H428="","",IF(J428&lt;설정!$B$7,"baseline 수집 중",IF(K428&lt;=-설정!$B$8,"저하","정상")))</f>
        <v/>
      </c>
      <c r="M428" s="20"/>
    </row>
    <row r="429" customFormat="false" ht="15" hidden="false" customHeight="false" outlineLevel="0" collapsed="false">
      <c r="A429" s="16"/>
      <c r="B429" s="17"/>
      <c r="C429" s="17"/>
      <c r="D429" s="17"/>
      <c r="E429" s="17"/>
      <c r="F429" s="17"/>
      <c r="G429" s="18" t="str">
        <f aca="false">IF(COUNT(D429:F429)=0,"",MAX(D429:F429))</f>
        <v/>
      </c>
      <c r="H429" s="18" t="str">
        <f aca="false">IF(COUNT(D429:F429)=0,"",ROUND(AVERAGE(D429:F429),1))</f>
        <v/>
      </c>
      <c r="I429" s="18" t="str">
        <f aca="false">IF(H429="","",IF(J429&lt;설정!$B$7,"",ROUND(AVERAGEIFS($H$2:$H$1001,$B$2:$B$1001,B429,$A$2:$A$1001,"&lt;"&amp;A429,$A$2:$A$1001,"&gt;="&amp;(A429-설정!$B$6)),1)))</f>
        <v/>
      </c>
      <c r="J429" s="18" t="str">
        <f aca="false">IF(H429="","",COUNTIFS($B$2:$B$1001,B429,$A$2:$A$1001,"&lt;"&amp;A429,$A$2:$A$1001,"&gt;="&amp;(A429-설정!$B$6),$H$2:$H$1001,"&gt;=0"))</f>
        <v/>
      </c>
      <c r="K429" s="21" t="str">
        <f aca="false">IF(I429="","",H429/I429-1)</f>
        <v/>
      </c>
      <c r="L429" s="19" t="str">
        <f aca="false">IF(H429="","",IF(J429&lt;설정!$B$7,"baseline 수집 중",IF(K429&lt;=-설정!$B$8,"저하","정상")))</f>
        <v/>
      </c>
      <c r="M429" s="20"/>
    </row>
    <row r="430" customFormat="false" ht="15" hidden="false" customHeight="false" outlineLevel="0" collapsed="false">
      <c r="A430" s="16"/>
      <c r="B430" s="17"/>
      <c r="C430" s="17"/>
      <c r="D430" s="17"/>
      <c r="E430" s="17"/>
      <c r="F430" s="17"/>
      <c r="G430" s="18" t="str">
        <f aca="false">IF(COUNT(D430:F430)=0,"",MAX(D430:F430))</f>
        <v/>
      </c>
      <c r="H430" s="18" t="str">
        <f aca="false">IF(COUNT(D430:F430)=0,"",ROUND(AVERAGE(D430:F430),1))</f>
        <v/>
      </c>
      <c r="I430" s="18" t="str">
        <f aca="false">IF(H430="","",IF(J430&lt;설정!$B$7,"",ROUND(AVERAGEIFS($H$2:$H$1001,$B$2:$B$1001,B430,$A$2:$A$1001,"&lt;"&amp;A430,$A$2:$A$1001,"&gt;="&amp;(A430-설정!$B$6)),1)))</f>
        <v/>
      </c>
      <c r="J430" s="18" t="str">
        <f aca="false">IF(H430="","",COUNTIFS($B$2:$B$1001,B430,$A$2:$A$1001,"&lt;"&amp;A430,$A$2:$A$1001,"&gt;="&amp;(A430-설정!$B$6),$H$2:$H$1001,"&gt;=0"))</f>
        <v/>
      </c>
      <c r="K430" s="21" t="str">
        <f aca="false">IF(I430="","",H430/I430-1)</f>
        <v/>
      </c>
      <c r="L430" s="19" t="str">
        <f aca="false">IF(H430="","",IF(J430&lt;설정!$B$7,"baseline 수집 중",IF(K430&lt;=-설정!$B$8,"저하","정상")))</f>
        <v/>
      </c>
      <c r="M430" s="20"/>
    </row>
    <row r="431" customFormat="false" ht="15" hidden="false" customHeight="false" outlineLevel="0" collapsed="false">
      <c r="A431" s="16"/>
      <c r="B431" s="17"/>
      <c r="C431" s="17"/>
      <c r="D431" s="17"/>
      <c r="E431" s="17"/>
      <c r="F431" s="17"/>
      <c r="G431" s="18" t="str">
        <f aca="false">IF(COUNT(D431:F431)=0,"",MAX(D431:F431))</f>
        <v/>
      </c>
      <c r="H431" s="18" t="str">
        <f aca="false">IF(COUNT(D431:F431)=0,"",ROUND(AVERAGE(D431:F431),1))</f>
        <v/>
      </c>
      <c r="I431" s="18" t="str">
        <f aca="false">IF(H431="","",IF(J431&lt;설정!$B$7,"",ROUND(AVERAGEIFS($H$2:$H$1001,$B$2:$B$1001,B431,$A$2:$A$1001,"&lt;"&amp;A431,$A$2:$A$1001,"&gt;="&amp;(A431-설정!$B$6)),1)))</f>
        <v/>
      </c>
      <c r="J431" s="18" t="str">
        <f aca="false">IF(H431="","",COUNTIFS($B$2:$B$1001,B431,$A$2:$A$1001,"&lt;"&amp;A431,$A$2:$A$1001,"&gt;="&amp;(A431-설정!$B$6),$H$2:$H$1001,"&gt;=0"))</f>
        <v/>
      </c>
      <c r="K431" s="21" t="str">
        <f aca="false">IF(I431="","",H431/I431-1)</f>
        <v/>
      </c>
      <c r="L431" s="19" t="str">
        <f aca="false">IF(H431="","",IF(J431&lt;설정!$B$7,"baseline 수집 중",IF(K431&lt;=-설정!$B$8,"저하","정상")))</f>
        <v/>
      </c>
      <c r="M431" s="20"/>
    </row>
    <row r="432" customFormat="false" ht="15" hidden="false" customHeight="false" outlineLevel="0" collapsed="false">
      <c r="A432" s="16"/>
      <c r="B432" s="17"/>
      <c r="C432" s="17"/>
      <c r="D432" s="17"/>
      <c r="E432" s="17"/>
      <c r="F432" s="17"/>
      <c r="G432" s="18" t="str">
        <f aca="false">IF(COUNT(D432:F432)=0,"",MAX(D432:F432))</f>
        <v/>
      </c>
      <c r="H432" s="18" t="str">
        <f aca="false">IF(COUNT(D432:F432)=0,"",ROUND(AVERAGE(D432:F432),1))</f>
        <v/>
      </c>
      <c r="I432" s="18" t="str">
        <f aca="false">IF(H432="","",IF(J432&lt;설정!$B$7,"",ROUND(AVERAGEIFS($H$2:$H$1001,$B$2:$B$1001,B432,$A$2:$A$1001,"&lt;"&amp;A432,$A$2:$A$1001,"&gt;="&amp;(A432-설정!$B$6)),1)))</f>
        <v/>
      </c>
      <c r="J432" s="18" t="str">
        <f aca="false">IF(H432="","",COUNTIFS($B$2:$B$1001,B432,$A$2:$A$1001,"&lt;"&amp;A432,$A$2:$A$1001,"&gt;="&amp;(A432-설정!$B$6),$H$2:$H$1001,"&gt;=0"))</f>
        <v/>
      </c>
      <c r="K432" s="21" t="str">
        <f aca="false">IF(I432="","",H432/I432-1)</f>
        <v/>
      </c>
      <c r="L432" s="19" t="str">
        <f aca="false">IF(H432="","",IF(J432&lt;설정!$B$7,"baseline 수집 중",IF(K432&lt;=-설정!$B$8,"저하","정상")))</f>
        <v/>
      </c>
      <c r="M432" s="20"/>
    </row>
    <row r="433" customFormat="false" ht="15" hidden="false" customHeight="false" outlineLevel="0" collapsed="false">
      <c r="A433" s="16"/>
      <c r="B433" s="17"/>
      <c r="C433" s="17"/>
      <c r="D433" s="17"/>
      <c r="E433" s="17"/>
      <c r="F433" s="17"/>
      <c r="G433" s="18" t="str">
        <f aca="false">IF(COUNT(D433:F433)=0,"",MAX(D433:F433))</f>
        <v/>
      </c>
      <c r="H433" s="18" t="str">
        <f aca="false">IF(COUNT(D433:F433)=0,"",ROUND(AVERAGE(D433:F433),1))</f>
        <v/>
      </c>
      <c r="I433" s="18" t="str">
        <f aca="false">IF(H433="","",IF(J433&lt;설정!$B$7,"",ROUND(AVERAGEIFS($H$2:$H$1001,$B$2:$B$1001,B433,$A$2:$A$1001,"&lt;"&amp;A433,$A$2:$A$1001,"&gt;="&amp;(A433-설정!$B$6)),1)))</f>
        <v/>
      </c>
      <c r="J433" s="18" t="str">
        <f aca="false">IF(H433="","",COUNTIFS($B$2:$B$1001,B433,$A$2:$A$1001,"&lt;"&amp;A433,$A$2:$A$1001,"&gt;="&amp;(A433-설정!$B$6),$H$2:$H$1001,"&gt;=0"))</f>
        <v/>
      </c>
      <c r="K433" s="21" t="str">
        <f aca="false">IF(I433="","",H433/I433-1)</f>
        <v/>
      </c>
      <c r="L433" s="19" t="str">
        <f aca="false">IF(H433="","",IF(J433&lt;설정!$B$7,"baseline 수집 중",IF(K433&lt;=-설정!$B$8,"저하","정상")))</f>
        <v/>
      </c>
      <c r="M433" s="20"/>
    </row>
    <row r="434" customFormat="false" ht="15" hidden="false" customHeight="false" outlineLevel="0" collapsed="false">
      <c r="A434" s="16"/>
      <c r="B434" s="17"/>
      <c r="C434" s="17"/>
      <c r="D434" s="17"/>
      <c r="E434" s="17"/>
      <c r="F434" s="17"/>
      <c r="G434" s="18" t="str">
        <f aca="false">IF(COUNT(D434:F434)=0,"",MAX(D434:F434))</f>
        <v/>
      </c>
      <c r="H434" s="18" t="str">
        <f aca="false">IF(COUNT(D434:F434)=0,"",ROUND(AVERAGE(D434:F434),1))</f>
        <v/>
      </c>
      <c r="I434" s="18" t="str">
        <f aca="false">IF(H434="","",IF(J434&lt;설정!$B$7,"",ROUND(AVERAGEIFS($H$2:$H$1001,$B$2:$B$1001,B434,$A$2:$A$1001,"&lt;"&amp;A434,$A$2:$A$1001,"&gt;="&amp;(A434-설정!$B$6)),1)))</f>
        <v/>
      </c>
      <c r="J434" s="18" t="str">
        <f aca="false">IF(H434="","",COUNTIFS($B$2:$B$1001,B434,$A$2:$A$1001,"&lt;"&amp;A434,$A$2:$A$1001,"&gt;="&amp;(A434-설정!$B$6),$H$2:$H$1001,"&gt;=0"))</f>
        <v/>
      </c>
      <c r="K434" s="21" t="str">
        <f aca="false">IF(I434="","",H434/I434-1)</f>
        <v/>
      </c>
      <c r="L434" s="19" t="str">
        <f aca="false">IF(H434="","",IF(J434&lt;설정!$B$7,"baseline 수집 중",IF(K434&lt;=-설정!$B$8,"저하","정상")))</f>
        <v/>
      </c>
      <c r="M434" s="20"/>
    </row>
    <row r="435" customFormat="false" ht="15" hidden="false" customHeight="false" outlineLevel="0" collapsed="false">
      <c r="A435" s="16"/>
      <c r="B435" s="17"/>
      <c r="C435" s="17"/>
      <c r="D435" s="17"/>
      <c r="E435" s="17"/>
      <c r="F435" s="17"/>
      <c r="G435" s="18" t="str">
        <f aca="false">IF(COUNT(D435:F435)=0,"",MAX(D435:F435))</f>
        <v/>
      </c>
      <c r="H435" s="18" t="str">
        <f aca="false">IF(COUNT(D435:F435)=0,"",ROUND(AVERAGE(D435:F435),1))</f>
        <v/>
      </c>
      <c r="I435" s="18" t="str">
        <f aca="false">IF(H435="","",IF(J435&lt;설정!$B$7,"",ROUND(AVERAGEIFS($H$2:$H$1001,$B$2:$B$1001,B435,$A$2:$A$1001,"&lt;"&amp;A435,$A$2:$A$1001,"&gt;="&amp;(A435-설정!$B$6)),1)))</f>
        <v/>
      </c>
      <c r="J435" s="18" t="str">
        <f aca="false">IF(H435="","",COUNTIFS($B$2:$B$1001,B435,$A$2:$A$1001,"&lt;"&amp;A435,$A$2:$A$1001,"&gt;="&amp;(A435-설정!$B$6),$H$2:$H$1001,"&gt;=0"))</f>
        <v/>
      </c>
      <c r="K435" s="21" t="str">
        <f aca="false">IF(I435="","",H435/I435-1)</f>
        <v/>
      </c>
      <c r="L435" s="19" t="str">
        <f aca="false">IF(H435="","",IF(J435&lt;설정!$B$7,"baseline 수집 중",IF(K435&lt;=-설정!$B$8,"저하","정상")))</f>
        <v/>
      </c>
      <c r="M435" s="20"/>
    </row>
    <row r="436" customFormat="false" ht="15" hidden="false" customHeight="false" outlineLevel="0" collapsed="false">
      <c r="A436" s="16"/>
      <c r="B436" s="17"/>
      <c r="C436" s="17"/>
      <c r="D436" s="17"/>
      <c r="E436" s="17"/>
      <c r="F436" s="17"/>
      <c r="G436" s="18" t="str">
        <f aca="false">IF(COUNT(D436:F436)=0,"",MAX(D436:F436))</f>
        <v/>
      </c>
      <c r="H436" s="18" t="str">
        <f aca="false">IF(COUNT(D436:F436)=0,"",ROUND(AVERAGE(D436:F436),1))</f>
        <v/>
      </c>
      <c r="I436" s="18" t="str">
        <f aca="false">IF(H436="","",IF(J436&lt;설정!$B$7,"",ROUND(AVERAGEIFS($H$2:$H$1001,$B$2:$B$1001,B436,$A$2:$A$1001,"&lt;"&amp;A436,$A$2:$A$1001,"&gt;="&amp;(A436-설정!$B$6)),1)))</f>
        <v/>
      </c>
      <c r="J436" s="18" t="str">
        <f aca="false">IF(H436="","",COUNTIFS($B$2:$B$1001,B436,$A$2:$A$1001,"&lt;"&amp;A436,$A$2:$A$1001,"&gt;="&amp;(A436-설정!$B$6),$H$2:$H$1001,"&gt;=0"))</f>
        <v/>
      </c>
      <c r="K436" s="21" t="str">
        <f aca="false">IF(I436="","",H436/I436-1)</f>
        <v/>
      </c>
      <c r="L436" s="19" t="str">
        <f aca="false">IF(H436="","",IF(J436&lt;설정!$B$7,"baseline 수집 중",IF(K436&lt;=-설정!$B$8,"저하","정상")))</f>
        <v/>
      </c>
      <c r="M436" s="20"/>
    </row>
    <row r="437" customFormat="false" ht="15" hidden="false" customHeight="false" outlineLevel="0" collapsed="false">
      <c r="A437" s="16"/>
      <c r="B437" s="17"/>
      <c r="C437" s="17"/>
      <c r="D437" s="17"/>
      <c r="E437" s="17"/>
      <c r="F437" s="17"/>
      <c r="G437" s="18" t="str">
        <f aca="false">IF(COUNT(D437:F437)=0,"",MAX(D437:F437))</f>
        <v/>
      </c>
      <c r="H437" s="18" t="str">
        <f aca="false">IF(COUNT(D437:F437)=0,"",ROUND(AVERAGE(D437:F437),1))</f>
        <v/>
      </c>
      <c r="I437" s="18" t="str">
        <f aca="false">IF(H437="","",IF(J437&lt;설정!$B$7,"",ROUND(AVERAGEIFS($H$2:$H$1001,$B$2:$B$1001,B437,$A$2:$A$1001,"&lt;"&amp;A437,$A$2:$A$1001,"&gt;="&amp;(A437-설정!$B$6)),1)))</f>
        <v/>
      </c>
      <c r="J437" s="18" t="str">
        <f aca="false">IF(H437="","",COUNTIFS($B$2:$B$1001,B437,$A$2:$A$1001,"&lt;"&amp;A437,$A$2:$A$1001,"&gt;="&amp;(A437-설정!$B$6),$H$2:$H$1001,"&gt;=0"))</f>
        <v/>
      </c>
      <c r="K437" s="21" t="str">
        <f aca="false">IF(I437="","",H437/I437-1)</f>
        <v/>
      </c>
      <c r="L437" s="19" t="str">
        <f aca="false">IF(H437="","",IF(J437&lt;설정!$B$7,"baseline 수집 중",IF(K437&lt;=-설정!$B$8,"저하","정상")))</f>
        <v/>
      </c>
      <c r="M437" s="20"/>
    </row>
    <row r="438" customFormat="false" ht="15" hidden="false" customHeight="false" outlineLevel="0" collapsed="false">
      <c r="A438" s="16"/>
      <c r="B438" s="17"/>
      <c r="C438" s="17"/>
      <c r="D438" s="17"/>
      <c r="E438" s="17"/>
      <c r="F438" s="17"/>
      <c r="G438" s="18" t="str">
        <f aca="false">IF(COUNT(D438:F438)=0,"",MAX(D438:F438))</f>
        <v/>
      </c>
      <c r="H438" s="18" t="str">
        <f aca="false">IF(COUNT(D438:F438)=0,"",ROUND(AVERAGE(D438:F438),1))</f>
        <v/>
      </c>
      <c r="I438" s="18" t="str">
        <f aca="false">IF(H438="","",IF(J438&lt;설정!$B$7,"",ROUND(AVERAGEIFS($H$2:$H$1001,$B$2:$B$1001,B438,$A$2:$A$1001,"&lt;"&amp;A438,$A$2:$A$1001,"&gt;="&amp;(A438-설정!$B$6)),1)))</f>
        <v/>
      </c>
      <c r="J438" s="18" t="str">
        <f aca="false">IF(H438="","",COUNTIFS($B$2:$B$1001,B438,$A$2:$A$1001,"&lt;"&amp;A438,$A$2:$A$1001,"&gt;="&amp;(A438-설정!$B$6),$H$2:$H$1001,"&gt;=0"))</f>
        <v/>
      </c>
      <c r="K438" s="21" t="str">
        <f aca="false">IF(I438="","",H438/I438-1)</f>
        <v/>
      </c>
      <c r="L438" s="19" t="str">
        <f aca="false">IF(H438="","",IF(J438&lt;설정!$B$7,"baseline 수집 중",IF(K438&lt;=-설정!$B$8,"저하","정상")))</f>
        <v/>
      </c>
      <c r="M438" s="20"/>
    </row>
    <row r="439" customFormat="false" ht="15" hidden="false" customHeight="false" outlineLevel="0" collapsed="false">
      <c r="A439" s="16"/>
      <c r="B439" s="17"/>
      <c r="C439" s="17"/>
      <c r="D439" s="17"/>
      <c r="E439" s="17"/>
      <c r="F439" s="17"/>
      <c r="G439" s="18" t="str">
        <f aca="false">IF(COUNT(D439:F439)=0,"",MAX(D439:F439))</f>
        <v/>
      </c>
      <c r="H439" s="18" t="str">
        <f aca="false">IF(COUNT(D439:F439)=0,"",ROUND(AVERAGE(D439:F439),1))</f>
        <v/>
      </c>
      <c r="I439" s="18" t="str">
        <f aca="false">IF(H439="","",IF(J439&lt;설정!$B$7,"",ROUND(AVERAGEIFS($H$2:$H$1001,$B$2:$B$1001,B439,$A$2:$A$1001,"&lt;"&amp;A439,$A$2:$A$1001,"&gt;="&amp;(A439-설정!$B$6)),1)))</f>
        <v/>
      </c>
      <c r="J439" s="18" t="str">
        <f aca="false">IF(H439="","",COUNTIFS($B$2:$B$1001,B439,$A$2:$A$1001,"&lt;"&amp;A439,$A$2:$A$1001,"&gt;="&amp;(A439-설정!$B$6),$H$2:$H$1001,"&gt;=0"))</f>
        <v/>
      </c>
      <c r="K439" s="21" t="str">
        <f aca="false">IF(I439="","",H439/I439-1)</f>
        <v/>
      </c>
      <c r="L439" s="19" t="str">
        <f aca="false">IF(H439="","",IF(J439&lt;설정!$B$7,"baseline 수집 중",IF(K439&lt;=-설정!$B$8,"저하","정상")))</f>
        <v/>
      </c>
      <c r="M439" s="20"/>
    </row>
    <row r="440" customFormat="false" ht="15" hidden="false" customHeight="false" outlineLevel="0" collapsed="false">
      <c r="A440" s="16"/>
      <c r="B440" s="17"/>
      <c r="C440" s="17"/>
      <c r="D440" s="17"/>
      <c r="E440" s="17"/>
      <c r="F440" s="17"/>
      <c r="G440" s="18" t="str">
        <f aca="false">IF(COUNT(D440:F440)=0,"",MAX(D440:F440))</f>
        <v/>
      </c>
      <c r="H440" s="18" t="str">
        <f aca="false">IF(COUNT(D440:F440)=0,"",ROUND(AVERAGE(D440:F440),1))</f>
        <v/>
      </c>
      <c r="I440" s="18" t="str">
        <f aca="false">IF(H440="","",IF(J440&lt;설정!$B$7,"",ROUND(AVERAGEIFS($H$2:$H$1001,$B$2:$B$1001,B440,$A$2:$A$1001,"&lt;"&amp;A440,$A$2:$A$1001,"&gt;="&amp;(A440-설정!$B$6)),1)))</f>
        <v/>
      </c>
      <c r="J440" s="18" t="str">
        <f aca="false">IF(H440="","",COUNTIFS($B$2:$B$1001,B440,$A$2:$A$1001,"&lt;"&amp;A440,$A$2:$A$1001,"&gt;="&amp;(A440-설정!$B$6),$H$2:$H$1001,"&gt;=0"))</f>
        <v/>
      </c>
      <c r="K440" s="21" t="str">
        <f aca="false">IF(I440="","",H440/I440-1)</f>
        <v/>
      </c>
      <c r="L440" s="19" t="str">
        <f aca="false">IF(H440="","",IF(J440&lt;설정!$B$7,"baseline 수집 중",IF(K440&lt;=-설정!$B$8,"저하","정상")))</f>
        <v/>
      </c>
      <c r="M440" s="20"/>
    </row>
    <row r="441" customFormat="false" ht="15" hidden="false" customHeight="false" outlineLevel="0" collapsed="false">
      <c r="A441" s="16"/>
      <c r="B441" s="17"/>
      <c r="C441" s="17"/>
      <c r="D441" s="17"/>
      <c r="E441" s="17"/>
      <c r="F441" s="17"/>
      <c r="G441" s="18" t="str">
        <f aca="false">IF(COUNT(D441:F441)=0,"",MAX(D441:F441))</f>
        <v/>
      </c>
      <c r="H441" s="18" t="str">
        <f aca="false">IF(COUNT(D441:F441)=0,"",ROUND(AVERAGE(D441:F441),1))</f>
        <v/>
      </c>
      <c r="I441" s="18" t="str">
        <f aca="false">IF(H441="","",IF(J441&lt;설정!$B$7,"",ROUND(AVERAGEIFS($H$2:$H$1001,$B$2:$B$1001,B441,$A$2:$A$1001,"&lt;"&amp;A441,$A$2:$A$1001,"&gt;="&amp;(A441-설정!$B$6)),1)))</f>
        <v/>
      </c>
      <c r="J441" s="18" t="str">
        <f aca="false">IF(H441="","",COUNTIFS($B$2:$B$1001,B441,$A$2:$A$1001,"&lt;"&amp;A441,$A$2:$A$1001,"&gt;="&amp;(A441-설정!$B$6),$H$2:$H$1001,"&gt;=0"))</f>
        <v/>
      </c>
      <c r="K441" s="21" t="str">
        <f aca="false">IF(I441="","",H441/I441-1)</f>
        <v/>
      </c>
      <c r="L441" s="19" t="str">
        <f aca="false">IF(H441="","",IF(J441&lt;설정!$B$7,"baseline 수집 중",IF(K441&lt;=-설정!$B$8,"저하","정상")))</f>
        <v/>
      </c>
      <c r="M441" s="20"/>
    </row>
    <row r="442" customFormat="false" ht="15" hidden="false" customHeight="false" outlineLevel="0" collapsed="false">
      <c r="A442" s="16"/>
      <c r="B442" s="17"/>
      <c r="C442" s="17"/>
      <c r="D442" s="17"/>
      <c r="E442" s="17"/>
      <c r="F442" s="17"/>
      <c r="G442" s="18" t="str">
        <f aca="false">IF(COUNT(D442:F442)=0,"",MAX(D442:F442))</f>
        <v/>
      </c>
      <c r="H442" s="18" t="str">
        <f aca="false">IF(COUNT(D442:F442)=0,"",ROUND(AVERAGE(D442:F442),1))</f>
        <v/>
      </c>
      <c r="I442" s="18" t="str">
        <f aca="false">IF(H442="","",IF(J442&lt;설정!$B$7,"",ROUND(AVERAGEIFS($H$2:$H$1001,$B$2:$B$1001,B442,$A$2:$A$1001,"&lt;"&amp;A442,$A$2:$A$1001,"&gt;="&amp;(A442-설정!$B$6)),1)))</f>
        <v/>
      </c>
      <c r="J442" s="18" t="str">
        <f aca="false">IF(H442="","",COUNTIFS($B$2:$B$1001,B442,$A$2:$A$1001,"&lt;"&amp;A442,$A$2:$A$1001,"&gt;="&amp;(A442-설정!$B$6),$H$2:$H$1001,"&gt;=0"))</f>
        <v/>
      </c>
      <c r="K442" s="21" t="str">
        <f aca="false">IF(I442="","",H442/I442-1)</f>
        <v/>
      </c>
      <c r="L442" s="19" t="str">
        <f aca="false">IF(H442="","",IF(J442&lt;설정!$B$7,"baseline 수집 중",IF(K442&lt;=-설정!$B$8,"저하","정상")))</f>
        <v/>
      </c>
      <c r="M442" s="20"/>
    </row>
    <row r="443" customFormat="false" ht="15" hidden="false" customHeight="false" outlineLevel="0" collapsed="false">
      <c r="A443" s="16"/>
      <c r="B443" s="17"/>
      <c r="C443" s="17"/>
      <c r="D443" s="17"/>
      <c r="E443" s="17"/>
      <c r="F443" s="17"/>
      <c r="G443" s="18" t="str">
        <f aca="false">IF(COUNT(D443:F443)=0,"",MAX(D443:F443))</f>
        <v/>
      </c>
      <c r="H443" s="18" t="str">
        <f aca="false">IF(COUNT(D443:F443)=0,"",ROUND(AVERAGE(D443:F443),1))</f>
        <v/>
      </c>
      <c r="I443" s="18" t="str">
        <f aca="false">IF(H443="","",IF(J443&lt;설정!$B$7,"",ROUND(AVERAGEIFS($H$2:$H$1001,$B$2:$B$1001,B443,$A$2:$A$1001,"&lt;"&amp;A443,$A$2:$A$1001,"&gt;="&amp;(A443-설정!$B$6)),1)))</f>
        <v/>
      </c>
      <c r="J443" s="18" t="str">
        <f aca="false">IF(H443="","",COUNTIFS($B$2:$B$1001,B443,$A$2:$A$1001,"&lt;"&amp;A443,$A$2:$A$1001,"&gt;="&amp;(A443-설정!$B$6),$H$2:$H$1001,"&gt;=0"))</f>
        <v/>
      </c>
      <c r="K443" s="21" t="str">
        <f aca="false">IF(I443="","",H443/I443-1)</f>
        <v/>
      </c>
      <c r="L443" s="19" t="str">
        <f aca="false">IF(H443="","",IF(J443&lt;설정!$B$7,"baseline 수집 중",IF(K443&lt;=-설정!$B$8,"저하","정상")))</f>
        <v/>
      </c>
      <c r="M443" s="20"/>
    </row>
    <row r="444" customFormat="false" ht="15" hidden="false" customHeight="false" outlineLevel="0" collapsed="false">
      <c r="A444" s="16"/>
      <c r="B444" s="17"/>
      <c r="C444" s="17"/>
      <c r="D444" s="17"/>
      <c r="E444" s="17"/>
      <c r="F444" s="17"/>
      <c r="G444" s="18" t="str">
        <f aca="false">IF(COUNT(D444:F444)=0,"",MAX(D444:F444))</f>
        <v/>
      </c>
      <c r="H444" s="18" t="str">
        <f aca="false">IF(COUNT(D444:F444)=0,"",ROUND(AVERAGE(D444:F444),1))</f>
        <v/>
      </c>
      <c r="I444" s="18" t="str">
        <f aca="false">IF(H444="","",IF(J444&lt;설정!$B$7,"",ROUND(AVERAGEIFS($H$2:$H$1001,$B$2:$B$1001,B444,$A$2:$A$1001,"&lt;"&amp;A444,$A$2:$A$1001,"&gt;="&amp;(A444-설정!$B$6)),1)))</f>
        <v/>
      </c>
      <c r="J444" s="18" t="str">
        <f aca="false">IF(H444="","",COUNTIFS($B$2:$B$1001,B444,$A$2:$A$1001,"&lt;"&amp;A444,$A$2:$A$1001,"&gt;="&amp;(A444-설정!$B$6),$H$2:$H$1001,"&gt;=0"))</f>
        <v/>
      </c>
      <c r="K444" s="21" t="str">
        <f aca="false">IF(I444="","",H444/I444-1)</f>
        <v/>
      </c>
      <c r="L444" s="19" t="str">
        <f aca="false">IF(H444="","",IF(J444&lt;설정!$B$7,"baseline 수집 중",IF(K444&lt;=-설정!$B$8,"저하","정상")))</f>
        <v/>
      </c>
      <c r="M444" s="20"/>
    </row>
    <row r="445" customFormat="false" ht="15" hidden="false" customHeight="false" outlineLevel="0" collapsed="false">
      <c r="A445" s="16"/>
      <c r="B445" s="17"/>
      <c r="C445" s="17"/>
      <c r="D445" s="17"/>
      <c r="E445" s="17"/>
      <c r="F445" s="17"/>
      <c r="G445" s="18" t="str">
        <f aca="false">IF(COUNT(D445:F445)=0,"",MAX(D445:F445))</f>
        <v/>
      </c>
      <c r="H445" s="18" t="str">
        <f aca="false">IF(COUNT(D445:F445)=0,"",ROUND(AVERAGE(D445:F445),1))</f>
        <v/>
      </c>
      <c r="I445" s="18" t="str">
        <f aca="false">IF(H445="","",IF(J445&lt;설정!$B$7,"",ROUND(AVERAGEIFS($H$2:$H$1001,$B$2:$B$1001,B445,$A$2:$A$1001,"&lt;"&amp;A445,$A$2:$A$1001,"&gt;="&amp;(A445-설정!$B$6)),1)))</f>
        <v/>
      </c>
      <c r="J445" s="18" t="str">
        <f aca="false">IF(H445="","",COUNTIFS($B$2:$B$1001,B445,$A$2:$A$1001,"&lt;"&amp;A445,$A$2:$A$1001,"&gt;="&amp;(A445-설정!$B$6),$H$2:$H$1001,"&gt;=0"))</f>
        <v/>
      </c>
      <c r="K445" s="21" t="str">
        <f aca="false">IF(I445="","",H445/I445-1)</f>
        <v/>
      </c>
      <c r="L445" s="19" t="str">
        <f aca="false">IF(H445="","",IF(J445&lt;설정!$B$7,"baseline 수집 중",IF(K445&lt;=-설정!$B$8,"저하","정상")))</f>
        <v/>
      </c>
      <c r="M445" s="20"/>
    </row>
    <row r="446" customFormat="false" ht="15" hidden="false" customHeight="false" outlineLevel="0" collapsed="false">
      <c r="A446" s="16"/>
      <c r="B446" s="17"/>
      <c r="C446" s="17"/>
      <c r="D446" s="17"/>
      <c r="E446" s="17"/>
      <c r="F446" s="17"/>
      <c r="G446" s="18" t="str">
        <f aca="false">IF(COUNT(D446:F446)=0,"",MAX(D446:F446))</f>
        <v/>
      </c>
      <c r="H446" s="18" t="str">
        <f aca="false">IF(COUNT(D446:F446)=0,"",ROUND(AVERAGE(D446:F446),1))</f>
        <v/>
      </c>
      <c r="I446" s="18" t="str">
        <f aca="false">IF(H446="","",IF(J446&lt;설정!$B$7,"",ROUND(AVERAGEIFS($H$2:$H$1001,$B$2:$B$1001,B446,$A$2:$A$1001,"&lt;"&amp;A446,$A$2:$A$1001,"&gt;="&amp;(A446-설정!$B$6)),1)))</f>
        <v/>
      </c>
      <c r="J446" s="18" t="str">
        <f aca="false">IF(H446="","",COUNTIFS($B$2:$B$1001,B446,$A$2:$A$1001,"&lt;"&amp;A446,$A$2:$A$1001,"&gt;="&amp;(A446-설정!$B$6),$H$2:$H$1001,"&gt;=0"))</f>
        <v/>
      </c>
      <c r="K446" s="21" t="str">
        <f aca="false">IF(I446="","",H446/I446-1)</f>
        <v/>
      </c>
      <c r="L446" s="19" t="str">
        <f aca="false">IF(H446="","",IF(J446&lt;설정!$B$7,"baseline 수집 중",IF(K446&lt;=-설정!$B$8,"저하","정상")))</f>
        <v/>
      </c>
      <c r="M446" s="20"/>
    </row>
    <row r="447" customFormat="false" ht="15" hidden="false" customHeight="false" outlineLevel="0" collapsed="false">
      <c r="A447" s="16"/>
      <c r="B447" s="17"/>
      <c r="C447" s="17"/>
      <c r="D447" s="17"/>
      <c r="E447" s="17"/>
      <c r="F447" s="17"/>
      <c r="G447" s="18" t="str">
        <f aca="false">IF(COUNT(D447:F447)=0,"",MAX(D447:F447))</f>
        <v/>
      </c>
      <c r="H447" s="18" t="str">
        <f aca="false">IF(COUNT(D447:F447)=0,"",ROUND(AVERAGE(D447:F447),1))</f>
        <v/>
      </c>
      <c r="I447" s="18" t="str">
        <f aca="false">IF(H447="","",IF(J447&lt;설정!$B$7,"",ROUND(AVERAGEIFS($H$2:$H$1001,$B$2:$B$1001,B447,$A$2:$A$1001,"&lt;"&amp;A447,$A$2:$A$1001,"&gt;="&amp;(A447-설정!$B$6)),1)))</f>
        <v/>
      </c>
      <c r="J447" s="18" t="str">
        <f aca="false">IF(H447="","",COUNTIFS($B$2:$B$1001,B447,$A$2:$A$1001,"&lt;"&amp;A447,$A$2:$A$1001,"&gt;="&amp;(A447-설정!$B$6),$H$2:$H$1001,"&gt;=0"))</f>
        <v/>
      </c>
      <c r="K447" s="21" t="str">
        <f aca="false">IF(I447="","",H447/I447-1)</f>
        <v/>
      </c>
      <c r="L447" s="19" t="str">
        <f aca="false">IF(H447="","",IF(J447&lt;설정!$B$7,"baseline 수집 중",IF(K447&lt;=-설정!$B$8,"저하","정상")))</f>
        <v/>
      </c>
      <c r="M447" s="20"/>
    </row>
    <row r="448" customFormat="false" ht="15" hidden="false" customHeight="false" outlineLevel="0" collapsed="false">
      <c r="A448" s="16"/>
      <c r="B448" s="17"/>
      <c r="C448" s="17"/>
      <c r="D448" s="17"/>
      <c r="E448" s="17"/>
      <c r="F448" s="17"/>
      <c r="G448" s="18" t="str">
        <f aca="false">IF(COUNT(D448:F448)=0,"",MAX(D448:F448))</f>
        <v/>
      </c>
      <c r="H448" s="18" t="str">
        <f aca="false">IF(COUNT(D448:F448)=0,"",ROUND(AVERAGE(D448:F448),1))</f>
        <v/>
      </c>
      <c r="I448" s="18" t="str">
        <f aca="false">IF(H448="","",IF(J448&lt;설정!$B$7,"",ROUND(AVERAGEIFS($H$2:$H$1001,$B$2:$B$1001,B448,$A$2:$A$1001,"&lt;"&amp;A448,$A$2:$A$1001,"&gt;="&amp;(A448-설정!$B$6)),1)))</f>
        <v/>
      </c>
      <c r="J448" s="18" t="str">
        <f aca="false">IF(H448="","",COUNTIFS($B$2:$B$1001,B448,$A$2:$A$1001,"&lt;"&amp;A448,$A$2:$A$1001,"&gt;="&amp;(A448-설정!$B$6),$H$2:$H$1001,"&gt;=0"))</f>
        <v/>
      </c>
      <c r="K448" s="21" t="str">
        <f aca="false">IF(I448="","",H448/I448-1)</f>
        <v/>
      </c>
      <c r="L448" s="19" t="str">
        <f aca="false">IF(H448="","",IF(J448&lt;설정!$B$7,"baseline 수집 중",IF(K448&lt;=-설정!$B$8,"저하","정상")))</f>
        <v/>
      </c>
      <c r="M448" s="20"/>
    </row>
    <row r="449" customFormat="false" ht="15" hidden="false" customHeight="false" outlineLevel="0" collapsed="false">
      <c r="A449" s="16"/>
      <c r="B449" s="17"/>
      <c r="C449" s="17"/>
      <c r="D449" s="17"/>
      <c r="E449" s="17"/>
      <c r="F449" s="17"/>
      <c r="G449" s="18" t="str">
        <f aca="false">IF(COUNT(D449:F449)=0,"",MAX(D449:F449))</f>
        <v/>
      </c>
      <c r="H449" s="18" t="str">
        <f aca="false">IF(COUNT(D449:F449)=0,"",ROUND(AVERAGE(D449:F449),1))</f>
        <v/>
      </c>
      <c r="I449" s="18" t="str">
        <f aca="false">IF(H449="","",IF(J449&lt;설정!$B$7,"",ROUND(AVERAGEIFS($H$2:$H$1001,$B$2:$B$1001,B449,$A$2:$A$1001,"&lt;"&amp;A449,$A$2:$A$1001,"&gt;="&amp;(A449-설정!$B$6)),1)))</f>
        <v/>
      </c>
      <c r="J449" s="18" t="str">
        <f aca="false">IF(H449="","",COUNTIFS($B$2:$B$1001,B449,$A$2:$A$1001,"&lt;"&amp;A449,$A$2:$A$1001,"&gt;="&amp;(A449-설정!$B$6),$H$2:$H$1001,"&gt;=0"))</f>
        <v/>
      </c>
      <c r="K449" s="21" t="str">
        <f aca="false">IF(I449="","",H449/I449-1)</f>
        <v/>
      </c>
      <c r="L449" s="19" t="str">
        <f aca="false">IF(H449="","",IF(J449&lt;설정!$B$7,"baseline 수집 중",IF(K449&lt;=-설정!$B$8,"저하","정상")))</f>
        <v/>
      </c>
      <c r="M449" s="20"/>
    </row>
    <row r="450" customFormat="false" ht="15" hidden="false" customHeight="false" outlineLevel="0" collapsed="false">
      <c r="A450" s="16"/>
      <c r="B450" s="17"/>
      <c r="C450" s="17"/>
      <c r="D450" s="17"/>
      <c r="E450" s="17"/>
      <c r="F450" s="17"/>
      <c r="G450" s="18" t="str">
        <f aca="false">IF(COUNT(D450:F450)=0,"",MAX(D450:F450))</f>
        <v/>
      </c>
      <c r="H450" s="18" t="str">
        <f aca="false">IF(COUNT(D450:F450)=0,"",ROUND(AVERAGE(D450:F450),1))</f>
        <v/>
      </c>
      <c r="I450" s="18" t="str">
        <f aca="false">IF(H450="","",IF(J450&lt;설정!$B$7,"",ROUND(AVERAGEIFS($H$2:$H$1001,$B$2:$B$1001,B450,$A$2:$A$1001,"&lt;"&amp;A450,$A$2:$A$1001,"&gt;="&amp;(A450-설정!$B$6)),1)))</f>
        <v/>
      </c>
      <c r="J450" s="18" t="str">
        <f aca="false">IF(H450="","",COUNTIFS($B$2:$B$1001,B450,$A$2:$A$1001,"&lt;"&amp;A450,$A$2:$A$1001,"&gt;="&amp;(A450-설정!$B$6),$H$2:$H$1001,"&gt;=0"))</f>
        <v/>
      </c>
      <c r="K450" s="21" t="str">
        <f aca="false">IF(I450="","",H450/I450-1)</f>
        <v/>
      </c>
      <c r="L450" s="19" t="str">
        <f aca="false">IF(H450="","",IF(J450&lt;설정!$B$7,"baseline 수집 중",IF(K450&lt;=-설정!$B$8,"저하","정상")))</f>
        <v/>
      </c>
      <c r="M450" s="20"/>
    </row>
    <row r="451" customFormat="false" ht="15" hidden="false" customHeight="false" outlineLevel="0" collapsed="false">
      <c r="A451" s="16"/>
      <c r="B451" s="17"/>
      <c r="C451" s="17"/>
      <c r="D451" s="17"/>
      <c r="E451" s="17"/>
      <c r="F451" s="17"/>
      <c r="G451" s="18" t="str">
        <f aca="false">IF(COUNT(D451:F451)=0,"",MAX(D451:F451))</f>
        <v/>
      </c>
      <c r="H451" s="18" t="str">
        <f aca="false">IF(COUNT(D451:F451)=0,"",ROUND(AVERAGE(D451:F451),1))</f>
        <v/>
      </c>
      <c r="I451" s="18" t="str">
        <f aca="false">IF(H451="","",IF(J451&lt;설정!$B$7,"",ROUND(AVERAGEIFS($H$2:$H$1001,$B$2:$B$1001,B451,$A$2:$A$1001,"&lt;"&amp;A451,$A$2:$A$1001,"&gt;="&amp;(A451-설정!$B$6)),1)))</f>
        <v/>
      </c>
      <c r="J451" s="18" t="str">
        <f aca="false">IF(H451="","",COUNTIFS($B$2:$B$1001,B451,$A$2:$A$1001,"&lt;"&amp;A451,$A$2:$A$1001,"&gt;="&amp;(A451-설정!$B$6),$H$2:$H$1001,"&gt;=0"))</f>
        <v/>
      </c>
      <c r="K451" s="21" t="str">
        <f aca="false">IF(I451="","",H451/I451-1)</f>
        <v/>
      </c>
      <c r="L451" s="19" t="str">
        <f aca="false">IF(H451="","",IF(J451&lt;설정!$B$7,"baseline 수집 중",IF(K451&lt;=-설정!$B$8,"저하","정상")))</f>
        <v/>
      </c>
      <c r="M451" s="20"/>
    </row>
    <row r="452" customFormat="false" ht="15" hidden="false" customHeight="false" outlineLevel="0" collapsed="false">
      <c r="A452" s="16"/>
      <c r="B452" s="17"/>
      <c r="C452" s="17"/>
      <c r="D452" s="17"/>
      <c r="E452" s="17"/>
      <c r="F452" s="17"/>
      <c r="G452" s="18" t="str">
        <f aca="false">IF(COUNT(D452:F452)=0,"",MAX(D452:F452))</f>
        <v/>
      </c>
      <c r="H452" s="18" t="str">
        <f aca="false">IF(COUNT(D452:F452)=0,"",ROUND(AVERAGE(D452:F452),1))</f>
        <v/>
      </c>
      <c r="I452" s="18" t="str">
        <f aca="false">IF(H452="","",IF(J452&lt;설정!$B$7,"",ROUND(AVERAGEIFS($H$2:$H$1001,$B$2:$B$1001,B452,$A$2:$A$1001,"&lt;"&amp;A452,$A$2:$A$1001,"&gt;="&amp;(A452-설정!$B$6)),1)))</f>
        <v/>
      </c>
      <c r="J452" s="18" t="str">
        <f aca="false">IF(H452="","",COUNTIFS($B$2:$B$1001,B452,$A$2:$A$1001,"&lt;"&amp;A452,$A$2:$A$1001,"&gt;="&amp;(A452-설정!$B$6),$H$2:$H$1001,"&gt;=0"))</f>
        <v/>
      </c>
      <c r="K452" s="21" t="str">
        <f aca="false">IF(I452="","",H452/I452-1)</f>
        <v/>
      </c>
      <c r="L452" s="19" t="str">
        <f aca="false">IF(H452="","",IF(J452&lt;설정!$B$7,"baseline 수집 중",IF(K452&lt;=-설정!$B$8,"저하","정상")))</f>
        <v/>
      </c>
      <c r="M452" s="20"/>
    </row>
    <row r="453" customFormat="false" ht="15" hidden="false" customHeight="false" outlineLevel="0" collapsed="false">
      <c r="A453" s="16"/>
      <c r="B453" s="17"/>
      <c r="C453" s="17"/>
      <c r="D453" s="17"/>
      <c r="E453" s="17"/>
      <c r="F453" s="17"/>
      <c r="G453" s="18" t="str">
        <f aca="false">IF(COUNT(D453:F453)=0,"",MAX(D453:F453))</f>
        <v/>
      </c>
      <c r="H453" s="18" t="str">
        <f aca="false">IF(COUNT(D453:F453)=0,"",ROUND(AVERAGE(D453:F453),1))</f>
        <v/>
      </c>
      <c r="I453" s="18" t="str">
        <f aca="false">IF(H453="","",IF(J453&lt;설정!$B$7,"",ROUND(AVERAGEIFS($H$2:$H$1001,$B$2:$B$1001,B453,$A$2:$A$1001,"&lt;"&amp;A453,$A$2:$A$1001,"&gt;="&amp;(A453-설정!$B$6)),1)))</f>
        <v/>
      </c>
      <c r="J453" s="18" t="str">
        <f aca="false">IF(H453="","",COUNTIFS($B$2:$B$1001,B453,$A$2:$A$1001,"&lt;"&amp;A453,$A$2:$A$1001,"&gt;="&amp;(A453-설정!$B$6),$H$2:$H$1001,"&gt;=0"))</f>
        <v/>
      </c>
      <c r="K453" s="21" t="str">
        <f aca="false">IF(I453="","",H453/I453-1)</f>
        <v/>
      </c>
      <c r="L453" s="19" t="str">
        <f aca="false">IF(H453="","",IF(J453&lt;설정!$B$7,"baseline 수집 중",IF(K453&lt;=-설정!$B$8,"저하","정상")))</f>
        <v/>
      </c>
      <c r="M453" s="20"/>
    </row>
    <row r="454" customFormat="false" ht="15" hidden="false" customHeight="false" outlineLevel="0" collapsed="false">
      <c r="A454" s="16"/>
      <c r="B454" s="17"/>
      <c r="C454" s="17"/>
      <c r="D454" s="17"/>
      <c r="E454" s="17"/>
      <c r="F454" s="17"/>
      <c r="G454" s="18" t="str">
        <f aca="false">IF(COUNT(D454:F454)=0,"",MAX(D454:F454))</f>
        <v/>
      </c>
      <c r="H454" s="18" t="str">
        <f aca="false">IF(COUNT(D454:F454)=0,"",ROUND(AVERAGE(D454:F454),1))</f>
        <v/>
      </c>
      <c r="I454" s="18" t="str">
        <f aca="false">IF(H454="","",IF(J454&lt;설정!$B$7,"",ROUND(AVERAGEIFS($H$2:$H$1001,$B$2:$B$1001,B454,$A$2:$A$1001,"&lt;"&amp;A454,$A$2:$A$1001,"&gt;="&amp;(A454-설정!$B$6)),1)))</f>
        <v/>
      </c>
      <c r="J454" s="18" t="str">
        <f aca="false">IF(H454="","",COUNTIFS($B$2:$B$1001,B454,$A$2:$A$1001,"&lt;"&amp;A454,$A$2:$A$1001,"&gt;="&amp;(A454-설정!$B$6),$H$2:$H$1001,"&gt;=0"))</f>
        <v/>
      </c>
      <c r="K454" s="21" t="str">
        <f aca="false">IF(I454="","",H454/I454-1)</f>
        <v/>
      </c>
      <c r="L454" s="19" t="str">
        <f aca="false">IF(H454="","",IF(J454&lt;설정!$B$7,"baseline 수집 중",IF(K454&lt;=-설정!$B$8,"저하","정상")))</f>
        <v/>
      </c>
      <c r="M454" s="20"/>
    </row>
    <row r="455" customFormat="false" ht="15" hidden="false" customHeight="false" outlineLevel="0" collapsed="false">
      <c r="A455" s="16"/>
      <c r="B455" s="17"/>
      <c r="C455" s="17"/>
      <c r="D455" s="17"/>
      <c r="E455" s="17"/>
      <c r="F455" s="17"/>
      <c r="G455" s="18" t="str">
        <f aca="false">IF(COUNT(D455:F455)=0,"",MAX(D455:F455))</f>
        <v/>
      </c>
      <c r="H455" s="18" t="str">
        <f aca="false">IF(COUNT(D455:F455)=0,"",ROUND(AVERAGE(D455:F455),1))</f>
        <v/>
      </c>
      <c r="I455" s="18" t="str">
        <f aca="false">IF(H455="","",IF(J455&lt;설정!$B$7,"",ROUND(AVERAGEIFS($H$2:$H$1001,$B$2:$B$1001,B455,$A$2:$A$1001,"&lt;"&amp;A455,$A$2:$A$1001,"&gt;="&amp;(A455-설정!$B$6)),1)))</f>
        <v/>
      </c>
      <c r="J455" s="18" t="str">
        <f aca="false">IF(H455="","",COUNTIFS($B$2:$B$1001,B455,$A$2:$A$1001,"&lt;"&amp;A455,$A$2:$A$1001,"&gt;="&amp;(A455-설정!$B$6),$H$2:$H$1001,"&gt;=0"))</f>
        <v/>
      </c>
      <c r="K455" s="21" t="str">
        <f aca="false">IF(I455="","",H455/I455-1)</f>
        <v/>
      </c>
      <c r="L455" s="19" t="str">
        <f aca="false">IF(H455="","",IF(J455&lt;설정!$B$7,"baseline 수집 중",IF(K455&lt;=-설정!$B$8,"저하","정상")))</f>
        <v/>
      </c>
      <c r="M455" s="20"/>
    </row>
    <row r="456" customFormat="false" ht="15" hidden="false" customHeight="false" outlineLevel="0" collapsed="false">
      <c r="A456" s="16"/>
      <c r="B456" s="17"/>
      <c r="C456" s="17"/>
      <c r="D456" s="17"/>
      <c r="E456" s="17"/>
      <c r="F456" s="17"/>
      <c r="G456" s="18" t="str">
        <f aca="false">IF(COUNT(D456:F456)=0,"",MAX(D456:F456))</f>
        <v/>
      </c>
      <c r="H456" s="18" t="str">
        <f aca="false">IF(COUNT(D456:F456)=0,"",ROUND(AVERAGE(D456:F456),1))</f>
        <v/>
      </c>
      <c r="I456" s="18" t="str">
        <f aca="false">IF(H456="","",IF(J456&lt;설정!$B$7,"",ROUND(AVERAGEIFS($H$2:$H$1001,$B$2:$B$1001,B456,$A$2:$A$1001,"&lt;"&amp;A456,$A$2:$A$1001,"&gt;="&amp;(A456-설정!$B$6)),1)))</f>
        <v/>
      </c>
      <c r="J456" s="18" t="str">
        <f aca="false">IF(H456="","",COUNTIFS($B$2:$B$1001,B456,$A$2:$A$1001,"&lt;"&amp;A456,$A$2:$A$1001,"&gt;="&amp;(A456-설정!$B$6),$H$2:$H$1001,"&gt;=0"))</f>
        <v/>
      </c>
      <c r="K456" s="21" t="str">
        <f aca="false">IF(I456="","",H456/I456-1)</f>
        <v/>
      </c>
      <c r="L456" s="19" t="str">
        <f aca="false">IF(H456="","",IF(J456&lt;설정!$B$7,"baseline 수집 중",IF(K456&lt;=-설정!$B$8,"저하","정상")))</f>
        <v/>
      </c>
      <c r="M456" s="20"/>
    </row>
    <row r="457" customFormat="false" ht="15" hidden="false" customHeight="false" outlineLevel="0" collapsed="false">
      <c r="A457" s="16"/>
      <c r="B457" s="17"/>
      <c r="C457" s="17"/>
      <c r="D457" s="17"/>
      <c r="E457" s="17"/>
      <c r="F457" s="17"/>
      <c r="G457" s="18" t="str">
        <f aca="false">IF(COUNT(D457:F457)=0,"",MAX(D457:F457))</f>
        <v/>
      </c>
      <c r="H457" s="18" t="str">
        <f aca="false">IF(COUNT(D457:F457)=0,"",ROUND(AVERAGE(D457:F457),1))</f>
        <v/>
      </c>
      <c r="I457" s="18" t="str">
        <f aca="false">IF(H457="","",IF(J457&lt;설정!$B$7,"",ROUND(AVERAGEIFS($H$2:$H$1001,$B$2:$B$1001,B457,$A$2:$A$1001,"&lt;"&amp;A457,$A$2:$A$1001,"&gt;="&amp;(A457-설정!$B$6)),1)))</f>
        <v/>
      </c>
      <c r="J457" s="18" t="str">
        <f aca="false">IF(H457="","",COUNTIFS($B$2:$B$1001,B457,$A$2:$A$1001,"&lt;"&amp;A457,$A$2:$A$1001,"&gt;="&amp;(A457-설정!$B$6),$H$2:$H$1001,"&gt;=0"))</f>
        <v/>
      </c>
      <c r="K457" s="21" t="str">
        <f aca="false">IF(I457="","",H457/I457-1)</f>
        <v/>
      </c>
      <c r="L457" s="19" t="str">
        <f aca="false">IF(H457="","",IF(J457&lt;설정!$B$7,"baseline 수집 중",IF(K457&lt;=-설정!$B$8,"저하","정상")))</f>
        <v/>
      </c>
      <c r="M457" s="20"/>
    </row>
    <row r="458" customFormat="false" ht="15" hidden="false" customHeight="false" outlineLevel="0" collapsed="false">
      <c r="A458" s="16"/>
      <c r="B458" s="17"/>
      <c r="C458" s="17"/>
      <c r="D458" s="17"/>
      <c r="E458" s="17"/>
      <c r="F458" s="17"/>
      <c r="G458" s="18" t="str">
        <f aca="false">IF(COUNT(D458:F458)=0,"",MAX(D458:F458))</f>
        <v/>
      </c>
      <c r="H458" s="18" t="str">
        <f aca="false">IF(COUNT(D458:F458)=0,"",ROUND(AVERAGE(D458:F458),1))</f>
        <v/>
      </c>
      <c r="I458" s="18" t="str">
        <f aca="false">IF(H458="","",IF(J458&lt;설정!$B$7,"",ROUND(AVERAGEIFS($H$2:$H$1001,$B$2:$B$1001,B458,$A$2:$A$1001,"&lt;"&amp;A458,$A$2:$A$1001,"&gt;="&amp;(A458-설정!$B$6)),1)))</f>
        <v/>
      </c>
      <c r="J458" s="18" t="str">
        <f aca="false">IF(H458="","",COUNTIFS($B$2:$B$1001,B458,$A$2:$A$1001,"&lt;"&amp;A458,$A$2:$A$1001,"&gt;="&amp;(A458-설정!$B$6),$H$2:$H$1001,"&gt;=0"))</f>
        <v/>
      </c>
      <c r="K458" s="21" t="str">
        <f aca="false">IF(I458="","",H458/I458-1)</f>
        <v/>
      </c>
      <c r="L458" s="19" t="str">
        <f aca="false">IF(H458="","",IF(J458&lt;설정!$B$7,"baseline 수집 중",IF(K458&lt;=-설정!$B$8,"저하","정상")))</f>
        <v/>
      </c>
      <c r="M458" s="20"/>
    </row>
    <row r="459" customFormat="false" ht="15" hidden="false" customHeight="false" outlineLevel="0" collapsed="false">
      <c r="A459" s="16"/>
      <c r="B459" s="17"/>
      <c r="C459" s="17"/>
      <c r="D459" s="17"/>
      <c r="E459" s="17"/>
      <c r="F459" s="17"/>
      <c r="G459" s="18" t="str">
        <f aca="false">IF(COUNT(D459:F459)=0,"",MAX(D459:F459))</f>
        <v/>
      </c>
      <c r="H459" s="18" t="str">
        <f aca="false">IF(COUNT(D459:F459)=0,"",ROUND(AVERAGE(D459:F459),1))</f>
        <v/>
      </c>
      <c r="I459" s="18" t="str">
        <f aca="false">IF(H459="","",IF(J459&lt;설정!$B$7,"",ROUND(AVERAGEIFS($H$2:$H$1001,$B$2:$B$1001,B459,$A$2:$A$1001,"&lt;"&amp;A459,$A$2:$A$1001,"&gt;="&amp;(A459-설정!$B$6)),1)))</f>
        <v/>
      </c>
      <c r="J459" s="18" t="str">
        <f aca="false">IF(H459="","",COUNTIFS($B$2:$B$1001,B459,$A$2:$A$1001,"&lt;"&amp;A459,$A$2:$A$1001,"&gt;="&amp;(A459-설정!$B$6),$H$2:$H$1001,"&gt;=0"))</f>
        <v/>
      </c>
      <c r="K459" s="21" t="str">
        <f aca="false">IF(I459="","",H459/I459-1)</f>
        <v/>
      </c>
      <c r="L459" s="19" t="str">
        <f aca="false">IF(H459="","",IF(J459&lt;설정!$B$7,"baseline 수집 중",IF(K459&lt;=-설정!$B$8,"저하","정상")))</f>
        <v/>
      </c>
      <c r="M459" s="20"/>
    </row>
    <row r="460" customFormat="false" ht="15" hidden="false" customHeight="false" outlineLevel="0" collapsed="false">
      <c r="A460" s="16"/>
      <c r="B460" s="17"/>
      <c r="C460" s="17"/>
      <c r="D460" s="17"/>
      <c r="E460" s="17"/>
      <c r="F460" s="17"/>
      <c r="G460" s="18" t="str">
        <f aca="false">IF(COUNT(D460:F460)=0,"",MAX(D460:F460))</f>
        <v/>
      </c>
      <c r="H460" s="18" t="str">
        <f aca="false">IF(COUNT(D460:F460)=0,"",ROUND(AVERAGE(D460:F460),1))</f>
        <v/>
      </c>
      <c r="I460" s="18" t="str">
        <f aca="false">IF(H460="","",IF(J460&lt;설정!$B$7,"",ROUND(AVERAGEIFS($H$2:$H$1001,$B$2:$B$1001,B460,$A$2:$A$1001,"&lt;"&amp;A460,$A$2:$A$1001,"&gt;="&amp;(A460-설정!$B$6)),1)))</f>
        <v/>
      </c>
      <c r="J460" s="18" t="str">
        <f aca="false">IF(H460="","",COUNTIFS($B$2:$B$1001,B460,$A$2:$A$1001,"&lt;"&amp;A460,$A$2:$A$1001,"&gt;="&amp;(A460-설정!$B$6),$H$2:$H$1001,"&gt;=0"))</f>
        <v/>
      </c>
      <c r="K460" s="21" t="str">
        <f aca="false">IF(I460="","",H460/I460-1)</f>
        <v/>
      </c>
      <c r="L460" s="19" t="str">
        <f aca="false">IF(H460="","",IF(J460&lt;설정!$B$7,"baseline 수집 중",IF(K460&lt;=-설정!$B$8,"저하","정상")))</f>
        <v/>
      </c>
      <c r="M460" s="20"/>
    </row>
    <row r="461" customFormat="false" ht="15" hidden="false" customHeight="false" outlineLevel="0" collapsed="false">
      <c r="A461" s="16"/>
      <c r="B461" s="17"/>
      <c r="C461" s="17"/>
      <c r="D461" s="17"/>
      <c r="E461" s="17"/>
      <c r="F461" s="17"/>
      <c r="G461" s="18" t="str">
        <f aca="false">IF(COUNT(D461:F461)=0,"",MAX(D461:F461))</f>
        <v/>
      </c>
      <c r="H461" s="18" t="str">
        <f aca="false">IF(COUNT(D461:F461)=0,"",ROUND(AVERAGE(D461:F461),1))</f>
        <v/>
      </c>
      <c r="I461" s="18" t="str">
        <f aca="false">IF(H461="","",IF(J461&lt;설정!$B$7,"",ROUND(AVERAGEIFS($H$2:$H$1001,$B$2:$B$1001,B461,$A$2:$A$1001,"&lt;"&amp;A461,$A$2:$A$1001,"&gt;="&amp;(A461-설정!$B$6)),1)))</f>
        <v/>
      </c>
      <c r="J461" s="18" t="str">
        <f aca="false">IF(H461="","",COUNTIFS($B$2:$B$1001,B461,$A$2:$A$1001,"&lt;"&amp;A461,$A$2:$A$1001,"&gt;="&amp;(A461-설정!$B$6),$H$2:$H$1001,"&gt;=0"))</f>
        <v/>
      </c>
      <c r="K461" s="21" t="str">
        <f aca="false">IF(I461="","",H461/I461-1)</f>
        <v/>
      </c>
      <c r="L461" s="19" t="str">
        <f aca="false">IF(H461="","",IF(J461&lt;설정!$B$7,"baseline 수집 중",IF(K461&lt;=-설정!$B$8,"저하","정상")))</f>
        <v/>
      </c>
      <c r="M461" s="20"/>
    </row>
    <row r="462" customFormat="false" ht="15" hidden="false" customHeight="false" outlineLevel="0" collapsed="false">
      <c r="A462" s="16"/>
      <c r="B462" s="17"/>
      <c r="C462" s="17"/>
      <c r="D462" s="17"/>
      <c r="E462" s="17"/>
      <c r="F462" s="17"/>
      <c r="G462" s="18" t="str">
        <f aca="false">IF(COUNT(D462:F462)=0,"",MAX(D462:F462))</f>
        <v/>
      </c>
      <c r="H462" s="18" t="str">
        <f aca="false">IF(COUNT(D462:F462)=0,"",ROUND(AVERAGE(D462:F462),1))</f>
        <v/>
      </c>
      <c r="I462" s="18" t="str">
        <f aca="false">IF(H462="","",IF(J462&lt;설정!$B$7,"",ROUND(AVERAGEIFS($H$2:$H$1001,$B$2:$B$1001,B462,$A$2:$A$1001,"&lt;"&amp;A462,$A$2:$A$1001,"&gt;="&amp;(A462-설정!$B$6)),1)))</f>
        <v/>
      </c>
      <c r="J462" s="18" t="str">
        <f aca="false">IF(H462="","",COUNTIFS($B$2:$B$1001,B462,$A$2:$A$1001,"&lt;"&amp;A462,$A$2:$A$1001,"&gt;="&amp;(A462-설정!$B$6),$H$2:$H$1001,"&gt;=0"))</f>
        <v/>
      </c>
      <c r="K462" s="21" t="str">
        <f aca="false">IF(I462="","",H462/I462-1)</f>
        <v/>
      </c>
      <c r="L462" s="19" t="str">
        <f aca="false">IF(H462="","",IF(J462&lt;설정!$B$7,"baseline 수집 중",IF(K462&lt;=-설정!$B$8,"저하","정상")))</f>
        <v/>
      </c>
      <c r="M462" s="20"/>
    </row>
    <row r="463" customFormat="false" ht="15" hidden="false" customHeight="false" outlineLevel="0" collapsed="false">
      <c r="A463" s="16"/>
      <c r="B463" s="17"/>
      <c r="C463" s="17"/>
      <c r="D463" s="17"/>
      <c r="E463" s="17"/>
      <c r="F463" s="17"/>
      <c r="G463" s="18" t="str">
        <f aca="false">IF(COUNT(D463:F463)=0,"",MAX(D463:F463))</f>
        <v/>
      </c>
      <c r="H463" s="18" t="str">
        <f aca="false">IF(COUNT(D463:F463)=0,"",ROUND(AVERAGE(D463:F463),1))</f>
        <v/>
      </c>
      <c r="I463" s="18" t="str">
        <f aca="false">IF(H463="","",IF(J463&lt;설정!$B$7,"",ROUND(AVERAGEIFS($H$2:$H$1001,$B$2:$B$1001,B463,$A$2:$A$1001,"&lt;"&amp;A463,$A$2:$A$1001,"&gt;="&amp;(A463-설정!$B$6)),1)))</f>
        <v/>
      </c>
      <c r="J463" s="18" t="str">
        <f aca="false">IF(H463="","",COUNTIFS($B$2:$B$1001,B463,$A$2:$A$1001,"&lt;"&amp;A463,$A$2:$A$1001,"&gt;="&amp;(A463-설정!$B$6),$H$2:$H$1001,"&gt;=0"))</f>
        <v/>
      </c>
      <c r="K463" s="21" t="str">
        <f aca="false">IF(I463="","",H463/I463-1)</f>
        <v/>
      </c>
      <c r="L463" s="19" t="str">
        <f aca="false">IF(H463="","",IF(J463&lt;설정!$B$7,"baseline 수집 중",IF(K463&lt;=-설정!$B$8,"저하","정상")))</f>
        <v/>
      </c>
      <c r="M463" s="20"/>
    </row>
    <row r="464" customFormat="false" ht="15" hidden="false" customHeight="false" outlineLevel="0" collapsed="false">
      <c r="A464" s="16"/>
      <c r="B464" s="17"/>
      <c r="C464" s="17"/>
      <c r="D464" s="17"/>
      <c r="E464" s="17"/>
      <c r="F464" s="17"/>
      <c r="G464" s="18" t="str">
        <f aca="false">IF(COUNT(D464:F464)=0,"",MAX(D464:F464))</f>
        <v/>
      </c>
      <c r="H464" s="18" t="str">
        <f aca="false">IF(COUNT(D464:F464)=0,"",ROUND(AVERAGE(D464:F464),1))</f>
        <v/>
      </c>
      <c r="I464" s="18" t="str">
        <f aca="false">IF(H464="","",IF(J464&lt;설정!$B$7,"",ROUND(AVERAGEIFS($H$2:$H$1001,$B$2:$B$1001,B464,$A$2:$A$1001,"&lt;"&amp;A464,$A$2:$A$1001,"&gt;="&amp;(A464-설정!$B$6)),1)))</f>
        <v/>
      </c>
      <c r="J464" s="18" t="str">
        <f aca="false">IF(H464="","",COUNTIFS($B$2:$B$1001,B464,$A$2:$A$1001,"&lt;"&amp;A464,$A$2:$A$1001,"&gt;="&amp;(A464-설정!$B$6),$H$2:$H$1001,"&gt;=0"))</f>
        <v/>
      </c>
      <c r="K464" s="21" t="str">
        <f aca="false">IF(I464="","",H464/I464-1)</f>
        <v/>
      </c>
      <c r="L464" s="19" t="str">
        <f aca="false">IF(H464="","",IF(J464&lt;설정!$B$7,"baseline 수집 중",IF(K464&lt;=-설정!$B$8,"저하","정상")))</f>
        <v/>
      </c>
      <c r="M464" s="20"/>
    </row>
    <row r="465" customFormat="false" ht="15" hidden="false" customHeight="false" outlineLevel="0" collapsed="false">
      <c r="A465" s="16"/>
      <c r="B465" s="17"/>
      <c r="C465" s="17"/>
      <c r="D465" s="17"/>
      <c r="E465" s="17"/>
      <c r="F465" s="17"/>
      <c r="G465" s="18" t="str">
        <f aca="false">IF(COUNT(D465:F465)=0,"",MAX(D465:F465))</f>
        <v/>
      </c>
      <c r="H465" s="18" t="str">
        <f aca="false">IF(COUNT(D465:F465)=0,"",ROUND(AVERAGE(D465:F465),1))</f>
        <v/>
      </c>
      <c r="I465" s="18" t="str">
        <f aca="false">IF(H465="","",IF(J465&lt;설정!$B$7,"",ROUND(AVERAGEIFS($H$2:$H$1001,$B$2:$B$1001,B465,$A$2:$A$1001,"&lt;"&amp;A465,$A$2:$A$1001,"&gt;="&amp;(A465-설정!$B$6)),1)))</f>
        <v/>
      </c>
      <c r="J465" s="18" t="str">
        <f aca="false">IF(H465="","",COUNTIFS($B$2:$B$1001,B465,$A$2:$A$1001,"&lt;"&amp;A465,$A$2:$A$1001,"&gt;="&amp;(A465-설정!$B$6),$H$2:$H$1001,"&gt;=0"))</f>
        <v/>
      </c>
      <c r="K465" s="21" t="str">
        <f aca="false">IF(I465="","",H465/I465-1)</f>
        <v/>
      </c>
      <c r="L465" s="19" t="str">
        <f aca="false">IF(H465="","",IF(J465&lt;설정!$B$7,"baseline 수집 중",IF(K465&lt;=-설정!$B$8,"저하","정상")))</f>
        <v/>
      </c>
      <c r="M465" s="20"/>
    </row>
    <row r="466" customFormat="false" ht="15" hidden="false" customHeight="false" outlineLevel="0" collapsed="false">
      <c r="A466" s="16"/>
      <c r="B466" s="17"/>
      <c r="C466" s="17"/>
      <c r="D466" s="17"/>
      <c r="E466" s="17"/>
      <c r="F466" s="17"/>
      <c r="G466" s="18" t="str">
        <f aca="false">IF(COUNT(D466:F466)=0,"",MAX(D466:F466))</f>
        <v/>
      </c>
      <c r="H466" s="18" t="str">
        <f aca="false">IF(COUNT(D466:F466)=0,"",ROUND(AVERAGE(D466:F466),1))</f>
        <v/>
      </c>
      <c r="I466" s="18" t="str">
        <f aca="false">IF(H466="","",IF(J466&lt;설정!$B$7,"",ROUND(AVERAGEIFS($H$2:$H$1001,$B$2:$B$1001,B466,$A$2:$A$1001,"&lt;"&amp;A466,$A$2:$A$1001,"&gt;="&amp;(A466-설정!$B$6)),1)))</f>
        <v/>
      </c>
      <c r="J466" s="18" t="str">
        <f aca="false">IF(H466="","",COUNTIFS($B$2:$B$1001,B466,$A$2:$A$1001,"&lt;"&amp;A466,$A$2:$A$1001,"&gt;="&amp;(A466-설정!$B$6),$H$2:$H$1001,"&gt;=0"))</f>
        <v/>
      </c>
      <c r="K466" s="21" t="str">
        <f aca="false">IF(I466="","",H466/I466-1)</f>
        <v/>
      </c>
      <c r="L466" s="19" t="str">
        <f aca="false">IF(H466="","",IF(J466&lt;설정!$B$7,"baseline 수집 중",IF(K466&lt;=-설정!$B$8,"저하","정상")))</f>
        <v/>
      </c>
      <c r="M466" s="20"/>
    </row>
    <row r="467" customFormat="false" ht="15" hidden="false" customHeight="false" outlineLevel="0" collapsed="false">
      <c r="A467" s="16"/>
      <c r="B467" s="17"/>
      <c r="C467" s="17"/>
      <c r="D467" s="17"/>
      <c r="E467" s="17"/>
      <c r="F467" s="17"/>
      <c r="G467" s="18" t="str">
        <f aca="false">IF(COUNT(D467:F467)=0,"",MAX(D467:F467))</f>
        <v/>
      </c>
      <c r="H467" s="18" t="str">
        <f aca="false">IF(COUNT(D467:F467)=0,"",ROUND(AVERAGE(D467:F467),1))</f>
        <v/>
      </c>
      <c r="I467" s="18" t="str">
        <f aca="false">IF(H467="","",IF(J467&lt;설정!$B$7,"",ROUND(AVERAGEIFS($H$2:$H$1001,$B$2:$B$1001,B467,$A$2:$A$1001,"&lt;"&amp;A467,$A$2:$A$1001,"&gt;="&amp;(A467-설정!$B$6)),1)))</f>
        <v/>
      </c>
      <c r="J467" s="18" t="str">
        <f aca="false">IF(H467="","",COUNTIFS($B$2:$B$1001,B467,$A$2:$A$1001,"&lt;"&amp;A467,$A$2:$A$1001,"&gt;="&amp;(A467-설정!$B$6),$H$2:$H$1001,"&gt;=0"))</f>
        <v/>
      </c>
      <c r="K467" s="21" t="str">
        <f aca="false">IF(I467="","",H467/I467-1)</f>
        <v/>
      </c>
      <c r="L467" s="19" t="str">
        <f aca="false">IF(H467="","",IF(J467&lt;설정!$B$7,"baseline 수집 중",IF(K467&lt;=-설정!$B$8,"저하","정상")))</f>
        <v/>
      </c>
      <c r="M467" s="20"/>
    </row>
    <row r="468" customFormat="false" ht="15" hidden="false" customHeight="false" outlineLevel="0" collapsed="false">
      <c r="A468" s="16"/>
      <c r="B468" s="17"/>
      <c r="C468" s="17"/>
      <c r="D468" s="17"/>
      <c r="E468" s="17"/>
      <c r="F468" s="17"/>
      <c r="G468" s="18" t="str">
        <f aca="false">IF(COUNT(D468:F468)=0,"",MAX(D468:F468))</f>
        <v/>
      </c>
      <c r="H468" s="18" t="str">
        <f aca="false">IF(COUNT(D468:F468)=0,"",ROUND(AVERAGE(D468:F468),1))</f>
        <v/>
      </c>
      <c r="I468" s="18" t="str">
        <f aca="false">IF(H468="","",IF(J468&lt;설정!$B$7,"",ROUND(AVERAGEIFS($H$2:$H$1001,$B$2:$B$1001,B468,$A$2:$A$1001,"&lt;"&amp;A468,$A$2:$A$1001,"&gt;="&amp;(A468-설정!$B$6)),1)))</f>
        <v/>
      </c>
      <c r="J468" s="18" t="str">
        <f aca="false">IF(H468="","",COUNTIFS($B$2:$B$1001,B468,$A$2:$A$1001,"&lt;"&amp;A468,$A$2:$A$1001,"&gt;="&amp;(A468-설정!$B$6),$H$2:$H$1001,"&gt;=0"))</f>
        <v/>
      </c>
      <c r="K468" s="21" t="str">
        <f aca="false">IF(I468="","",H468/I468-1)</f>
        <v/>
      </c>
      <c r="L468" s="19" t="str">
        <f aca="false">IF(H468="","",IF(J468&lt;설정!$B$7,"baseline 수집 중",IF(K468&lt;=-설정!$B$8,"저하","정상")))</f>
        <v/>
      </c>
      <c r="M468" s="20"/>
    </row>
    <row r="469" customFormat="false" ht="15" hidden="false" customHeight="false" outlineLevel="0" collapsed="false">
      <c r="A469" s="16"/>
      <c r="B469" s="17"/>
      <c r="C469" s="17"/>
      <c r="D469" s="17"/>
      <c r="E469" s="17"/>
      <c r="F469" s="17"/>
      <c r="G469" s="18" t="str">
        <f aca="false">IF(COUNT(D469:F469)=0,"",MAX(D469:F469))</f>
        <v/>
      </c>
      <c r="H469" s="18" t="str">
        <f aca="false">IF(COUNT(D469:F469)=0,"",ROUND(AVERAGE(D469:F469),1))</f>
        <v/>
      </c>
      <c r="I469" s="18" t="str">
        <f aca="false">IF(H469="","",IF(J469&lt;설정!$B$7,"",ROUND(AVERAGEIFS($H$2:$H$1001,$B$2:$B$1001,B469,$A$2:$A$1001,"&lt;"&amp;A469,$A$2:$A$1001,"&gt;="&amp;(A469-설정!$B$6)),1)))</f>
        <v/>
      </c>
      <c r="J469" s="18" t="str">
        <f aca="false">IF(H469="","",COUNTIFS($B$2:$B$1001,B469,$A$2:$A$1001,"&lt;"&amp;A469,$A$2:$A$1001,"&gt;="&amp;(A469-설정!$B$6),$H$2:$H$1001,"&gt;=0"))</f>
        <v/>
      </c>
      <c r="K469" s="21" t="str">
        <f aca="false">IF(I469="","",H469/I469-1)</f>
        <v/>
      </c>
      <c r="L469" s="19" t="str">
        <f aca="false">IF(H469="","",IF(J469&lt;설정!$B$7,"baseline 수집 중",IF(K469&lt;=-설정!$B$8,"저하","정상")))</f>
        <v/>
      </c>
      <c r="M469" s="20"/>
    </row>
    <row r="470" customFormat="false" ht="15" hidden="false" customHeight="false" outlineLevel="0" collapsed="false">
      <c r="A470" s="16"/>
      <c r="B470" s="17"/>
      <c r="C470" s="17"/>
      <c r="D470" s="17"/>
      <c r="E470" s="17"/>
      <c r="F470" s="17"/>
      <c r="G470" s="18" t="str">
        <f aca="false">IF(COUNT(D470:F470)=0,"",MAX(D470:F470))</f>
        <v/>
      </c>
      <c r="H470" s="18" t="str">
        <f aca="false">IF(COUNT(D470:F470)=0,"",ROUND(AVERAGE(D470:F470),1))</f>
        <v/>
      </c>
      <c r="I470" s="18" t="str">
        <f aca="false">IF(H470="","",IF(J470&lt;설정!$B$7,"",ROUND(AVERAGEIFS($H$2:$H$1001,$B$2:$B$1001,B470,$A$2:$A$1001,"&lt;"&amp;A470,$A$2:$A$1001,"&gt;="&amp;(A470-설정!$B$6)),1)))</f>
        <v/>
      </c>
      <c r="J470" s="18" t="str">
        <f aca="false">IF(H470="","",COUNTIFS($B$2:$B$1001,B470,$A$2:$A$1001,"&lt;"&amp;A470,$A$2:$A$1001,"&gt;="&amp;(A470-설정!$B$6),$H$2:$H$1001,"&gt;=0"))</f>
        <v/>
      </c>
      <c r="K470" s="21" t="str">
        <f aca="false">IF(I470="","",H470/I470-1)</f>
        <v/>
      </c>
      <c r="L470" s="19" t="str">
        <f aca="false">IF(H470="","",IF(J470&lt;설정!$B$7,"baseline 수집 중",IF(K470&lt;=-설정!$B$8,"저하","정상")))</f>
        <v/>
      </c>
      <c r="M470" s="20"/>
    </row>
    <row r="471" customFormat="false" ht="15" hidden="false" customHeight="false" outlineLevel="0" collapsed="false">
      <c r="A471" s="16"/>
      <c r="B471" s="17"/>
      <c r="C471" s="17"/>
      <c r="D471" s="17"/>
      <c r="E471" s="17"/>
      <c r="F471" s="17"/>
      <c r="G471" s="18" t="str">
        <f aca="false">IF(COUNT(D471:F471)=0,"",MAX(D471:F471))</f>
        <v/>
      </c>
      <c r="H471" s="18" t="str">
        <f aca="false">IF(COUNT(D471:F471)=0,"",ROUND(AVERAGE(D471:F471),1))</f>
        <v/>
      </c>
      <c r="I471" s="18" t="str">
        <f aca="false">IF(H471="","",IF(J471&lt;설정!$B$7,"",ROUND(AVERAGEIFS($H$2:$H$1001,$B$2:$B$1001,B471,$A$2:$A$1001,"&lt;"&amp;A471,$A$2:$A$1001,"&gt;="&amp;(A471-설정!$B$6)),1)))</f>
        <v/>
      </c>
      <c r="J471" s="18" t="str">
        <f aca="false">IF(H471="","",COUNTIFS($B$2:$B$1001,B471,$A$2:$A$1001,"&lt;"&amp;A471,$A$2:$A$1001,"&gt;="&amp;(A471-설정!$B$6),$H$2:$H$1001,"&gt;=0"))</f>
        <v/>
      </c>
      <c r="K471" s="21" t="str">
        <f aca="false">IF(I471="","",H471/I471-1)</f>
        <v/>
      </c>
      <c r="L471" s="19" t="str">
        <f aca="false">IF(H471="","",IF(J471&lt;설정!$B$7,"baseline 수집 중",IF(K471&lt;=-설정!$B$8,"저하","정상")))</f>
        <v/>
      </c>
      <c r="M471" s="20"/>
    </row>
    <row r="472" customFormat="false" ht="15" hidden="false" customHeight="false" outlineLevel="0" collapsed="false">
      <c r="A472" s="16"/>
      <c r="B472" s="17"/>
      <c r="C472" s="17"/>
      <c r="D472" s="17"/>
      <c r="E472" s="17"/>
      <c r="F472" s="17"/>
      <c r="G472" s="18" t="str">
        <f aca="false">IF(COUNT(D472:F472)=0,"",MAX(D472:F472))</f>
        <v/>
      </c>
      <c r="H472" s="18" t="str">
        <f aca="false">IF(COUNT(D472:F472)=0,"",ROUND(AVERAGE(D472:F472),1))</f>
        <v/>
      </c>
      <c r="I472" s="18" t="str">
        <f aca="false">IF(H472="","",IF(J472&lt;설정!$B$7,"",ROUND(AVERAGEIFS($H$2:$H$1001,$B$2:$B$1001,B472,$A$2:$A$1001,"&lt;"&amp;A472,$A$2:$A$1001,"&gt;="&amp;(A472-설정!$B$6)),1)))</f>
        <v/>
      </c>
      <c r="J472" s="18" t="str">
        <f aca="false">IF(H472="","",COUNTIFS($B$2:$B$1001,B472,$A$2:$A$1001,"&lt;"&amp;A472,$A$2:$A$1001,"&gt;="&amp;(A472-설정!$B$6),$H$2:$H$1001,"&gt;=0"))</f>
        <v/>
      </c>
      <c r="K472" s="21" t="str">
        <f aca="false">IF(I472="","",H472/I472-1)</f>
        <v/>
      </c>
      <c r="L472" s="19" t="str">
        <f aca="false">IF(H472="","",IF(J472&lt;설정!$B$7,"baseline 수집 중",IF(K472&lt;=-설정!$B$8,"저하","정상")))</f>
        <v/>
      </c>
      <c r="M472" s="20"/>
    </row>
    <row r="473" customFormat="false" ht="15" hidden="false" customHeight="false" outlineLevel="0" collapsed="false">
      <c r="A473" s="16"/>
      <c r="B473" s="17"/>
      <c r="C473" s="17"/>
      <c r="D473" s="17"/>
      <c r="E473" s="17"/>
      <c r="F473" s="17"/>
      <c r="G473" s="18" t="str">
        <f aca="false">IF(COUNT(D473:F473)=0,"",MAX(D473:F473))</f>
        <v/>
      </c>
      <c r="H473" s="18" t="str">
        <f aca="false">IF(COUNT(D473:F473)=0,"",ROUND(AVERAGE(D473:F473),1))</f>
        <v/>
      </c>
      <c r="I473" s="18" t="str">
        <f aca="false">IF(H473="","",IF(J473&lt;설정!$B$7,"",ROUND(AVERAGEIFS($H$2:$H$1001,$B$2:$B$1001,B473,$A$2:$A$1001,"&lt;"&amp;A473,$A$2:$A$1001,"&gt;="&amp;(A473-설정!$B$6)),1)))</f>
        <v/>
      </c>
      <c r="J473" s="18" t="str">
        <f aca="false">IF(H473="","",COUNTIFS($B$2:$B$1001,B473,$A$2:$A$1001,"&lt;"&amp;A473,$A$2:$A$1001,"&gt;="&amp;(A473-설정!$B$6),$H$2:$H$1001,"&gt;=0"))</f>
        <v/>
      </c>
      <c r="K473" s="21" t="str">
        <f aca="false">IF(I473="","",H473/I473-1)</f>
        <v/>
      </c>
      <c r="L473" s="19" t="str">
        <f aca="false">IF(H473="","",IF(J473&lt;설정!$B$7,"baseline 수집 중",IF(K473&lt;=-설정!$B$8,"저하","정상")))</f>
        <v/>
      </c>
      <c r="M473" s="20"/>
    </row>
    <row r="474" customFormat="false" ht="15" hidden="false" customHeight="false" outlineLevel="0" collapsed="false">
      <c r="A474" s="16"/>
      <c r="B474" s="17"/>
      <c r="C474" s="17"/>
      <c r="D474" s="17"/>
      <c r="E474" s="17"/>
      <c r="F474" s="17"/>
      <c r="G474" s="18" t="str">
        <f aca="false">IF(COUNT(D474:F474)=0,"",MAX(D474:F474))</f>
        <v/>
      </c>
      <c r="H474" s="18" t="str">
        <f aca="false">IF(COUNT(D474:F474)=0,"",ROUND(AVERAGE(D474:F474),1))</f>
        <v/>
      </c>
      <c r="I474" s="18" t="str">
        <f aca="false">IF(H474="","",IF(J474&lt;설정!$B$7,"",ROUND(AVERAGEIFS($H$2:$H$1001,$B$2:$B$1001,B474,$A$2:$A$1001,"&lt;"&amp;A474,$A$2:$A$1001,"&gt;="&amp;(A474-설정!$B$6)),1)))</f>
        <v/>
      </c>
      <c r="J474" s="18" t="str">
        <f aca="false">IF(H474="","",COUNTIFS($B$2:$B$1001,B474,$A$2:$A$1001,"&lt;"&amp;A474,$A$2:$A$1001,"&gt;="&amp;(A474-설정!$B$6),$H$2:$H$1001,"&gt;=0"))</f>
        <v/>
      </c>
      <c r="K474" s="21" t="str">
        <f aca="false">IF(I474="","",H474/I474-1)</f>
        <v/>
      </c>
      <c r="L474" s="19" t="str">
        <f aca="false">IF(H474="","",IF(J474&lt;설정!$B$7,"baseline 수집 중",IF(K474&lt;=-설정!$B$8,"저하","정상")))</f>
        <v/>
      </c>
      <c r="M474" s="20"/>
    </row>
    <row r="475" customFormat="false" ht="15" hidden="false" customHeight="false" outlineLevel="0" collapsed="false">
      <c r="A475" s="16"/>
      <c r="B475" s="17"/>
      <c r="C475" s="17"/>
      <c r="D475" s="17"/>
      <c r="E475" s="17"/>
      <c r="F475" s="17"/>
      <c r="G475" s="18" t="str">
        <f aca="false">IF(COUNT(D475:F475)=0,"",MAX(D475:F475))</f>
        <v/>
      </c>
      <c r="H475" s="18" t="str">
        <f aca="false">IF(COUNT(D475:F475)=0,"",ROUND(AVERAGE(D475:F475),1))</f>
        <v/>
      </c>
      <c r="I475" s="18" t="str">
        <f aca="false">IF(H475="","",IF(J475&lt;설정!$B$7,"",ROUND(AVERAGEIFS($H$2:$H$1001,$B$2:$B$1001,B475,$A$2:$A$1001,"&lt;"&amp;A475,$A$2:$A$1001,"&gt;="&amp;(A475-설정!$B$6)),1)))</f>
        <v/>
      </c>
      <c r="J475" s="18" t="str">
        <f aca="false">IF(H475="","",COUNTIFS($B$2:$B$1001,B475,$A$2:$A$1001,"&lt;"&amp;A475,$A$2:$A$1001,"&gt;="&amp;(A475-설정!$B$6),$H$2:$H$1001,"&gt;=0"))</f>
        <v/>
      </c>
      <c r="K475" s="21" t="str">
        <f aca="false">IF(I475="","",H475/I475-1)</f>
        <v/>
      </c>
      <c r="L475" s="19" t="str">
        <f aca="false">IF(H475="","",IF(J475&lt;설정!$B$7,"baseline 수집 중",IF(K475&lt;=-설정!$B$8,"저하","정상")))</f>
        <v/>
      </c>
      <c r="M475" s="20"/>
    </row>
    <row r="476" customFormat="false" ht="15" hidden="false" customHeight="false" outlineLevel="0" collapsed="false">
      <c r="A476" s="16"/>
      <c r="B476" s="17"/>
      <c r="C476" s="17"/>
      <c r="D476" s="17"/>
      <c r="E476" s="17"/>
      <c r="F476" s="17"/>
      <c r="G476" s="18" t="str">
        <f aca="false">IF(COUNT(D476:F476)=0,"",MAX(D476:F476))</f>
        <v/>
      </c>
      <c r="H476" s="18" t="str">
        <f aca="false">IF(COUNT(D476:F476)=0,"",ROUND(AVERAGE(D476:F476),1))</f>
        <v/>
      </c>
      <c r="I476" s="18" t="str">
        <f aca="false">IF(H476="","",IF(J476&lt;설정!$B$7,"",ROUND(AVERAGEIFS($H$2:$H$1001,$B$2:$B$1001,B476,$A$2:$A$1001,"&lt;"&amp;A476,$A$2:$A$1001,"&gt;="&amp;(A476-설정!$B$6)),1)))</f>
        <v/>
      </c>
      <c r="J476" s="18" t="str">
        <f aca="false">IF(H476="","",COUNTIFS($B$2:$B$1001,B476,$A$2:$A$1001,"&lt;"&amp;A476,$A$2:$A$1001,"&gt;="&amp;(A476-설정!$B$6),$H$2:$H$1001,"&gt;=0"))</f>
        <v/>
      </c>
      <c r="K476" s="21" t="str">
        <f aca="false">IF(I476="","",H476/I476-1)</f>
        <v/>
      </c>
      <c r="L476" s="19" t="str">
        <f aca="false">IF(H476="","",IF(J476&lt;설정!$B$7,"baseline 수집 중",IF(K476&lt;=-설정!$B$8,"저하","정상")))</f>
        <v/>
      </c>
      <c r="M476" s="20"/>
    </row>
    <row r="477" customFormat="false" ht="15" hidden="false" customHeight="false" outlineLevel="0" collapsed="false">
      <c r="A477" s="16"/>
      <c r="B477" s="17"/>
      <c r="C477" s="17"/>
      <c r="D477" s="17"/>
      <c r="E477" s="17"/>
      <c r="F477" s="17"/>
      <c r="G477" s="18" t="str">
        <f aca="false">IF(COUNT(D477:F477)=0,"",MAX(D477:F477))</f>
        <v/>
      </c>
      <c r="H477" s="18" t="str">
        <f aca="false">IF(COUNT(D477:F477)=0,"",ROUND(AVERAGE(D477:F477),1))</f>
        <v/>
      </c>
      <c r="I477" s="18" t="str">
        <f aca="false">IF(H477="","",IF(J477&lt;설정!$B$7,"",ROUND(AVERAGEIFS($H$2:$H$1001,$B$2:$B$1001,B477,$A$2:$A$1001,"&lt;"&amp;A477,$A$2:$A$1001,"&gt;="&amp;(A477-설정!$B$6)),1)))</f>
        <v/>
      </c>
      <c r="J477" s="18" t="str">
        <f aca="false">IF(H477="","",COUNTIFS($B$2:$B$1001,B477,$A$2:$A$1001,"&lt;"&amp;A477,$A$2:$A$1001,"&gt;="&amp;(A477-설정!$B$6),$H$2:$H$1001,"&gt;=0"))</f>
        <v/>
      </c>
      <c r="K477" s="21" t="str">
        <f aca="false">IF(I477="","",H477/I477-1)</f>
        <v/>
      </c>
      <c r="L477" s="19" t="str">
        <f aca="false">IF(H477="","",IF(J477&lt;설정!$B$7,"baseline 수집 중",IF(K477&lt;=-설정!$B$8,"저하","정상")))</f>
        <v/>
      </c>
      <c r="M477" s="20"/>
    </row>
    <row r="478" customFormat="false" ht="15" hidden="false" customHeight="false" outlineLevel="0" collapsed="false">
      <c r="A478" s="16"/>
      <c r="B478" s="17"/>
      <c r="C478" s="17"/>
      <c r="D478" s="17"/>
      <c r="E478" s="17"/>
      <c r="F478" s="17"/>
      <c r="G478" s="18" t="str">
        <f aca="false">IF(COUNT(D478:F478)=0,"",MAX(D478:F478))</f>
        <v/>
      </c>
      <c r="H478" s="18" t="str">
        <f aca="false">IF(COUNT(D478:F478)=0,"",ROUND(AVERAGE(D478:F478),1))</f>
        <v/>
      </c>
      <c r="I478" s="18" t="str">
        <f aca="false">IF(H478="","",IF(J478&lt;설정!$B$7,"",ROUND(AVERAGEIFS($H$2:$H$1001,$B$2:$B$1001,B478,$A$2:$A$1001,"&lt;"&amp;A478,$A$2:$A$1001,"&gt;="&amp;(A478-설정!$B$6)),1)))</f>
        <v/>
      </c>
      <c r="J478" s="18" t="str">
        <f aca="false">IF(H478="","",COUNTIFS($B$2:$B$1001,B478,$A$2:$A$1001,"&lt;"&amp;A478,$A$2:$A$1001,"&gt;="&amp;(A478-설정!$B$6),$H$2:$H$1001,"&gt;=0"))</f>
        <v/>
      </c>
      <c r="K478" s="21" t="str">
        <f aca="false">IF(I478="","",H478/I478-1)</f>
        <v/>
      </c>
      <c r="L478" s="19" t="str">
        <f aca="false">IF(H478="","",IF(J478&lt;설정!$B$7,"baseline 수집 중",IF(K478&lt;=-설정!$B$8,"저하","정상")))</f>
        <v/>
      </c>
      <c r="M478" s="20"/>
    </row>
    <row r="479" customFormat="false" ht="15" hidden="false" customHeight="false" outlineLevel="0" collapsed="false">
      <c r="A479" s="16"/>
      <c r="B479" s="17"/>
      <c r="C479" s="17"/>
      <c r="D479" s="17"/>
      <c r="E479" s="17"/>
      <c r="F479" s="17"/>
      <c r="G479" s="18" t="str">
        <f aca="false">IF(COUNT(D479:F479)=0,"",MAX(D479:F479))</f>
        <v/>
      </c>
      <c r="H479" s="18" t="str">
        <f aca="false">IF(COUNT(D479:F479)=0,"",ROUND(AVERAGE(D479:F479),1))</f>
        <v/>
      </c>
      <c r="I479" s="18" t="str">
        <f aca="false">IF(H479="","",IF(J479&lt;설정!$B$7,"",ROUND(AVERAGEIFS($H$2:$H$1001,$B$2:$B$1001,B479,$A$2:$A$1001,"&lt;"&amp;A479,$A$2:$A$1001,"&gt;="&amp;(A479-설정!$B$6)),1)))</f>
        <v/>
      </c>
      <c r="J479" s="18" t="str">
        <f aca="false">IF(H479="","",COUNTIFS($B$2:$B$1001,B479,$A$2:$A$1001,"&lt;"&amp;A479,$A$2:$A$1001,"&gt;="&amp;(A479-설정!$B$6),$H$2:$H$1001,"&gt;=0"))</f>
        <v/>
      </c>
      <c r="K479" s="21" t="str">
        <f aca="false">IF(I479="","",H479/I479-1)</f>
        <v/>
      </c>
      <c r="L479" s="19" t="str">
        <f aca="false">IF(H479="","",IF(J479&lt;설정!$B$7,"baseline 수집 중",IF(K479&lt;=-설정!$B$8,"저하","정상")))</f>
        <v/>
      </c>
      <c r="M479" s="20"/>
    </row>
    <row r="480" customFormat="false" ht="15" hidden="false" customHeight="false" outlineLevel="0" collapsed="false">
      <c r="A480" s="16"/>
      <c r="B480" s="17"/>
      <c r="C480" s="17"/>
      <c r="D480" s="17"/>
      <c r="E480" s="17"/>
      <c r="F480" s="17"/>
      <c r="G480" s="18" t="str">
        <f aca="false">IF(COUNT(D480:F480)=0,"",MAX(D480:F480))</f>
        <v/>
      </c>
      <c r="H480" s="18" t="str">
        <f aca="false">IF(COUNT(D480:F480)=0,"",ROUND(AVERAGE(D480:F480),1))</f>
        <v/>
      </c>
      <c r="I480" s="18" t="str">
        <f aca="false">IF(H480="","",IF(J480&lt;설정!$B$7,"",ROUND(AVERAGEIFS($H$2:$H$1001,$B$2:$B$1001,B480,$A$2:$A$1001,"&lt;"&amp;A480,$A$2:$A$1001,"&gt;="&amp;(A480-설정!$B$6)),1)))</f>
        <v/>
      </c>
      <c r="J480" s="18" t="str">
        <f aca="false">IF(H480="","",COUNTIFS($B$2:$B$1001,B480,$A$2:$A$1001,"&lt;"&amp;A480,$A$2:$A$1001,"&gt;="&amp;(A480-설정!$B$6),$H$2:$H$1001,"&gt;=0"))</f>
        <v/>
      </c>
      <c r="K480" s="21" t="str">
        <f aca="false">IF(I480="","",H480/I480-1)</f>
        <v/>
      </c>
      <c r="L480" s="19" t="str">
        <f aca="false">IF(H480="","",IF(J480&lt;설정!$B$7,"baseline 수집 중",IF(K480&lt;=-설정!$B$8,"저하","정상")))</f>
        <v/>
      </c>
      <c r="M480" s="20"/>
    </row>
    <row r="481" customFormat="false" ht="15" hidden="false" customHeight="false" outlineLevel="0" collapsed="false">
      <c r="A481" s="16"/>
      <c r="B481" s="17"/>
      <c r="C481" s="17"/>
      <c r="D481" s="17"/>
      <c r="E481" s="17"/>
      <c r="F481" s="17"/>
      <c r="G481" s="18" t="str">
        <f aca="false">IF(COUNT(D481:F481)=0,"",MAX(D481:F481))</f>
        <v/>
      </c>
      <c r="H481" s="18" t="str">
        <f aca="false">IF(COUNT(D481:F481)=0,"",ROUND(AVERAGE(D481:F481),1))</f>
        <v/>
      </c>
      <c r="I481" s="18" t="str">
        <f aca="false">IF(H481="","",IF(J481&lt;설정!$B$7,"",ROUND(AVERAGEIFS($H$2:$H$1001,$B$2:$B$1001,B481,$A$2:$A$1001,"&lt;"&amp;A481,$A$2:$A$1001,"&gt;="&amp;(A481-설정!$B$6)),1)))</f>
        <v/>
      </c>
      <c r="J481" s="18" t="str">
        <f aca="false">IF(H481="","",COUNTIFS($B$2:$B$1001,B481,$A$2:$A$1001,"&lt;"&amp;A481,$A$2:$A$1001,"&gt;="&amp;(A481-설정!$B$6),$H$2:$H$1001,"&gt;=0"))</f>
        <v/>
      </c>
      <c r="K481" s="21" t="str">
        <f aca="false">IF(I481="","",H481/I481-1)</f>
        <v/>
      </c>
      <c r="L481" s="19" t="str">
        <f aca="false">IF(H481="","",IF(J481&lt;설정!$B$7,"baseline 수집 중",IF(K481&lt;=-설정!$B$8,"저하","정상")))</f>
        <v/>
      </c>
      <c r="M481" s="20"/>
    </row>
    <row r="482" customFormat="false" ht="15" hidden="false" customHeight="false" outlineLevel="0" collapsed="false">
      <c r="A482" s="16"/>
      <c r="B482" s="17"/>
      <c r="C482" s="17"/>
      <c r="D482" s="17"/>
      <c r="E482" s="17"/>
      <c r="F482" s="17"/>
      <c r="G482" s="18" t="str">
        <f aca="false">IF(COUNT(D482:F482)=0,"",MAX(D482:F482))</f>
        <v/>
      </c>
      <c r="H482" s="18" t="str">
        <f aca="false">IF(COUNT(D482:F482)=0,"",ROUND(AVERAGE(D482:F482),1))</f>
        <v/>
      </c>
      <c r="I482" s="18" t="str">
        <f aca="false">IF(H482="","",IF(J482&lt;설정!$B$7,"",ROUND(AVERAGEIFS($H$2:$H$1001,$B$2:$B$1001,B482,$A$2:$A$1001,"&lt;"&amp;A482,$A$2:$A$1001,"&gt;="&amp;(A482-설정!$B$6)),1)))</f>
        <v/>
      </c>
      <c r="J482" s="18" t="str">
        <f aca="false">IF(H482="","",COUNTIFS($B$2:$B$1001,B482,$A$2:$A$1001,"&lt;"&amp;A482,$A$2:$A$1001,"&gt;="&amp;(A482-설정!$B$6),$H$2:$H$1001,"&gt;=0"))</f>
        <v/>
      </c>
      <c r="K482" s="21" t="str">
        <f aca="false">IF(I482="","",H482/I482-1)</f>
        <v/>
      </c>
      <c r="L482" s="19" t="str">
        <f aca="false">IF(H482="","",IF(J482&lt;설정!$B$7,"baseline 수집 중",IF(K482&lt;=-설정!$B$8,"저하","정상")))</f>
        <v/>
      </c>
      <c r="M482" s="20"/>
    </row>
    <row r="483" customFormat="false" ht="15" hidden="false" customHeight="false" outlineLevel="0" collapsed="false">
      <c r="A483" s="16"/>
      <c r="B483" s="17"/>
      <c r="C483" s="17"/>
      <c r="D483" s="17"/>
      <c r="E483" s="17"/>
      <c r="F483" s="17"/>
      <c r="G483" s="18" t="str">
        <f aca="false">IF(COUNT(D483:F483)=0,"",MAX(D483:F483))</f>
        <v/>
      </c>
      <c r="H483" s="18" t="str">
        <f aca="false">IF(COUNT(D483:F483)=0,"",ROUND(AVERAGE(D483:F483),1))</f>
        <v/>
      </c>
      <c r="I483" s="18" t="str">
        <f aca="false">IF(H483="","",IF(J483&lt;설정!$B$7,"",ROUND(AVERAGEIFS($H$2:$H$1001,$B$2:$B$1001,B483,$A$2:$A$1001,"&lt;"&amp;A483,$A$2:$A$1001,"&gt;="&amp;(A483-설정!$B$6)),1)))</f>
        <v/>
      </c>
      <c r="J483" s="18" t="str">
        <f aca="false">IF(H483="","",COUNTIFS($B$2:$B$1001,B483,$A$2:$A$1001,"&lt;"&amp;A483,$A$2:$A$1001,"&gt;="&amp;(A483-설정!$B$6),$H$2:$H$1001,"&gt;=0"))</f>
        <v/>
      </c>
      <c r="K483" s="21" t="str">
        <f aca="false">IF(I483="","",H483/I483-1)</f>
        <v/>
      </c>
      <c r="L483" s="19" t="str">
        <f aca="false">IF(H483="","",IF(J483&lt;설정!$B$7,"baseline 수집 중",IF(K483&lt;=-설정!$B$8,"저하","정상")))</f>
        <v/>
      </c>
      <c r="M483" s="20"/>
    </row>
    <row r="484" customFormat="false" ht="15" hidden="false" customHeight="false" outlineLevel="0" collapsed="false">
      <c r="A484" s="16"/>
      <c r="B484" s="17"/>
      <c r="C484" s="17"/>
      <c r="D484" s="17"/>
      <c r="E484" s="17"/>
      <c r="F484" s="17"/>
      <c r="G484" s="18" t="str">
        <f aca="false">IF(COUNT(D484:F484)=0,"",MAX(D484:F484))</f>
        <v/>
      </c>
      <c r="H484" s="18" t="str">
        <f aca="false">IF(COUNT(D484:F484)=0,"",ROUND(AVERAGE(D484:F484),1))</f>
        <v/>
      </c>
      <c r="I484" s="18" t="str">
        <f aca="false">IF(H484="","",IF(J484&lt;설정!$B$7,"",ROUND(AVERAGEIFS($H$2:$H$1001,$B$2:$B$1001,B484,$A$2:$A$1001,"&lt;"&amp;A484,$A$2:$A$1001,"&gt;="&amp;(A484-설정!$B$6)),1)))</f>
        <v/>
      </c>
      <c r="J484" s="18" t="str">
        <f aca="false">IF(H484="","",COUNTIFS($B$2:$B$1001,B484,$A$2:$A$1001,"&lt;"&amp;A484,$A$2:$A$1001,"&gt;="&amp;(A484-설정!$B$6),$H$2:$H$1001,"&gt;=0"))</f>
        <v/>
      </c>
      <c r="K484" s="21" t="str">
        <f aca="false">IF(I484="","",H484/I484-1)</f>
        <v/>
      </c>
      <c r="L484" s="19" t="str">
        <f aca="false">IF(H484="","",IF(J484&lt;설정!$B$7,"baseline 수집 중",IF(K484&lt;=-설정!$B$8,"저하","정상")))</f>
        <v/>
      </c>
      <c r="M484" s="20"/>
    </row>
    <row r="485" customFormat="false" ht="15" hidden="false" customHeight="false" outlineLevel="0" collapsed="false">
      <c r="A485" s="16"/>
      <c r="B485" s="17"/>
      <c r="C485" s="17"/>
      <c r="D485" s="17"/>
      <c r="E485" s="17"/>
      <c r="F485" s="17"/>
      <c r="G485" s="18" t="str">
        <f aca="false">IF(COUNT(D485:F485)=0,"",MAX(D485:F485))</f>
        <v/>
      </c>
      <c r="H485" s="18" t="str">
        <f aca="false">IF(COUNT(D485:F485)=0,"",ROUND(AVERAGE(D485:F485),1))</f>
        <v/>
      </c>
      <c r="I485" s="18" t="str">
        <f aca="false">IF(H485="","",IF(J485&lt;설정!$B$7,"",ROUND(AVERAGEIFS($H$2:$H$1001,$B$2:$B$1001,B485,$A$2:$A$1001,"&lt;"&amp;A485,$A$2:$A$1001,"&gt;="&amp;(A485-설정!$B$6)),1)))</f>
        <v/>
      </c>
      <c r="J485" s="18" t="str">
        <f aca="false">IF(H485="","",COUNTIFS($B$2:$B$1001,B485,$A$2:$A$1001,"&lt;"&amp;A485,$A$2:$A$1001,"&gt;="&amp;(A485-설정!$B$6),$H$2:$H$1001,"&gt;=0"))</f>
        <v/>
      </c>
      <c r="K485" s="21" t="str">
        <f aca="false">IF(I485="","",H485/I485-1)</f>
        <v/>
      </c>
      <c r="L485" s="19" t="str">
        <f aca="false">IF(H485="","",IF(J485&lt;설정!$B$7,"baseline 수집 중",IF(K485&lt;=-설정!$B$8,"저하","정상")))</f>
        <v/>
      </c>
      <c r="M485" s="20"/>
    </row>
    <row r="486" customFormat="false" ht="15" hidden="false" customHeight="false" outlineLevel="0" collapsed="false">
      <c r="A486" s="16"/>
      <c r="B486" s="17"/>
      <c r="C486" s="17"/>
      <c r="D486" s="17"/>
      <c r="E486" s="17"/>
      <c r="F486" s="17"/>
      <c r="G486" s="18" t="str">
        <f aca="false">IF(COUNT(D486:F486)=0,"",MAX(D486:F486))</f>
        <v/>
      </c>
      <c r="H486" s="18" t="str">
        <f aca="false">IF(COUNT(D486:F486)=0,"",ROUND(AVERAGE(D486:F486),1))</f>
        <v/>
      </c>
      <c r="I486" s="18" t="str">
        <f aca="false">IF(H486="","",IF(J486&lt;설정!$B$7,"",ROUND(AVERAGEIFS($H$2:$H$1001,$B$2:$B$1001,B486,$A$2:$A$1001,"&lt;"&amp;A486,$A$2:$A$1001,"&gt;="&amp;(A486-설정!$B$6)),1)))</f>
        <v/>
      </c>
      <c r="J486" s="18" t="str">
        <f aca="false">IF(H486="","",COUNTIFS($B$2:$B$1001,B486,$A$2:$A$1001,"&lt;"&amp;A486,$A$2:$A$1001,"&gt;="&amp;(A486-설정!$B$6),$H$2:$H$1001,"&gt;=0"))</f>
        <v/>
      </c>
      <c r="K486" s="21" t="str">
        <f aca="false">IF(I486="","",H486/I486-1)</f>
        <v/>
      </c>
      <c r="L486" s="19" t="str">
        <f aca="false">IF(H486="","",IF(J486&lt;설정!$B$7,"baseline 수집 중",IF(K486&lt;=-설정!$B$8,"저하","정상")))</f>
        <v/>
      </c>
      <c r="M486" s="20"/>
    </row>
    <row r="487" customFormat="false" ht="15" hidden="false" customHeight="false" outlineLevel="0" collapsed="false">
      <c r="A487" s="16"/>
      <c r="B487" s="17"/>
      <c r="C487" s="17"/>
      <c r="D487" s="17"/>
      <c r="E487" s="17"/>
      <c r="F487" s="17"/>
      <c r="G487" s="18" t="str">
        <f aca="false">IF(COUNT(D487:F487)=0,"",MAX(D487:F487))</f>
        <v/>
      </c>
      <c r="H487" s="18" t="str">
        <f aca="false">IF(COUNT(D487:F487)=0,"",ROUND(AVERAGE(D487:F487),1))</f>
        <v/>
      </c>
      <c r="I487" s="18" t="str">
        <f aca="false">IF(H487="","",IF(J487&lt;설정!$B$7,"",ROUND(AVERAGEIFS($H$2:$H$1001,$B$2:$B$1001,B487,$A$2:$A$1001,"&lt;"&amp;A487,$A$2:$A$1001,"&gt;="&amp;(A487-설정!$B$6)),1)))</f>
        <v/>
      </c>
      <c r="J487" s="18" t="str">
        <f aca="false">IF(H487="","",COUNTIFS($B$2:$B$1001,B487,$A$2:$A$1001,"&lt;"&amp;A487,$A$2:$A$1001,"&gt;="&amp;(A487-설정!$B$6),$H$2:$H$1001,"&gt;=0"))</f>
        <v/>
      </c>
      <c r="K487" s="21" t="str">
        <f aca="false">IF(I487="","",H487/I487-1)</f>
        <v/>
      </c>
      <c r="L487" s="19" t="str">
        <f aca="false">IF(H487="","",IF(J487&lt;설정!$B$7,"baseline 수집 중",IF(K487&lt;=-설정!$B$8,"저하","정상")))</f>
        <v/>
      </c>
      <c r="M487" s="20"/>
    </row>
    <row r="488" customFormat="false" ht="15" hidden="false" customHeight="false" outlineLevel="0" collapsed="false">
      <c r="A488" s="16"/>
      <c r="B488" s="17"/>
      <c r="C488" s="17"/>
      <c r="D488" s="17"/>
      <c r="E488" s="17"/>
      <c r="F488" s="17"/>
      <c r="G488" s="18" t="str">
        <f aca="false">IF(COUNT(D488:F488)=0,"",MAX(D488:F488))</f>
        <v/>
      </c>
      <c r="H488" s="18" t="str">
        <f aca="false">IF(COUNT(D488:F488)=0,"",ROUND(AVERAGE(D488:F488),1))</f>
        <v/>
      </c>
      <c r="I488" s="18" t="str">
        <f aca="false">IF(H488="","",IF(J488&lt;설정!$B$7,"",ROUND(AVERAGEIFS($H$2:$H$1001,$B$2:$B$1001,B488,$A$2:$A$1001,"&lt;"&amp;A488,$A$2:$A$1001,"&gt;="&amp;(A488-설정!$B$6)),1)))</f>
        <v/>
      </c>
      <c r="J488" s="18" t="str">
        <f aca="false">IF(H488="","",COUNTIFS($B$2:$B$1001,B488,$A$2:$A$1001,"&lt;"&amp;A488,$A$2:$A$1001,"&gt;="&amp;(A488-설정!$B$6),$H$2:$H$1001,"&gt;=0"))</f>
        <v/>
      </c>
      <c r="K488" s="21" t="str">
        <f aca="false">IF(I488="","",H488/I488-1)</f>
        <v/>
      </c>
      <c r="L488" s="19" t="str">
        <f aca="false">IF(H488="","",IF(J488&lt;설정!$B$7,"baseline 수집 중",IF(K488&lt;=-설정!$B$8,"저하","정상")))</f>
        <v/>
      </c>
      <c r="M488" s="20"/>
    </row>
    <row r="489" customFormat="false" ht="15" hidden="false" customHeight="false" outlineLevel="0" collapsed="false">
      <c r="A489" s="16"/>
      <c r="B489" s="17"/>
      <c r="C489" s="17"/>
      <c r="D489" s="17"/>
      <c r="E489" s="17"/>
      <c r="F489" s="17"/>
      <c r="G489" s="18" t="str">
        <f aca="false">IF(COUNT(D489:F489)=0,"",MAX(D489:F489))</f>
        <v/>
      </c>
      <c r="H489" s="18" t="str">
        <f aca="false">IF(COUNT(D489:F489)=0,"",ROUND(AVERAGE(D489:F489),1))</f>
        <v/>
      </c>
      <c r="I489" s="18" t="str">
        <f aca="false">IF(H489="","",IF(J489&lt;설정!$B$7,"",ROUND(AVERAGEIFS($H$2:$H$1001,$B$2:$B$1001,B489,$A$2:$A$1001,"&lt;"&amp;A489,$A$2:$A$1001,"&gt;="&amp;(A489-설정!$B$6)),1)))</f>
        <v/>
      </c>
      <c r="J489" s="18" t="str">
        <f aca="false">IF(H489="","",COUNTIFS($B$2:$B$1001,B489,$A$2:$A$1001,"&lt;"&amp;A489,$A$2:$A$1001,"&gt;="&amp;(A489-설정!$B$6),$H$2:$H$1001,"&gt;=0"))</f>
        <v/>
      </c>
      <c r="K489" s="21" t="str">
        <f aca="false">IF(I489="","",H489/I489-1)</f>
        <v/>
      </c>
      <c r="L489" s="19" t="str">
        <f aca="false">IF(H489="","",IF(J489&lt;설정!$B$7,"baseline 수집 중",IF(K489&lt;=-설정!$B$8,"저하","정상")))</f>
        <v/>
      </c>
      <c r="M489" s="20"/>
    </row>
    <row r="490" customFormat="false" ht="15" hidden="false" customHeight="false" outlineLevel="0" collapsed="false">
      <c r="A490" s="16"/>
      <c r="B490" s="17"/>
      <c r="C490" s="17"/>
      <c r="D490" s="17"/>
      <c r="E490" s="17"/>
      <c r="F490" s="17"/>
      <c r="G490" s="18" t="str">
        <f aca="false">IF(COUNT(D490:F490)=0,"",MAX(D490:F490))</f>
        <v/>
      </c>
      <c r="H490" s="18" t="str">
        <f aca="false">IF(COUNT(D490:F490)=0,"",ROUND(AVERAGE(D490:F490),1))</f>
        <v/>
      </c>
      <c r="I490" s="18" t="str">
        <f aca="false">IF(H490="","",IF(J490&lt;설정!$B$7,"",ROUND(AVERAGEIFS($H$2:$H$1001,$B$2:$B$1001,B490,$A$2:$A$1001,"&lt;"&amp;A490,$A$2:$A$1001,"&gt;="&amp;(A490-설정!$B$6)),1)))</f>
        <v/>
      </c>
      <c r="J490" s="18" t="str">
        <f aca="false">IF(H490="","",COUNTIFS($B$2:$B$1001,B490,$A$2:$A$1001,"&lt;"&amp;A490,$A$2:$A$1001,"&gt;="&amp;(A490-설정!$B$6),$H$2:$H$1001,"&gt;=0"))</f>
        <v/>
      </c>
      <c r="K490" s="21" t="str">
        <f aca="false">IF(I490="","",H490/I490-1)</f>
        <v/>
      </c>
      <c r="L490" s="19" t="str">
        <f aca="false">IF(H490="","",IF(J490&lt;설정!$B$7,"baseline 수집 중",IF(K490&lt;=-설정!$B$8,"저하","정상")))</f>
        <v/>
      </c>
      <c r="M490" s="20"/>
    </row>
    <row r="491" customFormat="false" ht="15" hidden="false" customHeight="false" outlineLevel="0" collapsed="false">
      <c r="A491" s="16"/>
      <c r="B491" s="17"/>
      <c r="C491" s="17"/>
      <c r="D491" s="17"/>
      <c r="E491" s="17"/>
      <c r="F491" s="17"/>
      <c r="G491" s="18" t="str">
        <f aca="false">IF(COUNT(D491:F491)=0,"",MAX(D491:F491))</f>
        <v/>
      </c>
      <c r="H491" s="18" t="str">
        <f aca="false">IF(COUNT(D491:F491)=0,"",ROUND(AVERAGE(D491:F491),1))</f>
        <v/>
      </c>
      <c r="I491" s="18" t="str">
        <f aca="false">IF(H491="","",IF(J491&lt;설정!$B$7,"",ROUND(AVERAGEIFS($H$2:$H$1001,$B$2:$B$1001,B491,$A$2:$A$1001,"&lt;"&amp;A491,$A$2:$A$1001,"&gt;="&amp;(A491-설정!$B$6)),1)))</f>
        <v/>
      </c>
      <c r="J491" s="18" t="str">
        <f aca="false">IF(H491="","",COUNTIFS($B$2:$B$1001,B491,$A$2:$A$1001,"&lt;"&amp;A491,$A$2:$A$1001,"&gt;="&amp;(A491-설정!$B$6),$H$2:$H$1001,"&gt;=0"))</f>
        <v/>
      </c>
      <c r="K491" s="21" t="str">
        <f aca="false">IF(I491="","",H491/I491-1)</f>
        <v/>
      </c>
      <c r="L491" s="19" t="str">
        <f aca="false">IF(H491="","",IF(J491&lt;설정!$B$7,"baseline 수집 중",IF(K491&lt;=-설정!$B$8,"저하","정상")))</f>
        <v/>
      </c>
      <c r="M491" s="20"/>
    </row>
    <row r="492" customFormat="false" ht="15" hidden="false" customHeight="false" outlineLevel="0" collapsed="false">
      <c r="A492" s="16"/>
      <c r="B492" s="17"/>
      <c r="C492" s="17"/>
      <c r="D492" s="17"/>
      <c r="E492" s="17"/>
      <c r="F492" s="17"/>
      <c r="G492" s="18" t="str">
        <f aca="false">IF(COUNT(D492:F492)=0,"",MAX(D492:F492))</f>
        <v/>
      </c>
      <c r="H492" s="18" t="str">
        <f aca="false">IF(COUNT(D492:F492)=0,"",ROUND(AVERAGE(D492:F492),1))</f>
        <v/>
      </c>
      <c r="I492" s="18" t="str">
        <f aca="false">IF(H492="","",IF(J492&lt;설정!$B$7,"",ROUND(AVERAGEIFS($H$2:$H$1001,$B$2:$B$1001,B492,$A$2:$A$1001,"&lt;"&amp;A492,$A$2:$A$1001,"&gt;="&amp;(A492-설정!$B$6)),1)))</f>
        <v/>
      </c>
      <c r="J492" s="18" t="str">
        <f aca="false">IF(H492="","",COUNTIFS($B$2:$B$1001,B492,$A$2:$A$1001,"&lt;"&amp;A492,$A$2:$A$1001,"&gt;="&amp;(A492-설정!$B$6),$H$2:$H$1001,"&gt;=0"))</f>
        <v/>
      </c>
      <c r="K492" s="21" t="str">
        <f aca="false">IF(I492="","",H492/I492-1)</f>
        <v/>
      </c>
      <c r="L492" s="19" t="str">
        <f aca="false">IF(H492="","",IF(J492&lt;설정!$B$7,"baseline 수집 중",IF(K492&lt;=-설정!$B$8,"저하","정상")))</f>
        <v/>
      </c>
      <c r="M492" s="20"/>
    </row>
    <row r="493" customFormat="false" ht="15" hidden="false" customHeight="false" outlineLevel="0" collapsed="false">
      <c r="A493" s="16"/>
      <c r="B493" s="17"/>
      <c r="C493" s="17"/>
      <c r="D493" s="17"/>
      <c r="E493" s="17"/>
      <c r="F493" s="17"/>
      <c r="G493" s="18" t="str">
        <f aca="false">IF(COUNT(D493:F493)=0,"",MAX(D493:F493))</f>
        <v/>
      </c>
      <c r="H493" s="18" t="str">
        <f aca="false">IF(COUNT(D493:F493)=0,"",ROUND(AVERAGE(D493:F493),1))</f>
        <v/>
      </c>
      <c r="I493" s="18" t="str">
        <f aca="false">IF(H493="","",IF(J493&lt;설정!$B$7,"",ROUND(AVERAGEIFS($H$2:$H$1001,$B$2:$B$1001,B493,$A$2:$A$1001,"&lt;"&amp;A493,$A$2:$A$1001,"&gt;="&amp;(A493-설정!$B$6)),1)))</f>
        <v/>
      </c>
      <c r="J493" s="18" t="str">
        <f aca="false">IF(H493="","",COUNTIFS($B$2:$B$1001,B493,$A$2:$A$1001,"&lt;"&amp;A493,$A$2:$A$1001,"&gt;="&amp;(A493-설정!$B$6),$H$2:$H$1001,"&gt;=0"))</f>
        <v/>
      </c>
      <c r="K493" s="21" t="str">
        <f aca="false">IF(I493="","",H493/I493-1)</f>
        <v/>
      </c>
      <c r="L493" s="19" t="str">
        <f aca="false">IF(H493="","",IF(J493&lt;설정!$B$7,"baseline 수집 중",IF(K493&lt;=-설정!$B$8,"저하","정상")))</f>
        <v/>
      </c>
      <c r="M493" s="20"/>
    </row>
    <row r="494" customFormat="false" ht="15" hidden="false" customHeight="false" outlineLevel="0" collapsed="false">
      <c r="A494" s="16"/>
      <c r="B494" s="17"/>
      <c r="C494" s="17"/>
      <c r="D494" s="17"/>
      <c r="E494" s="17"/>
      <c r="F494" s="17"/>
      <c r="G494" s="18" t="str">
        <f aca="false">IF(COUNT(D494:F494)=0,"",MAX(D494:F494))</f>
        <v/>
      </c>
      <c r="H494" s="18" t="str">
        <f aca="false">IF(COUNT(D494:F494)=0,"",ROUND(AVERAGE(D494:F494),1))</f>
        <v/>
      </c>
      <c r="I494" s="18" t="str">
        <f aca="false">IF(H494="","",IF(J494&lt;설정!$B$7,"",ROUND(AVERAGEIFS($H$2:$H$1001,$B$2:$B$1001,B494,$A$2:$A$1001,"&lt;"&amp;A494,$A$2:$A$1001,"&gt;="&amp;(A494-설정!$B$6)),1)))</f>
        <v/>
      </c>
      <c r="J494" s="18" t="str">
        <f aca="false">IF(H494="","",COUNTIFS($B$2:$B$1001,B494,$A$2:$A$1001,"&lt;"&amp;A494,$A$2:$A$1001,"&gt;="&amp;(A494-설정!$B$6),$H$2:$H$1001,"&gt;=0"))</f>
        <v/>
      </c>
      <c r="K494" s="21" t="str">
        <f aca="false">IF(I494="","",H494/I494-1)</f>
        <v/>
      </c>
      <c r="L494" s="19" t="str">
        <f aca="false">IF(H494="","",IF(J494&lt;설정!$B$7,"baseline 수집 중",IF(K494&lt;=-설정!$B$8,"저하","정상")))</f>
        <v/>
      </c>
      <c r="M494" s="20"/>
    </row>
    <row r="495" customFormat="false" ht="15" hidden="false" customHeight="false" outlineLevel="0" collapsed="false">
      <c r="A495" s="16"/>
      <c r="B495" s="17"/>
      <c r="C495" s="17"/>
      <c r="D495" s="17"/>
      <c r="E495" s="17"/>
      <c r="F495" s="17"/>
      <c r="G495" s="18" t="str">
        <f aca="false">IF(COUNT(D495:F495)=0,"",MAX(D495:F495))</f>
        <v/>
      </c>
      <c r="H495" s="18" t="str">
        <f aca="false">IF(COUNT(D495:F495)=0,"",ROUND(AVERAGE(D495:F495),1))</f>
        <v/>
      </c>
      <c r="I495" s="18" t="str">
        <f aca="false">IF(H495="","",IF(J495&lt;설정!$B$7,"",ROUND(AVERAGEIFS($H$2:$H$1001,$B$2:$B$1001,B495,$A$2:$A$1001,"&lt;"&amp;A495,$A$2:$A$1001,"&gt;="&amp;(A495-설정!$B$6)),1)))</f>
        <v/>
      </c>
      <c r="J495" s="18" t="str">
        <f aca="false">IF(H495="","",COUNTIFS($B$2:$B$1001,B495,$A$2:$A$1001,"&lt;"&amp;A495,$A$2:$A$1001,"&gt;="&amp;(A495-설정!$B$6),$H$2:$H$1001,"&gt;=0"))</f>
        <v/>
      </c>
      <c r="K495" s="21" t="str">
        <f aca="false">IF(I495="","",H495/I495-1)</f>
        <v/>
      </c>
      <c r="L495" s="19" t="str">
        <f aca="false">IF(H495="","",IF(J495&lt;설정!$B$7,"baseline 수집 중",IF(K495&lt;=-설정!$B$8,"저하","정상")))</f>
        <v/>
      </c>
      <c r="M495" s="20"/>
    </row>
    <row r="496" customFormat="false" ht="15" hidden="false" customHeight="false" outlineLevel="0" collapsed="false">
      <c r="A496" s="16"/>
      <c r="B496" s="17"/>
      <c r="C496" s="17"/>
      <c r="D496" s="17"/>
      <c r="E496" s="17"/>
      <c r="F496" s="17"/>
      <c r="G496" s="18" t="str">
        <f aca="false">IF(COUNT(D496:F496)=0,"",MAX(D496:F496))</f>
        <v/>
      </c>
      <c r="H496" s="18" t="str">
        <f aca="false">IF(COUNT(D496:F496)=0,"",ROUND(AVERAGE(D496:F496),1))</f>
        <v/>
      </c>
      <c r="I496" s="18" t="str">
        <f aca="false">IF(H496="","",IF(J496&lt;설정!$B$7,"",ROUND(AVERAGEIFS($H$2:$H$1001,$B$2:$B$1001,B496,$A$2:$A$1001,"&lt;"&amp;A496,$A$2:$A$1001,"&gt;="&amp;(A496-설정!$B$6)),1)))</f>
        <v/>
      </c>
      <c r="J496" s="18" t="str">
        <f aca="false">IF(H496="","",COUNTIFS($B$2:$B$1001,B496,$A$2:$A$1001,"&lt;"&amp;A496,$A$2:$A$1001,"&gt;="&amp;(A496-설정!$B$6),$H$2:$H$1001,"&gt;=0"))</f>
        <v/>
      </c>
      <c r="K496" s="21" t="str">
        <f aca="false">IF(I496="","",H496/I496-1)</f>
        <v/>
      </c>
      <c r="L496" s="19" t="str">
        <f aca="false">IF(H496="","",IF(J496&lt;설정!$B$7,"baseline 수집 중",IF(K496&lt;=-설정!$B$8,"저하","정상")))</f>
        <v/>
      </c>
      <c r="M496" s="20"/>
    </row>
    <row r="497" customFormat="false" ht="15" hidden="false" customHeight="false" outlineLevel="0" collapsed="false">
      <c r="A497" s="16"/>
      <c r="B497" s="17"/>
      <c r="C497" s="17"/>
      <c r="D497" s="17"/>
      <c r="E497" s="17"/>
      <c r="F497" s="17"/>
      <c r="G497" s="18" t="str">
        <f aca="false">IF(COUNT(D497:F497)=0,"",MAX(D497:F497))</f>
        <v/>
      </c>
      <c r="H497" s="18" t="str">
        <f aca="false">IF(COUNT(D497:F497)=0,"",ROUND(AVERAGE(D497:F497),1))</f>
        <v/>
      </c>
      <c r="I497" s="18" t="str">
        <f aca="false">IF(H497="","",IF(J497&lt;설정!$B$7,"",ROUND(AVERAGEIFS($H$2:$H$1001,$B$2:$B$1001,B497,$A$2:$A$1001,"&lt;"&amp;A497,$A$2:$A$1001,"&gt;="&amp;(A497-설정!$B$6)),1)))</f>
        <v/>
      </c>
      <c r="J497" s="18" t="str">
        <f aca="false">IF(H497="","",COUNTIFS($B$2:$B$1001,B497,$A$2:$A$1001,"&lt;"&amp;A497,$A$2:$A$1001,"&gt;="&amp;(A497-설정!$B$6),$H$2:$H$1001,"&gt;=0"))</f>
        <v/>
      </c>
      <c r="K497" s="21" t="str">
        <f aca="false">IF(I497="","",H497/I497-1)</f>
        <v/>
      </c>
      <c r="L497" s="19" t="str">
        <f aca="false">IF(H497="","",IF(J497&lt;설정!$B$7,"baseline 수집 중",IF(K497&lt;=-설정!$B$8,"저하","정상")))</f>
        <v/>
      </c>
      <c r="M497" s="20"/>
    </row>
    <row r="498" customFormat="false" ht="15" hidden="false" customHeight="false" outlineLevel="0" collapsed="false">
      <c r="A498" s="16"/>
      <c r="B498" s="17"/>
      <c r="C498" s="17"/>
      <c r="D498" s="17"/>
      <c r="E498" s="17"/>
      <c r="F498" s="17"/>
      <c r="G498" s="18" t="str">
        <f aca="false">IF(COUNT(D498:F498)=0,"",MAX(D498:F498))</f>
        <v/>
      </c>
      <c r="H498" s="18" t="str">
        <f aca="false">IF(COUNT(D498:F498)=0,"",ROUND(AVERAGE(D498:F498),1))</f>
        <v/>
      </c>
      <c r="I498" s="18" t="str">
        <f aca="false">IF(H498="","",IF(J498&lt;설정!$B$7,"",ROUND(AVERAGEIFS($H$2:$H$1001,$B$2:$B$1001,B498,$A$2:$A$1001,"&lt;"&amp;A498,$A$2:$A$1001,"&gt;="&amp;(A498-설정!$B$6)),1)))</f>
        <v/>
      </c>
      <c r="J498" s="18" t="str">
        <f aca="false">IF(H498="","",COUNTIFS($B$2:$B$1001,B498,$A$2:$A$1001,"&lt;"&amp;A498,$A$2:$A$1001,"&gt;="&amp;(A498-설정!$B$6),$H$2:$H$1001,"&gt;=0"))</f>
        <v/>
      </c>
      <c r="K498" s="21" t="str">
        <f aca="false">IF(I498="","",H498/I498-1)</f>
        <v/>
      </c>
      <c r="L498" s="19" t="str">
        <f aca="false">IF(H498="","",IF(J498&lt;설정!$B$7,"baseline 수집 중",IF(K498&lt;=-설정!$B$8,"저하","정상")))</f>
        <v/>
      </c>
      <c r="M498" s="20"/>
    </row>
    <row r="499" customFormat="false" ht="15" hidden="false" customHeight="false" outlineLevel="0" collapsed="false">
      <c r="A499" s="16"/>
      <c r="B499" s="17"/>
      <c r="C499" s="17"/>
      <c r="D499" s="17"/>
      <c r="E499" s="17"/>
      <c r="F499" s="17"/>
      <c r="G499" s="18" t="str">
        <f aca="false">IF(COUNT(D499:F499)=0,"",MAX(D499:F499))</f>
        <v/>
      </c>
      <c r="H499" s="18" t="str">
        <f aca="false">IF(COUNT(D499:F499)=0,"",ROUND(AVERAGE(D499:F499),1))</f>
        <v/>
      </c>
      <c r="I499" s="18" t="str">
        <f aca="false">IF(H499="","",IF(J499&lt;설정!$B$7,"",ROUND(AVERAGEIFS($H$2:$H$1001,$B$2:$B$1001,B499,$A$2:$A$1001,"&lt;"&amp;A499,$A$2:$A$1001,"&gt;="&amp;(A499-설정!$B$6)),1)))</f>
        <v/>
      </c>
      <c r="J499" s="18" t="str">
        <f aca="false">IF(H499="","",COUNTIFS($B$2:$B$1001,B499,$A$2:$A$1001,"&lt;"&amp;A499,$A$2:$A$1001,"&gt;="&amp;(A499-설정!$B$6),$H$2:$H$1001,"&gt;=0"))</f>
        <v/>
      </c>
      <c r="K499" s="21" t="str">
        <f aca="false">IF(I499="","",H499/I499-1)</f>
        <v/>
      </c>
      <c r="L499" s="19" t="str">
        <f aca="false">IF(H499="","",IF(J499&lt;설정!$B$7,"baseline 수집 중",IF(K499&lt;=-설정!$B$8,"저하","정상")))</f>
        <v/>
      </c>
      <c r="M499" s="20"/>
    </row>
    <row r="500" customFormat="false" ht="15" hidden="false" customHeight="false" outlineLevel="0" collapsed="false">
      <c r="A500" s="16"/>
      <c r="B500" s="17"/>
      <c r="C500" s="17"/>
      <c r="D500" s="17"/>
      <c r="E500" s="17"/>
      <c r="F500" s="17"/>
      <c r="G500" s="18" t="str">
        <f aca="false">IF(COUNT(D500:F500)=0,"",MAX(D500:F500))</f>
        <v/>
      </c>
      <c r="H500" s="18" t="str">
        <f aca="false">IF(COUNT(D500:F500)=0,"",ROUND(AVERAGE(D500:F500),1))</f>
        <v/>
      </c>
      <c r="I500" s="18" t="str">
        <f aca="false">IF(H500="","",IF(J500&lt;설정!$B$7,"",ROUND(AVERAGEIFS($H$2:$H$1001,$B$2:$B$1001,B500,$A$2:$A$1001,"&lt;"&amp;A500,$A$2:$A$1001,"&gt;="&amp;(A500-설정!$B$6)),1)))</f>
        <v/>
      </c>
      <c r="J500" s="18" t="str">
        <f aca="false">IF(H500="","",COUNTIFS($B$2:$B$1001,B500,$A$2:$A$1001,"&lt;"&amp;A500,$A$2:$A$1001,"&gt;="&amp;(A500-설정!$B$6),$H$2:$H$1001,"&gt;=0"))</f>
        <v/>
      </c>
      <c r="K500" s="21" t="str">
        <f aca="false">IF(I500="","",H500/I500-1)</f>
        <v/>
      </c>
      <c r="L500" s="19" t="str">
        <f aca="false">IF(H500="","",IF(J500&lt;설정!$B$7,"baseline 수집 중",IF(K500&lt;=-설정!$B$8,"저하","정상")))</f>
        <v/>
      </c>
      <c r="M500" s="20"/>
    </row>
    <row r="501" customFormat="false" ht="15" hidden="false" customHeight="false" outlineLevel="0" collapsed="false">
      <c r="A501" s="16"/>
      <c r="B501" s="17"/>
      <c r="C501" s="17"/>
      <c r="D501" s="17"/>
      <c r="E501" s="17"/>
      <c r="F501" s="17"/>
      <c r="G501" s="18" t="str">
        <f aca="false">IF(COUNT(D501:F501)=0,"",MAX(D501:F501))</f>
        <v/>
      </c>
      <c r="H501" s="18" t="str">
        <f aca="false">IF(COUNT(D501:F501)=0,"",ROUND(AVERAGE(D501:F501),1))</f>
        <v/>
      </c>
      <c r="I501" s="18" t="str">
        <f aca="false">IF(H501="","",IF(J501&lt;설정!$B$7,"",ROUND(AVERAGEIFS($H$2:$H$1001,$B$2:$B$1001,B501,$A$2:$A$1001,"&lt;"&amp;A501,$A$2:$A$1001,"&gt;="&amp;(A501-설정!$B$6)),1)))</f>
        <v/>
      </c>
      <c r="J501" s="18" t="str">
        <f aca="false">IF(H501="","",COUNTIFS($B$2:$B$1001,B501,$A$2:$A$1001,"&lt;"&amp;A501,$A$2:$A$1001,"&gt;="&amp;(A501-설정!$B$6),$H$2:$H$1001,"&gt;=0"))</f>
        <v/>
      </c>
      <c r="K501" s="21" t="str">
        <f aca="false">IF(I501="","",H501/I501-1)</f>
        <v/>
      </c>
      <c r="L501" s="19" t="str">
        <f aca="false">IF(H501="","",IF(J501&lt;설정!$B$7,"baseline 수집 중",IF(K501&lt;=-설정!$B$8,"저하","정상")))</f>
        <v/>
      </c>
      <c r="M501" s="20"/>
    </row>
    <row r="502" customFormat="false" ht="15" hidden="false" customHeight="false" outlineLevel="0" collapsed="false">
      <c r="A502" s="16"/>
      <c r="B502" s="17"/>
      <c r="C502" s="17"/>
      <c r="D502" s="17"/>
      <c r="E502" s="17"/>
      <c r="F502" s="17"/>
      <c r="G502" s="18" t="str">
        <f aca="false">IF(COUNT(D502:F502)=0,"",MAX(D502:F502))</f>
        <v/>
      </c>
      <c r="H502" s="18" t="str">
        <f aca="false">IF(COUNT(D502:F502)=0,"",ROUND(AVERAGE(D502:F502),1))</f>
        <v/>
      </c>
      <c r="I502" s="18" t="str">
        <f aca="false">IF(H502="","",IF(J502&lt;설정!$B$7,"",ROUND(AVERAGEIFS($H$2:$H$1001,$B$2:$B$1001,B502,$A$2:$A$1001,"&lt;"&amp;A502,$A$2:$A$1001,"&gt;="&amp;(A502-설정!$B$6)),1)))</f>
        <v/>
      </c>
      <c r="J502" s="18" t="str">
        <f aca="false">IF(H502="","",COUNTIFS($B$2:$B$1001,B502,$A$2:$A$1001,"&lt;"&amp;A502,$A$2:$A$1001,"&gt;="&amp;(A502-설정!$B$6),$H$2:$H$1001,"&gt;=0"))</f>
        <v/>
      </c>
      <c r="K502" s="21" t="str">
        <f aca="false">IF(I502="","",H502/I502-1)</f>
        <v/>
      </c>
      <c r="L502" s="19" t="str">
        <f aca="false">IF(H502="","",IF(J502&lt;설정!$B$7,"baseline 수집 중",IF(K502&lt;=-설정!$B$8,"저하","정상")))</f>
        <v/>
      </c>
      <c r="M502" s="20"/>
    </row>
    <row r="503" customFormat="false" ht="15" hidden="false" customHeight="false" outlineLevel="0" collapsed="false">
      <c r="A503" s="16"/>
      <c r="B503" s="17"/>
      <c r="C503" s="17"/>
      <c r="D503" s="17"/>
      <c r="E503" s="17"/>
      <c r="F503" s="17"/>
      <c r="G503" s="18" t="str">
        <f aca="false">IF(COUNT(D503:F503)=0,"",MAX(D503:F503))</f>
        <v/>
      </c>
      <c r="H503" s="18" t="str">
        <f aca="false">IF(COUNT(D503:F503)=0,"",ROUND(AVERAGE(D503:F503),1))</f>
        <v/>
      </c>
      <c r="I503" s="18" t="str">
        <f aca="false">IF(H503="","",IF(J503&lt;설정!$B$7,"",ROUND(AVERAGEIFS($H$2:$H$1001,$B$2:$B$1001,B503,$A$2:$A$1001,"&lt;"&amp;A503,$A$2:$A$1001,"&gt;="&amp;(A503-설정!$B$6)),1)))</f>
        <v/>
      </c>
      <c r="J503" s="18" t="str">
        <f aca="false">IF(H503="","",COUNTIFS($B$2:$B$1001,B503,$A$2:$A$1001,"&lt;"&amp;A503,$A$2:$A$1001,"&gt;="&amp;(A503-설정!$B$6),$H$2:$H$1001,"&gt;=0"))</f>
        <v/>
      </c>
      <c r="K503" s="21" t="str">
        <f aca="false">IF(I503="","",H503/I503-1)</f>
        <v/>
      </c>
      <c r="L503" s="19" t="str">
        <f aca="false">IF(H503="","",IF(J503&lt;설정!$B$7,"baseline 수집 중",IF(K503&lt;=-설정!$B$8,"저하","정상")))</f>
        <v/>
      </c>
      <c r="M503" s="20"/>
    </row>
    <row r="504" customFormat="false" ht="15" hidden="false" customHeight="false" outlineLevel="0" collapsed="false">
      <c r="A504" s="16"/>
      <c r="B504" s="17"/>
      <c r="C504" s="17"/>
      <c r="D504" s="17"/>
      <c r="E504" s="17"/>
      <c r="F504" s="17"/>
      <c r="G504" s="18" t="str">
        <f aca="false">IF(COUNT(D504:F504)=0,"",MAX(D504:F504))</f>
        <v/>
      </c>
      <c r="H504" s="18" t="str">
        <f aca="false">IF(COUNT(D504:F504)=0,"",ROUND(AVERAGE(D504:F504),1))</f>
        <v/>
      </c>
      <c r="I504" s="18" t="str">
        <f aca="false">IF(H504="","",IF(J504&lt;설정!$B$7,"",ROUND(AVERAGEIFS($H$2:$H$1001,$B$2:$B$1001,B504,$A$2:$A$1001,"&lt;"&amp;A504,$A$2:$A$1001,"&gt;="&amp;(A504-설정!$B$6)),1)))</f>
        <v/>
      </c>
      <c r="J504" s="18" t="str">
        <f aca="false">IF(H504="","",COUNTIFS($B$2:$B$1001,B504,$A$2:$A$1001,"&lt;"&amp;A504,$A$2:$A$1001,"&gt;="&amp;(A504-설정!$B$6),$H$2:$H$1001,"&gt;=0"))</f>
        <v/>
      </c>
      <c r="K504" s="21" t="str">
        <f aca="false">IF(I504="","",H504/I504-1)</f>
        <v/>
      </c>
      <c r="L504" s="19" t="str">
        <f aca="false">IF(H504="","",IF(J504&lt;설정!$B$7,"baseline 수집 중",IF(K504&lt;=-설정!$B$8,"저하","정상")))</f>
        <v/>
      </c>
      <c r="M504" s="20"/>
    </row>
    <row r="505" customFormat="false" ht="15" hidden="false" customHeight="false" outlineLevel="0" collapsed="false">
      <c r="A505" s="16"/>
      <c r="B505" s="17"/>
      <c r="C505" s="17"/>
      <c r="D505" s="17"/>
      <c r="E505" s="17"/>
      <c r="F505" s="17"/>
      <c r="G505" s="18" t="str">
        <f aca="false">IF(COUNT(D505:F505)=0,"",MAX(D505:F505))</f>
        <v/>
      </c>
      <c r="H505" s="18" t="str">
        <f aca="false">IF(COUNT(D505:F505)=0,"",ROUND(AVERAGE(D505:F505),1))</f>
        <v/>
      </c>
      <c r="I505" s="18" t="str">
        <f aca="false">IF(H505="","",IF(J505&lt;설정!$B$7,"",ROUND(AVERAGEIFS($H$2:$H$1001,$B$2:$B$1001,B505,$A$2:$A$1001,"&lt;"&amp;A505,$A$2:$A$1001,"&gt;="&amp;(A505-설정!$B$6)),1)))</f>
        <v/>
      </c>
      <c r="J505" s="18" t="str">
        <f aca="false">IF(H505="","",COUNTIFS($B$2:$B$1001,B505,$A$2:$A$1001,"&lt;"&amp;A505,$A$2:$A$1001,"&gt;="&amp;(A505-설정!$B$6),$H$2:$H$1001,"&gt;=0"))</f>
        <v/>
      </c>
      <c r="K505" s="21" t="str">
        <f aca="false">IF(I505="","",H505/I505-1)</f>
        <v/>
      </c>
      <c r="L505" s="19" t="str">
        <f aca="false">IF(H505="","",IF(J505&lt;설정!$B$7,"baseline 수집 중",IF(K505&lt;=-설정!$B$8,"저하","정상")))</f>
        <v/>
      </c>
      <c r="M505" s="20"/>
    </row>
    <row r="506" customFormat="false" ht="15" hidden="false" customHeight="false" outlineLevel="0" collapsed="false">
      <c r="A506" s="16"/>
      <c r="B506" s="17"/>
      <c r="C506" s="17"/>
      <c r="D506" s="17"/>
      <c r="E506" s="17"/>
      <c r="F506" s="17"/>
      <c r="G506" s="18" t="str">
        <f aca="false">IF(COUNT(D506:F506)=0,"",MAX(D506:F506))</f>
        <v/>
      </c>
      <c r="H506" s="18" t="str">
        <f aca="false">IF(COUNT(D506:F506)=0,"",ROUND(AVERAGE(D506:F506),1))</f>
        <v/>
      </c>
      <c r="I506" s="18" t="str">
        <f aca="false">IF(H506="","",IF(J506&lt;설정!$B$7,"",ROUND(AVERAGEIFS($H$2:$H$1001,$B$2:$B$1001,B506,$A$2:$A$1001,"&lt;"&amp;A506,$A$2:$A$1001,"&gt;="&amp;(A506-설정!$B$6)),1)))</f>
        <v/>
      </c>
      <c r="J506" s="18" t="str">
        <f aca="false">IF(H506="","",COUNTIFS($B$2:$B$1001,B506,$A$2:$A$1001,"&lt;"&amp;A506,$A$2:$A$1001,"&gt;="&amp;(A506-설정!$B$6),$H$2:$H$1001,"&gt;=0"))</f>
        <v/>
      </c>
      <c r="K506" s="21" t="str">
        <f aca="false">IF(I506="","",H506/I506-1)</f>
        <v/>
      </c>
      <c r="L506" s="19" t="str">
        <f aca="false">IF(H506="","",IF(J506&lt;설정!$B$7,"baseline 수집 중",IF(K506&lt;=-설정!$B$8,"저하","정상")))</f>
        <v/>
      </c>
      <c r="M506" s="20"/>
    </row>
    <row r="507" customFormat="false" ht="15" hidden="false" customHeight="false" outlineLevel="0" collapsed="false">
      <c r="A507" s="16"/>
      <c r="B507" s="17"/>
      <c r="C507" s="17"/>
      <c r="D507" s="17"/>
      <c r="E507" s="17"/>
      <c r="F507" s="17"/>
      <c r="G507" s="18" t="str">
        <f aca="false">IF(COUNT(D507:F507)=0,"",MAX(D507:F507))</f>
        <v/>
      </c>
      <c r="H507" s="18" t="str">
        <f aca="false">IF(COUNT(D507:F507)=0,"",ROUND(AVERAGE(D507:F507),1))</f>
        <v/>
      </c>
      <c r="I507" s="18" t="str">
        <f aca="false">IF(H507="","",IF(J507&lt;설정!$B$7,"",ROUND(AVERAGEIFS($H$2:$H$1001,$B$2:$B$1001,B507,$A$2:$A$1001,"&lt;"&amp;A507,$A$2:$A$1001,"&gt;="&amp;(A507-설정!$B$6)),1)))</f>
        <v/>
      </c>
      <c r="J507" s="18" t="str">
        <f aca="false">IF(H507="","",COUNTIFS($B$2:$B$1001,B507,$A$2:$A$1001,"&lt;"&amp;A507,$A$2:$A$1001,"&gt;="&amp;(A507-설정!$B$6),$H$2:$H$1001,"&gt;=0"))</f>
        <v/>
      </c>
      <c r="K507" s="21" t="str">
        <f aca="false">IF(I507="","",H507/I507-1)</f>
        <v/>
      </c>
      <c r="L507" s="19" t="str">
        <f aca="false">IF(H507="","",IF(J507&lt;설정!$B$7,"baseline 수집 중",IF(K507&lt;=-설정!$B$8,"저하","정상")))</f>
        <v/>
      </c>
      <c r="M507" s="20"/>
    </row>
    <row r="508" customFormat="false" ht="15" hidden="false" customHeight="false" outlineLevel="0" collapsed="false">
      <c r="A508" s="16"/>
      <c r="B508" s="17"/>
      <c r="C508" s="17"/>
      <c r="D508" s="17"/>
      <c r="E508" s="17"/>
      <c r="F508" s="17"/>
      <c r="G508" s="18" t="str">
        <f aca="false">IF(COUNT(D508:F508)=0,"",MAX(D508:F508))</f>
        <v/>
      </c>
      <c r="H508" s="18" t="str">
        <f aca="false">IF(COUNT(D508:F508)=0,"",ROUND(AVERAGE(D508:F508),1))</f>
        <v/>
      </c>
      <c r="I508" s="18" t="str">
        <f aca="false">IF(H508="","",IF(J508&lt;설정!$B$7,"",ROUND(AVERAGEIFS($H$2:$H$1001,$B$2:$B$1001,B508,$A$2:$A$1001,"&lt;"&amp;A508,$A$2:$A$1001,"&gt;="&amp;(A508-설정!$B$6)),1)))</f>
        <v/>
      </c>
      <c r="J508" s="18" t="str">
        <f aca="false">IF(H508="","",COUNTIFS($B$2:$B$1001,B508,$A$2:$A$1001,"&lt;"&amp;A508,$A$2:$A$1001,"&gt;="&amp;(A508-설정!$B$6),$H$2:$H$1001,"&gt;=0"))</f>
        <v/>
      </c>
      <c r="K508" s="21" t="str">
        <f aca="false">IF(I508="","",H508/I508-1)</f>
        <v/>
      </c>
      <c r="L508" s="19" t="str">
        <f aca="false">IF(H508="","",IF(J508&lt;설정!$B$7,"baseline 수집 중",IF(K508&lt;=-설정!$B$8,"저하","정상")))</f>
        <v/>
      </c>
      <c r="M508" s="20"/>
    </row>
    <row r="509" customFormat="false" ht="15" hidden="false" customHeight="false" outlineLevel="0" collapsed="false">
      <c r="A509" s="16"/>
      <c r="B509" s="17"/>
      <c r="C509" s="17"/>
      <c r="D509" s="17"/>
      <c r="E509" s="17"/>
      <c r="F509" s="17"/>
      <c r="G509" s="18" t="str">
        <f aca="false">IF(COUNT(D509:F509)=0,"",MAX(D509:F509))</f>
        <v/>
      </c>
      <c r="H509" s="18" t="str">
        <f aca="false">IF(COUNT(D509:F509)=0,"",ROUND(AVERAGE(D509:F509),1))</f>
        <v/>
      </c>
      <c r="I509" s="18" t="str">
        <f aca="false">IF(H509="","",IF(J509&lt;설정!$B$7,"",ROUND(AVERAGEIFS($H$2:$H$1001,$B$2:$B$1001,B509,$A$2:$A$1001,"&lt;"&amp;A509,$A$2:$A$1001,"&gt;="&amp;(A509-설정!$B$6)),1)))</f>
        <v/>
      </c>
      <c r="J509" s="18" t="str">
        <f aca="false">IF(H509="","",COUNTIFS($B$2:$B$1001,B509,$A$2:$A$1001,"&lt;"&amp;A509,$A$2:$A$1001,"&gt;="&amp;(A509-설정!$B$6),$H$2:$H$1001,"&gt;=0"))</f>
        <v/>
      </c>
      <c r="K509" s="21" t="str">
        <f aca="false">IF(I509="","",H509/I509-1)</f>
        <v/>
      </c>
      <c r="L509" s="19" t="str">
        <f aca="false">IF(H509="","",IF(J509&lt;설정!$B$7,"baseline 수집 중",IF(K509&lt;=-설정!$B$8,"저하","정상")))</f>
        <v/>
      </c>
      <c r="M509" s="20"/>
    </row>
    <row r="510" customFormat="false" ht="15" hidden="false" customHeight="false" outlineLevel="0" collapsed="false">
      <c r="A510" s="16"/>
      <c r="B510" s="17"/>
      <c r="C510" s="17"/>
      <c r="D510" s="17"/>
      <c r="E510" s="17"/>
      <c r="F510" s="17"/>
      <c r="G510" s="18" t="str">
        <f aca="false">IF(COUNT(D510:F510)=0,"",MAX(D510:F510))</f>
        <v/>
      </c>
      <c r="H510" s="18" t="str">
        <f aca="false">IF(COUNT(D510:F510)=0,"",ROUND(AVERAGE(D510:F510),1))</f>
        <v/>
      </c>
      <c r="I510" s="18" t="str">
        <f aca="false">IF(H510="","",IF(J510&lt;설정!$B$7,"",ROUND(AVERAGEIFS($H$2:$H$1001,$B$2:$B$1001,B510,$A$2:$A$1001,"&lt;"&amp;A510,$A$2:$A$1001,"&gt;="&amp;(A510-설정!$B$6)),1)))</f>
        <v/>
      </c>
      <c r="J510" s="18" t="str">
        <f aca="false">IF(H510="","",COUNTIFS($B$2:$B$1001,B510,$A$2:$A$1001,"&lt;"&amp;A510,$A$2:$A$1001,"&gt;="&amp;(A510-설정!$B$6),$H$2:$H$1001,"&gt;=0"))</f>
        <v/>
      </c>
      <c r="K510" s="21" t="str">
        <f aca="false">IF(I510="","",H510/I510-1)</f>
        <v/>
      </c>
      <c r="L510" s="19" t="str">
        <f aca="false">IF(H510="","",IF(J510&lt;설정!$B$7,"baseline 수집 중",IF(K510&lt;=-설정!$B$8,"저하","정상")))</f>
        <v/>
      </c>
      <c r="M510" s="20"/>
    </row>
    <row r="511" customFormat="false" ht="15" hidden="false" customHeight="false" outlineLevel="0" collapsed="false">
      <c r="A511" s="16"/>
      <c r="B511" s="17"/>
      <c r="C511" s="17"/>
      <c r="D511" s="17"/>
      <c r="E511" s="17"/>
      <c r="F511" s="17"/>
      <c r="G511" s="18" t="str">
        <f aca="false">IF(COUNT(D511:F511)=0,"",MAX(D511:F511))</f>
        <v/>
      </c>
      <c r="H511" s="18" t="str">
        <f aca="false">IF(COUNT(D511:F511)=0,"",ROUND(AVERAGE(D511:F511),1))</f>
        <v/>
      </c>
      <c r="I511" s="18" t="str">
        <f aca="false">IF(H511="","",IF(J511&lt;설정!$B$7,"",ROUND(AVERAGEIFS($H$2:$H$1001,$B$2:$B$1001,B511,$A$2:$A$1001,"&lt;"&amp;A511,$A$2:$A$1001,"&gt;="&amp;(A511-설정!$B$6)),1)))</f>
        <v/>
      </c>
      <c r="J511" s="18" t="str">
        <f aca="false">IF(H511="","",COUNTIFS($B$2:$B$1001,B511,$A$2:$A$1001,"&lt;"&amp;A511,$A$2:$A$1001,"&gt;="&amp;(A511-설정!$B$6),$H$2:$H$1001,"&gt;=0"))</f>
        <v/>
      </c>
      <c r="K511" s="21" t="str">
        <f aca="false">IF(I511="","",H511/I511-1)</f>
        <v/>
      </c>
      <c r="L511" s="19" t="str">
        <f aca="false">IF(H511="","",IF(J511&lt;설정!$B$7,"baseline 수집 중",IF(K511&lt;=-설정!$B$8,"저하","정상")))</f>
        <v/>
      </c>
      <c r="M511" s="20"/>
    </row>
    <row r="512" customFormat="false" ht="15" hidden="false" customHeight="false" outlineLevel="0" collapsed="false">
      <c r="A512" s="16"/>
      <c r="B512" s="17"/>
      <c r="C512" s="17"/>
      <c r="D512" s="17"/>
      <c r="E512" s="17"/>
      <c r="F512" s="17"/>
      <c r="G512" s="18" t="str">
        <f aca="false">IF(COUNT(D512:F512)=0,"",MAX(D512:F512))</f>
        <v/>
      </c>
      <c r="H512" s="18" t="str">
        <f aca="false">IF(COUNT(D512:F512)=0,"",ROUND(AVERAGE(D512:F512),1))</f>
        <v/>
      </c>
      <c r="I512" s="18" t="str">
        <f aca="false">IF(H512="","",IF(J512&lt;설정!$B$7,"",ROUND(AVERAGEIFS($H$2:$H$1001,$B$2:$B$1001,B512,$A$2:$A$1001,"&lt;"&amp;A512,$A$2:$A$1001,"&gt;="&amp;(A512-설정!$B$6)),1)))</f>
        <v/>
      </c>
      <c r="J512" s="18" t="str">
        <f aca="false">IF(H512="","",COUNTIFS($B$2:$B$1001,B512,$A$2:$A$1001,"&lt;"&amp;A512,$A$2:$A$1001,"&gt;="&amp;(A512-설정!$B$6),$H$2:$H$1001,"&gt;=0"))</f>
        <v/>
      </c>
      <c r="K512" s="21" t="str">
        <f aca="false">IF(I512="","",H512/I512-1)</f>
        <v/>
      </c>
      <c r="L512" s="19" t="str">
        <f aca="false">IF(H512="","",IF(J512&lt;설정!$B$7,"baseline 수집 중",IF(K512&lt;=-설정!$B$8,"저하","정상")))</f>
        <v/>
      </c>
      <c r="M512" s="20"/>
    </row>
    <row r="513" customFormat="false" ht="15" hidden="false" customHeight="false" outlineLevel="0" collapsed="false">
      <c r="A513" s="16"/>
      <c r="B513" s="17"/>
      <c r="C513" s="17"/>
      <c r="D513" s="17"/>
      <c r="E513" s="17"/>
      <c r="F513" s="17"/>
      <c r="G513" s="18" t="str">
        <f aca="false">IF(COUNT(D513:F513)=0,"",MAX(D513:F513))</f>
        <v/>
      </c>
      <c r="H513" s="18" t="str">
        <f aca="false">IF(COUNT(D513:F513)=0,"",ROUND(AVERAGE(D513:F513),1))</f>
        <v/>
      </c>
      <c r="I513" s="18" t="str">
        <f aca="false">IF(H513="","",IF(J513&lt;설정!$B$7,"",ROUND(AVERAGEIFS($H$2:$H$1001,$B$2:$B$1001,B513,$A$2:$A$1001,"&lt;"&amp;A513,$A$2:$A$1001,"&gt;="&amp;(A513-설정!$B$6)),1)))</f>
        <v/>
      </c>
      <c r="J513" s="18" t="str">
        <f aca="false">IF(H513="","",COUNTIFS($B$2:$B$1001,B513,$A$2:$A$1001,"&lt;"&amp;A513,$A$2:$A$1001,"&gt;="&amp;(A513-설정!$B$6),$H$2:$H$1001,"&gt;=0"))</f>
        <v/>
      </c>
      <c r="K513" s="21" t="str">
        <f aca="false">IF(I513="","",H513/I513-1)</f>
        <v/>
      </c>
      <c r="L513" s="19" t="str">
        <f aca="false">IF(H513="","",IF(J513&lt;설정!$B$7,"baseline 수집 중",IF(K513&lt;=-설정!$B$8,"저하","정상")))</f>
        <v/>
      </c>
      <c r="M513" s="20"/>
    </row>
    <row r="514" customFormat="false" ht="15" hidden="false" customHeight="false" outlineLevel="0" collapsed="false">
      <c r="A514" s="16"/>
      <c r="B514" s="17"/>
      <c r="C514" s="17"/>
      <c r="D514" s="17"/>
      <c r="E514" s="17"/>
      <c r="F514" s="17"/>
      <c r="G514" s="18" t="str">
        <f aca="false">IF(COUNT(D514:F514)=0,"",MAX(D514:F514))</f>
        <v/>
      </c>
      <c r="H514" s="18" t="str">
        <f aca="false">IF(COUNT(D514:F514)=0,"",ROUND(AVERAGE(D514:F514),1))</f>
        <v/>
      </c>
      <c r="I514" s="18" t="str">
        <f aca="false">IF(H514="","",IF(J514&lt;설정!$B$7,"",ROUND(AVERAGEIFS($H$2:$H$1001,$B$2:$B$1001,B514,$A$2:$A$1001,"&lt;"&amp;A514,$A$2:$A$1001,"&gt;="&amp;(A514-설정!$B$6)),1)))</f>
        <v/>
      </c>
      <c r="J514" s="18" t="str">
        <f aca="false">IF(H514="","",COUNTIFS($B$2:$B$1001,B514,$A$2:$A$1001,"&lt;"&amp;A514,$A$2:$A$1001,"&gt;="&amp;(A514-설정!$B$6),$H$2:$H$1001,"&gt;=0"))</f>
        <v/>
      </c>
      <c r="K514" s="21" t="str">
        <f aca="false">IF(I514="","",H514/I514-1)</f>
        <v/>
      </c>
      <c r="L514" s="19" t="str">
        <f aca="false">IF(H514="","",IF(J514&lt;설정!$B$7,"baseline 수집 중",IF(K514&lt;=-설정!$B$8,"저하","정상")))</f>
        <v/>
      </c>
      <c r="M514" s="20"/>
    </row>
    <row r="515" customFormat="false" ht="15" hidden="false" customHeight="false" outlineLevel="0" collapsed="false">
      <c r="A515" s="16"/>
      <c r="B515" s="17"/>
      <c r="C515" s="17"/>
      <c r="D515" s="17"/>
      <c r="E515" s="17"/>
      <c r="F515" s="17"/>
      <c r="G515" s="18" t="str">
        <f aca="false">IF(COUNT(D515:F515)=0,"",MAX(D515:F515))</f>
        <v/>
      </c>
      <c r="H515" s="18" t="str">
        <f aca="false">IF(COUNT(D515:F515)=0,"",ROUND(AVERAGE(D515:F515),1))</f>
        <v/>
      </c>
      <c r="I515" s="18" t="str">
        <f aca="false">IF(H515="","",IF(J515&lt;설정!$B$7,"",ROUND(AVERAGEIFS($H$2:$H$1001,$B$2:$B$1001,B515,$A$2:$A$1001,"&lt;"&amp;A515,$A$2:$A$1001,"&gt;="&amp;(A515-설정!$B$6)),1)))</f>
        <v/>
      </c>
      <c r="J515" s="18" t="str">
        <f aca="false">IF(H515="","",COUNTIFS($B$2:$B$1001,B515,$A$2:$A$1001,"&lt;"&amp;A515,$A$2:$A$1001,"&gt;="&amp;(A515-설정!$B$6),$H$2:$H$1001,"&gt;=0"))</f>
        <v/>
      </c>
      <c r="K515" s="21" t="str">
        <f aca="false">IF(I515="","",H515/I515-1)</f>
        <v/>
      </c>
      <c r="L515" s="19" t="str">
        <f aca="false">IF(H515="","",IF(J515&lt;설정!$B$7,"baseline 수집 중",IF(K515&lt;=-설정!$B$8,"저하","정상")))</f>
        <v/>
      </c>
      <c r="M515" s="20"/>
    </row>
    <row r="516" customFormat="false" ht="15" hidden="false" customHeight="false" outlineLevel="0" collapsed="false">
      <c r="A516" s="16"/>
      <c r="B516" s="17"/>
      <c r="C516" s="17"/>
      <c r="D516" s="17"/>
      <c r="E516" s="17"/>
      <c r="F516" s="17"/>
      <c r="G516" s="18" t="str">
        <f aca="false">IF(COUNT(D516:F516)=0,"",MAX(D516:F516))</f>
        <v/>
      </c>
      <c r="H516" s="18" t="str">
        <f aca="false">IF(COUNT(D516:F516)=0,"",ROUND(AVERAGE(D516:F516),1))</f>
        <v/>
      </c>
      <c r="I516" s="18" t="str">
        <f aca="false">IF(H516="","",IF(J516&lt;설정!$B$7,"",ROUND(AVERAGEIFS($H$2:$H$1001,$B$2:$B$1001,B516,$A$2:$A$1001,"&lt;"&amp;A516,$A$2:$A$1001,"&gt;="&amp;(A516-설정!$B$6)),1)))</f>
        <v/>
      </c>
      <c r="J516" s="18" t="str">
        <f aca="false">IF(H516="","",COUNTIFS($B$2:$B$1001,B516,$A$2:$A$1001,"&lt;"&amp;A516,$A$2:$A$1001,"&gt;="&amp;(A516-설정!$B$6),$H$2:$H$1001,"&gt;=0"))</f>
        <v/>
      </c>
      <c r="K516" s="21" t="str">
        <f aca="false">IF(I516="","",H516/I516-1)</f>
        <v/>
      </c>
      <c r="L516" s="19" t="str">
        <f aca="false">IF(H516="","",IF(J516&lt;설정!$B$7,"baseline 수집 중",IF(K516&lt;=-설정!$B$8,"저하","정상")))</f>
        <v/>
      </c>
      <c r="M516" s="20"/>
    </row>
    <row r="517" customFormat="false" ht="15" hidden="false" customHeight="false" outlineLevel="0" collapsed="false">
      <c r="A517" s="16"/>
      <c r="B517" s="17"/>
      <c r="C517" s="17"/>
      <c r="D517" s="17"/>
      <c r="E517" s="17"/>
      <c r="F517" s="17"/>
      <c r="G517" s="18" t="str">
        <f aca="false">IF(COUNT(D517:F517)=0,"",MAX(D517:F517))</f>
        <v/>
      </c>
      <c r="H517" s="18" t="str">
        <f aca="false">IF(COUNT(D517:F517)=0,"",ROUND(AVERAGE(D517:F517),1))</f>
        <v/>
      </c>
      <c r="I517" s="18" t="str">
        <f aca="false">IF(H517="","",IF(J517&lt;설정!$B$7,"",ROUND(AVERAGEIFS($H$2:$H$1001,$B$2:$B$1001,B517,$A$2:$A$1001,"&lt;"&amp;A517,$A$2:$A$1001,"&gt;="&amp;(A517-설정!$B$6)),1)))</f>
        <v/>
      </c>
      <c r="J517" s="18" t="str">
        <f aca="false">IF(H517="","",COUNTIFS($B$2:$B$1001,B517,$A$2:$A$1001,"&lt;"&amp;A517,$A$2:$A$1001,"&gt;="&amp;(A517-설정!$B$6),$H$2:$H$1001,"&gt;=0"))</f>
        <v/>
      </c>
      <c r="K517" s="21" t="str">
        <f aca="false">IF(I517="","",H517/I517-1)</f>
        <v/>
      </c>
      <c r="L517" s="19" t="str">
        <f aca="false">IF(H517="","",IF(J517&lt;설정!$B$7,"baseline 수집 중",IF(K517&lt;=-설정!$B$8,"저하","정상")))</f>
        <v/>
      </c>
      <c r="M517" s="20"/>
    </row>
    <row r="518" customFormat="false" ht="15" hidden="false" customHeight="false" outlineLevel="0" collapsed="false">
      <c r="A518" s="16"/>
      <c r="B518" s="17"/>
      <c r="C518" s="17"/>
      <c r="D518" s="17"/>
      <c r="E518" s="17"/>
      <c r="F518" s="17"/>
      <c r="G518" s="18" t="str">
        <f aca="false">IF(COUNT(D518:F518)=0,"",MAX(D518:F518))</f>
        <v/>
      </c>
      <c r="H518" s="18" t="str">
        <f aca="false">IF(COUNT(D518:F518)=0,"",ROUND(AVERAGE(D518:F518),1))</f>
        <v/>
      </c>
      <c r="I518" s="18" t="str">
        <f aca="false">IF(H518="","",IF(J518&lt;설정!$B$7,"",ROUND(AVERAGEIFS($H$2:$H$1001,$B$2:$B$1001,B518,$A$2:$A$1001,"&lt;"&amp;A518,$A$2:$A$1001,"&gt;="&amp;(A518-설정!$B$6)),1)))</f>
        <v/>
      </c>
      <c r="J518" s="18" t="str">
        <f aca="false">IF(H518="","",COUNTIFS($B$2:$B$1001,B518,$A$2:$A$1001,"&lt;"&amp;A518,$A$2:$A$1001,"&gt;="&amp;(A518-설정!$B$6),$H$2:$H$1001,"&gt;=0"))</f>
        <v/>
      </c>
      <c r="K518" s="21" t="str">
        <f aca="false">IF(I518="","",H518/I518-1)</f>
        <v/>
      </c>
      <c r="L518" s="19" t="str">
        <f aca="false">IF(H518="","",IF(J518&lt;설정!$B$7,"baseline 수집 중",IF(K518&lt;=-설정!$B$8,"저하","정상")))</f>
        <v/>
      </c>
      <c r="M518" s="20"/>
    </row>
    <row r="519" customFormat="false" ht="15" hidden="false" customHeight="false" outlineLevel="0" collapsed="false">
      <c r="A519" s="16"/>
      <c r="B519" s="17"/>
      <c r="C519" s="17"/>
      <c r="D519" s="17"/>
      <c r="E519" s="17"/>
      <c r="F519" s="17"/>
      <c r="G519" s="18" t="str">
        <f aca="false">IF(COUNT(D519:F519)=0,"",MAX(D519:F519))</f>
        <v/>
      </c>
      <c r="H519" s="18" t="str">
        <f aca="false">IF(COUNT(D519:F519)=0,"",ROUND(AVERAGE(D519:F519),1))</f>
        <v/>
      </c>
      <c r="I519" s="18" t="str">
        <f aca="false">IF(H519="","",IF(J519&lt;설정!$B$7,"",ROUND(AVERAGEIFS($H$2:$H$1001,$B$2:$B$1001,B519,$A$2:$A$1001,"&lt;"&amp;A519,$A$2:$A$1001,"&gt;="&amp;(A519-설정!$B$6)),1)))</f>
        <v/>
      </c>
      <c r="J519" s="18" t="str">
        <f aca="false">IF(H519="","",COUNTIFS($B$2:$B$1001,B519,$A$2:$A$1001,"&lt;"&amp;A519,$A$2:$A$1001,"&gt;="&amp;(A519-설정!$B$6),$H$2:$H$1001,"&gt;=0"))</f>
        <v/>
      </c>
      <c r="K519" s="21" t="str">
        <f aca="false">IF(I519="","",H519/I519-1)</f>
        <v/>
      </c>
      <c r="L519" s="19" t="str">
        <f aca="false">IF(H519="","",IF(J519&lt;설정!$B$7,"baseline 수집 중",IF(K519&lt;=-설정!$B$8,"저하","정상")))</f>
        <v/>
      </c>
      <c r="M519" s="20"/>
    </row>
    <row r="520" customFormat="false" ht="15" hidden="false" customHeight="false" outlineLevel="0" collapsed="false">
      <c r="A520" s="16"/>
      <c r="B520" s="17"/>
      <c r="C520" s="17"/>
      <c r="D520" s="17"/>
      <c r="E520" s="17"/>
      <c r="F520" s="17"/>
      <c r="G520" s="18" t="str">
        <f aca="false">IF(COUNT(D520:F520)=0,"",MAX(D520:F520))</f>
        <v/>
      </c>
      <c r="H520" s="18" t="str">
        <f aca="false">IF(COUNT(D520:F520)=0,"",ROUND(AVERAGE(D520:F520),1))</f>
        <v/>
      </c>
      <c r="I520" s="18" t="str">
        <f aca="false">IF(H520="","",IF(J520&lt;설정!$B$7,"",ROUND(AVERAGEIFS($H$2:$H$1001,$B$2:$B$1001,B520,$A$2:$A$1001,"&lt;"&amp;A520,$A$2:$A$1001,"&gt;="&amp;(A520-설정!$B$6)),1)))</f>
        <v/>
      </c>
      <c r="J520" s="18" t="str">
        <f aca="false">IF(H520="","",COUNTIFS($B$2:$B$1001,B520,$A$2:$A$1001,"&lt;"&amp;A520,$A$2:$A$1001,"&gt;="&amp;(A520-설정!$B$6),$H$2:$H$1001,"&gt;=0"))</f>
        <v/>
      </c>
      <c r="K520" s="21" t="str">
        <f aca="false">IF(I520="","",H520/I520-1)</f>
        <v/>
      </c>
      <c r="L520" s="19" t="str">
        <f aca="false">IF(H520="","",IF(J520&lt;설정!$B$7,"baseline 수집 중",IF(K520&lt;=-설정!$B$8,"저하","정상")))</f>
        <v/>
      </c>
      <c r="M520" s="20"/>
    </row>
    <row r="521" customFormat="false" ht="15" hidden="false" customHeight="false" outlineLevel="0" collapsed="false">
      <c r="A521" s="16"/>
      <c r="B521" s="17"/>
      <c r="C521" s="17"/>
      <c r="D521" s="17"/>
      <c r="E521" s="17"/>
      <c r="F521" s="17"/>
      <c r="G521" s="18" t="str">
        <f aca="false">IF(COUNT(D521:F521)=0,"",MAX(D521:F521))</f>
        <v/>
      </c>
      <c r="H521" s="18" t="str">
        <f aca="false">IF(COUNT(D521:F521)=0,"",ROUND(AVERAGE(D521:F521),1))</f>
        <v/>
      </c>
      <c r="I521" s="18" t="str">
        <f aca="false">IF(H521="","",IF(J521&lt;설정!$B$7,"",ROUND(AVERAGEIFS($H$2:$H$1001,$B$2:$B$1001,B521,$A$2:$A$1001,"&lt;"&amp;A521,$A$2:$A$1001,"&gt;="&amp;(A521-설정!$B$6)),1)))</f>
        <v/>
      </c>
      <c r="J521" s="18" t="str">
        <f aca="false">IF(H521="","",COUNTIFS($B$2:$B$1001,B521,$A$2:$A$1001,"&lt;"&amp;A521,$A$2:$A$1001,"&gt;="&amp;(A521-설정!$B$6),$H$2:$H$1001,"&gt;=0"))</f>
        <v/>
      </c>
      <c r="K521" s="21" t="str">
        <f aca="false">IF(I521="","",H521/I521-1)</f>
        <v/>
      </c>
      <c r="L521" s="19" t="str">
        <f aca="false">IF(H521="","",IF(J521&lt;설정!$B$7,"baseline 수집 중",IF(K521&lt;=-설정!$B$8,"저하","정상")))</f>
        <v/>
      </c>
      <c r="M521" s="20"/>
    </row>
    <row r="522" customFormat="false" ht="15" hidden="false" customHeight="false" outlineLevel="0" collapsed="false">
      <c r="A522" s="16"/>
      <c r="B522" s="17"/>
      <c r="C522" s="17"/>
      <c r="D522" s="17"/>
      <c r="E522" s="17"/>
      <c r="F522" s="17"/>
      <c r="G522" s="18" t="str">
        <f aca="false">IF(COUNT(D522:F522)=0,"",MAX(D522:F522))</f>
        <v/>
      </c>
      <c r="H522" s="18" t="str">
        <f aca="false">IF(COUNT(D522:F522)=0,"",ROUND(AVERAGE(D522:F522),1))</f>
        <v/>
      </c>
      <c r="I522" s="18" t="str">
        <f aca="false">IF(H522="","",IF(J522&lt;설정!$B$7,"",ROUND(AVERAGEIFS($H$2:$H$1001,$B$2:$B$1001,B522,$A$2:$A$1001,"&lt;"&amp;A522,$A$2:$A$1001,"&gt;="&amp;(A522-설정!$B$6)),1)))</f>
        <v/>
      </c>
      <c r="J522" s="18" t="str">
        <f aca="false">IF(H522="","",COUNTIFS($B$2:$B$1001,B522,$A$2:$A$1001,"&lt;"&amp;A522,$A$2:$A$1001,"&gt;="&amp;(A522-설정!$B$6),$H$2:$H$1001,"&gt;=0"))</f>
        <v/>
      </c>
      <c r="K522" s="21" t="str">
        <f aca="false">IF(I522="","",H522/I522-1)</f>
        <v/>
      </c>
      <c r="L522" s="19" t="str">
        <f aca="false">IF(H522="","",IF(J522&lt;설정!$B$7,"baseline 수집 중",IF(K522&lt;=-설정!$B$8,"저하","정상")))</f>
        <v/>
      </c>
      <c r="M522" s="20"/>
    </row>
    <row r="523" customFormat="false" ht="15" hidden="false" customHeight="false" outlineLevel="0" collapsed="false">
      <c r="A523" s="16"/>
      <c r="B523" s="17"/>
      <c r="C523" s="17"/>
      <c r="D523" s="17"/>
      <c r="E523" s="17"/>
      <c r="F523" s="17"/>
      <c r="G523" s="18" t="str">
        <f aca="false">IF(COUNT(D523:F523)=0,"",MAX(D523:F523))</f>
        <v/>
      </c>
      <c r="H523" s="18" t="str">
        <f aca="false">IF(COUNT(D523:F523)=0,"",ROUND(AVERAGE(D523:F523),1))</f>
        <v/>
      </c>
      <c r="I523" s="18" t="str">
        <f aca="false">IF(H523="","",IF(J523&lt;설정!$B$7,"",ROUND(AVERAGEIFS($H$2:$H$1001,$B$2:$B$1001,B523,$A$2:$A$1001,"&lt;"&amp;A523,$A$2:$A$1001,"&gt;="&amp;(A523-설정!$B$6)),1)))</f>
        <v/>
      </c>
      <c r="J523" s="18" t="str">
        <f aca="false">IF(H523="","",COUNTIFS($B$2:$B$1001,B523,$A$2:$A$1001,"&lt;"&amp;A523,$A$2:$A$1001,"&gt;="&amp;(A523-설정!$B$6),$H$2:$H$1001,"&gt;=0"))</f>
        <v/>
      </c>
      <c r="K523" s="21" t="str">
        <f aca="false">IF(I523="","",H523/I523-1)</f>
        <v/>
      </c>
      <c r="L523" s="19" t="str">
        <f aca="false">IF(H523="","",IF(J523&lt;설정!$B$7,"baseline 수집 중",IF(K523&lt;=-설정!$B$8,"저하","정상")))</f>
        <v/>
      </c>
      <c r="M523" s="20"/>
    </row>
    <row r="524" customFormat="false" ht="15" hidden="false" customHeight="false" outlineLevel="0" collapsed="false">
      <c r="A524" s="16"/>
      <c r="B524" s="17"/>
      <c r="C524" s="17"/>
      <c r="D524" s="17"/>
      <c r="E524" s="17"/>
      <c r="F524" s="17"/>
      <c r="G524" s="18" t="str">
        <f aca="false">IF(COUNT(D524:F524)=0,"",MAX(D524:F524))</f>
        <v/>
      </c>
      <c r="H524" s="18" t="str">
        <f aca="false">IF(COUNT(D524:F524)=0,"",ROUND(AVERAGE(D524:F524),1))</f>
        <v/>
      </c>
      <c r="I524" s="18" t="str">
        <f aca="false">IF(H524="","",IF(J524&lt;설정!$B$7,"",ROUND(AVERAGEIFS($H$2:$H$1001,$B$2:$B$1001,B524,$A$2:$A$1001,"&lt;"&amp;A524,$A$2:$A$1001,"&gt;="&amp;(A524-설정!$B$6)),1)))</f>
        <v/>
      </c>
      <c r="J524" s="18" t="str">
        <f aca="false">IF(H524="","",COUNTIFS($B$2:$B$1001,B524,$A$2:$A$1001,"&lt;"&amp;A524,$A$2:$A$1001,"&gt;="&amp;(A524-설정!$B$6),$H$2:$H$1001,"&gt;=0"))</f>
        <v/>
      </c>
      <c r="K524" s="21" t="str">
        <f aca="false">IF(I524="","",H524/I524-1)</f>
        <v/>
      </c>
      <c r="L524" s="19" t="str">
        <f aca="false">IF(H524="","",IF(J524&lt;설정!$B$7,"baseline 수집 중",IF(K524&lt;=-설정!$B$8,"저하","정상")))</f>
        <v/>
      </c>
      <c r="M524" s="20"/>
    </row>
    <row r="525" customFormat="false" ht="15" hidden="false" customHeight="false" outlineLevel="0" collapsed="false">
      <c r="A525" s="16"/>
      <c r="B525" s="17"/>
      <c r="C525" s="17"/>
      <c r="D525" s="17"/>
      <c r="E525" s="17"/>
      <c r="F525" s="17"/>
      <c r="G525" s="18" t="str">
        <f aca="false">IF(COUNT(D525:F525)=0,"",MAX(D525:F525))</f>
        <v/>
      </c>
      <c r="H525" s="18" t="str">
        <f aca="false">IF(COUNT(D525:F525)=0,"",ROUND(AVERAGE(D525:F525),1))</f>
        <v/>
      </c>
      <c r="I525" s="18" t="str">
        <f aca="false">IF(H525="","",IF(J525&lt;설정!$B$7,"",ROUND(AVERAGEIFS($H$2:$H$1001,$B$2:$B$1001,B525,$A$2:$A$1001,"&lt;"&amp;A525,$A$2:$A$1001,"&gt;="&amp;(A525-설정!$B$6)),1)))</f>
        <v/>
      </c>
      <c r="J525" s="18" t="str">
        <f aca="false">IF(H525="","",COUNTIFS($B$2:$B$1001,B525,$A$2:$A$1001,"&lt;"&amp;A525,$A$2:$A$1001,"&gt;="&amp;(A525-설정!$B$6),$H$2:$H$1001,"&gt;=0"))</f>
        <v/>
      </c>
      <c r="K525" s="21" t="str">
        <f aca="false">IF(I525="","",H525/I525-1)</f>
        <v/>
      </c>
      <c r="L525" s="19" t="str">
        <f aca="false">IF(H525="","",IF(J525&lt;설정!$B$7,"baseline 수집 중",IF(K525&lt;=-설정!$B$8,"저하","정상")))</f>
        <v/>
      </c>
      <c r="M525" s="20"/>
    </row>
    <row r="526" customFormat="false" ht="15" hidden="false" customHeight="false" outlineLevel="0" collapsed="false">
      <c r="A526" s="16"/>
      <c r="B526" s="17"/>
      <c r="C526" s="17"/>
      <c r="D526" s="17"/>
      <c r="E526" s="17"/>
      <c r="F526" s="17"/>
      <c r="G526" s="18" t="str">
        <f aca="false">IF(COUNT(D526:F526)=0,"",MAX(D526:F526))</f>
        <v/>
      </c>
      <c r="H526" s="18" t="str">
        <f aca="false">IF(COUNT(D526:F526)=0,"",ROUND(AVERAGE(D526:F526),1))</f>
        <v/>
      </c>
      <c r="I526" s="18" t="str">
        <f aca="false">IF(H526="","",IF(J526&lt;설정!$B$7,"",ROUND(AVERAGEIFS($H$2:$H$1001,$B$2:$B$1001,B526,$A$2:$A$1001,"&lt;"&amp;A526,$A$2:$A$1001,"&gt;="&amp;(A526-설정!$B$6)),1)))</f>
        <v/>
      </c>
      <c r="J526" s="18" t="str">
        <f aca="false">IF(H526="","",COUNTIFS($B$2:$B$1001,B526,$A$2:$A$1001,"&lt;"&amp;A526,$A$2:$A$1001,"&gt;="&amp;(A526-설정!$B$6),$H$2:$H$1001,"&gt;=0"))</f>
        <v/>
      </c>
      <c r="K526" s="21" t="str">
        <f aca="false">IF(I526="","",H526/I526-1)</f>
        <v/>
      </c>
      <c r="L526" s="19" t="str">
        <f aca="false">IF(H526="","",IF(J526&lt;설정!$B$7,"baseline 수집 중",IF(K526&lt;=-설정!$B$8,"저하","정상")))</f>
        <v/>
      </c>
      <c r="M526" s="20"/>
    </row>
    <row r="527" customFormat="false" ht="15" hidden="false" customHeight="false" outlineLevel="0" collapsed="false">
      <c r="A527" s="16"/>
      <c r="B527" s="17"/>
      <c r="C527" s="17"/>
      <c r="D527" s="17"/>
      <c r="E527" s="17"/>
      <c r="F527" s="17"/>
      <c r="G527" s="18" t="str">
        <f aca="false">IF(COUNT(D527:F527)=0,"",MAX(D527:F527))</f>
        <v/>
      </c>
      <c r="H527" s="18" t="str">
        <f aca="false">IF(COUNT(D527:F527)=0,"",ROUND(AVERAGE(D527:F527),1))</f>
        <v/>
      </c>
      <c r="I527" s="18" t="str">
        <f aca="false">IF(H527="","",IF(J527&lt;설정!$B$7,"",ROUND(AVERAGEIFS($H$2:$H$1001,$B$2:$B$1001,B527,$A$2:$A$1001,"&lt;"&amp;A527,$A$2:$A$1001,"&gt;="&amp;(A527-설정!$B$6)),1)))</f>
        <v/>
      </c>
      <c r="J527" s="18" t="str">
        <f aca="false">IF(H527="","",COUNTIFS($B$2:$B$1001,B527,$A$2:$A$1001,"&lt;"&amp;A527,$A$2:$A$1001,"&gt;="&amp;(A527-설정!$B$6),$H$2:$H$1001,"&gt;=0"))</f>
        <v/>
      </c>
      <c r="K527" s="21" t="str">
        <f aca="false">IF(I527="","",H527/I527-1)</f>
        <v/>
      </c>
      <c r="L527" s="19" t="str">
        <f aca="false">IF(H527="","",IF(J527&lt;설정!$B$7,"baseline 수집 중",IF(K527&lt;=-설정!$B$8,"저하","정상")))</f>
        <v/>
      </c>
      <c r="M527" s="20"/>
    </row>
    <row r="528" customFormat="false" ht="15" hidden="false" customHeight="false" outlineLevel="0" collapsed="false">
      <c r="A528" s="16"/>
      <c r="B528" s="17"/>
      <c r="C528" s="17"/>
      <c r="D528" s="17"/>
      <c r="E528" s="17"/>
      <c r="F528" s="17"/>
      <c r="G528" s="18" t="str">
        <f aca="false">IF(COUNT(D528:F528)=0,"",MAX(D528:F528))</f>
        <v/>
      </c>
      <c r="H528" s="18" t="str">
        <f aca="false">IF(COUNT(D528:F528)=0,"",ROUND(AVERAGE(D528:F528),1))</f>
        <v/>
      </c>
      <c r="I528" s="18" t="str">
        <f aca="false">IF(H528="","",IF(J528&lt;설정!$B$7,"",ROUND(AVERAGEIFS($H$2:$H$1001,$B$2:$B$1001,B528,$A$2:$A$1001,"&lt;"&amp;A528,$A$2:$A$1001,"&gt;="&amp;(A528-설정!$B$6)),1)))</f>
        <v/>
      </c>
      <c r="J528" s="18" t="str">
        <f aca="false">IF(H528="","",COUNTIFS($B$2:$B$1001,B528,$A$2:$A$1001,"&lt;"&amp;A528,$A$2:$A$1001,"&gt;="&amp;(A528-설정!$B$6),$H$2:$H$1001,"&gt;=0"))</f>
        <v/>
      </c>
      <c r="K528" s="21" t="str">
        <f aca="false">IF(I528="","",H528/I528-1)</f>
        <v/>
      </c>
      <c r="L528" s="19" t="str">
        <f aca="false">IF(H528="","",IF(J528&lt;설정!$B$7,"baseline 수집 중",IF(K528&lt;=-설정!$B$8,"저하","정상")))</f>
        <v/>
      </c>
      <c r="M528" s="20"/>
    </row>
    <row r="529" customFormat="false" ht="15" hidden="false" customHeight="false" outlineLevel="0" collapsed="false">
      <c r="A529" s="16"/>
      <c r="B529" s="17"/>
      <c r="C529" s="17"/>
      <c r="D529" s="17"/>
      <c r="E529" s="17"/>
      <c r="F529" s="17"/>
      <c r="G529" s="18" t="str">
        <f aca="false">IF(COUNT(D529:F529)=0,"",MAX(D529:F529))</f>
        <v/>
      </c>
      <c r="H529" s="18" t="str">
        <f aca="false">IF(COUNT(D529:F529)=0,"",ROUND(AVERAGE(D529:F529),1))</f>
        <v/>
      </c>
      <c r="I529" s="18" t="str">
        <f aca="false">IF(H529="","",IF(J529&lt;설정!$B$7,"",ROUND(AVERAGEIFS($H$2:$H$1001,$B$2:$B$1001,B529,$A$2:$A$1001,"&lt;"&amp;A529,$A$2:$A$1001,"&gt;="&amp;(A529-설정!$B$6)),1)))</f>
        <v/>
      </c>
      <c r="J529" s="18" t="str">
        <f aca="false">IF(H529="","",COUNTIFS($B$2:$B$1001,B529,$A$2:$A$1001,"&lt;"&amp;A529,$A$2:$A$1001,"&gt;="&amp;(A529-설정!$B$6),$H$2:$H$1001,"&gt;=0"))</f>
        <v/>
      </c>
      <c r="K529" s="21" t="str">
        <f aca="false">IF(I529="","",H529/I529-1)</f>
        <v/>
      </c>
      <c r="L529" s="19" t="str">
        <f aca="false">IF(H529="","",IF(J529&lt;설정!$B$7,"baseline 수집 중",IF(K529&lt;=-설정!$B$8,"저하","정상")))</f>
        <v/>
      </c>
      <c r="M529" s="20"/>
    </row>
    <row r="530" customFormat="false" ht="15" hidden="false" customHeight="false" outlineLevel="0" collapsed="false">
      <c r="A530" s="16"/>
      <c r="B530" s="17"/>
      <c r="C530" s="17"/>
      <c r="D530" s="17"/>
      <c r="E530" s="17"/>
      <c r="F530" s="17"/>
      <c r="G530" s="18" t="str">
        <f aca="false">IF(COUNT(D530:F530)=0,"",MAX(D530:F530))</f>
        <v/>
      </c>
      <c r="H530" s="18" t="str">
        <f aca="false">IF(COUNT(D530:F530)=0,"",ROUND(AVERAGE(D530:F530),1))</f>
        <v/>
      </c>
      <c r="I530" s="18" t="str">
        <f aca="false">IF(H530="","",IF(J530&lt;설정!$B$7,"",ROUND(AVERAGEIFS($H$2:$H$1001,$B$2:$B$1001,B530,$A$2:$A$1001,"&lt;"&amp;A530,$A$2:$A$1001,"&gt;="&amp;(A530-설정!$B$6)),1)))</f>
        <v/>
      </c>
      <c r="J530" s="18" t="str">
        <f aca="false">IF(H530="","",COUNTIFS($B$2:$B$1001,B530,$A$2:$A$1001,"&lt;"&amp;A530,$A$2:$A$1001,"&gt;="&amp;(A530-설정!$B$6),$H$2:$H$1001,"&gt;=0"))</f>
        <v/>
      </c>
      <c r="K530" s="21" t="str">
        <f aca="false">IF(I530="","",H530/I530-1)</f>
        <v/>
      </c>
      <c r="L530" s="19" t="str">
        <f aca="false">IF(H530="","",IF(J530&lt;설정!$B$7,"baseline 수집 중",IF(K530&lt;=-설정!$B$8,"저하","정상")))</f>
        <v/>
      </c>
      <c r="M530" s="20"/>
    </row>
    <row r="531" customFormat="false" ht="15" hidden="false" customHeight="false" outlineLevel="0" collapsed="false">
      <c r="A531" s="16"/>
      <c r="B531" s="17"/>
      <c r="C531" s="17"/>
      <c r="D531" s="17"/>
      <c r="E531" s="17"/>
      <c r="F531" s="17"/>
      <c r="G531" s="18" t="str">
        <f aca="false">IF(COUNT(D531:F531)=0,"",MAX(D531:F531))</f>
        <v/>
      </c>
      <c r="H531" s="18" t="str">
        <f aca="false">IF(COUNT(D531:F531)=0,"",ROUND(AVERAGE(D531:F531),1))</f>
        <v/>
      </c>
      <c r="I531" s="18" t="str">
        <f aca="false">IF(H531="","",IF(J531&lt;설정!$B$7,"",ROUND(AVERAGEIFS($H$2:$H$1001,$B$2:$B$1001,B531,$A$2:$A$1001,"&lt;"&amp;A531,$A$2:$A$1001,"&gt;="&amp;(A531-설정!$B$6)),1)))</f>
        <v/>
      </c>
      <c r="J531" s="18" t="str">
        <f aca="false">IF(H531="","",COUNTIFS($B$2:$B$1001,B531,$A$2:$A$1001,"&lt;"&amp;A531,$A$2:$A$1001,"&gt;="&amp;(A531-설정!$B$6),$H$2:$H$1001,"&gt;=0"))</f>
        <v/>
      </c>
      <c r="K531" s="21" t="str">
        <f aca="false">IF(I531="","",H531/I531-1)</f>
        <v/>
      </c>
      <c r="L531" s="19" t="str">
        <f aca="false">IF(H531="","",IF(J531&lt;설정!$B$7,"baseline 수집 중",IF(K531&lt;=-설정!$B$8,"저하","정상")))</f>
        <v/>
      </c>
      <c r="M531" s="20"/>
    </row>
    <row r="532" customFormat="false" ht="15" hidden="false" customHeight="false" outlineLevel="0" collapsed="false">
      <c r="A532" s="16"/>
      <c r="B532" s="17"/>
      <c r="C532" s="17"/>
      <c r="D532" s="17"/>
      <c r="E532" s="17"/>
      <c r="F532" s="17"/>
      <c r="G532" s="18" t="str">
        <f aca="false">IF(COUNT(D532:F532)=0,"",MAX(D532:F532))</f>
        <v/>
      </c>
      <c r="H532" s="18" t="str">
        <f aca="false">IF(COUNT(D532:F532)=0,"",ROUND(AVERAGE(D532:F532),1))</f>
        <v/>
      </c>
      <c r="I532" s="18" t="str">
        <f aca="false">IF(H532="","",IF(J532&lt;설정!$B$7,"",ROUND(AVERAGEIFS($H$2:$H$1001,$B$2:$B$1001,B532,$A$2:$A$1001,"&lt;"&amp;A532,$A$2:$A$1001,"&gt;="&amp;(A532-설정!$B$6)),1)))</f>
        <v/>
      </c>
      <c r="J532" s="18" t="str">
        <f aca="false">IF(H532="","",COUNTIFS($B$2:$B$1001,B532,$A$2:$A$1001,"&lt;"&amp;A532,$A$2:$A$1001,"&gt;="&amp;(A532-설정!$B$6),$H$2:$H$1001,"&gt;=0"))</f>
        <v/>
      </c>
      <c r="K532" s="21" t="str">
        <f aca="false">IF(I532="","",H532/I532-1)</f>
        <v/>
      </c>
      <c r="L532" s="19" t="str">
        <f aca="false">IF(H532="","",IF(J532&lt;설정!$B$7,"baseline 수집 중",IF(K532&lt;=-설정!$B$8,"저하","정상")))</f>
        <v/>
      </c>
      <c r="M532" s="20"/>
    </row>
    <row r="533" customFormat="false" ht="15" hidden="false" customHeight="false" outlineLevel="0" collapsed="false">
      <c r="A533" s="16"/>
      <c r="B533" s="17"/>
      <c r="C533" s="17"/>
      <c r="D533" s="17"/>
      <c r="E533" s="17"/>
      <c r="F533" s="17"/>
      <c r="G533" s="18" t="str">
        <f aca="false">IF(COUNT(D533:F533)=0,"",MAX(D533:F533))</f>
        <v/>
      </c>
      <c r="H533" s="18" t="str">
        <f aca="false">IF(COUNT(D533:F533)=0,"",ROUND(AVERAGE(D533:F533),1))</f>
        <v/>
      </c>
      <c r="I533" s="18" t="str">
        <f aca="false">IF(H533="","",IF(J533&lt;설정!$B$7,"",ROUND(AVERAGEIFS($H$2:$H$1001,$B$2:$B$1001,B533,$A$2:$A$1001,"&lt;"&amp;A533,$A$2:$A$1001,"&gt;="&amp;(A533-설정!$B$6)),1)))</f>
        <v/>
      </c>
      <c r="J533" s="18" t="str">
        <f aca="false">IF(H533="","",COUNTIFS($B$2:$B$1001,B533,$A$2:$A$1001,"&lt;"&amp;A533,$A$2:$A$1001,"&gt;="&amp;(A533-설정!$B$6),$H$2:$H$1001,"&gt;=0"))</f>
        <v/>
      </c>
      <c r="K533" s="21" t="str">
        <f aca="false">IF(I533="","",H533/I533-1)</f>
        <v/>
      </c>
      <c r="L533" s="19" t="str">
        <f aca="false">IF(H533="","",IF(J533&lt;설정!$B$7,"baseline 수집 중",IF(K533&lt;=-설정!$B$8,"저하","정상")))</f>
        <v/>
      </c>
      <c r="M533" s="20"/>
    </row>
    <row r="534" customFormat="false" ht="15" hidden="false" customHeight="false" outlineLevel="0" collapsed="false">
      <c r="A534" s="16"/>
      <c r="B534" s="17"/>
      <c r="C534" s="17"/>
      <c r="D534" s="17"/>
      <c r="E534" s="17"/>
      <c r="F534" s="17"/>
      <c r="G534" s="18" t="str">
        <f aca="false">IF(COUNT(D534:F534)=0,"",MAX(D534:F534))</f>
        <v/>
      </c>
      <c r="H534" s="18" t="str">
        <f aca="false">IF(COUNT(D534:F534)=0,"",ROUND(AVERAGE(D534:F534),1))</f>
        <v/>
      </c>
      <c r="I534" s="18" t="str">
        <f aca="false">IF(H534="","",IF(J534&lt;설정!$B$7,"",ROUND(AVERAGEIFS($H$2:$H$1001,$B$2:$B$1001,B534,$A$2:$A$1001,"&lt;"&amp;A534,$A$2:$A$1001,"&gt;="&amp;(A534-설정!$B$6)),1)))</f>
        <v/>
      </c>
      <c r="J534" s="18" t="str">
        <f aca="false">IF(H534="","",COUNTIFS($B$2:$B$1001,B534,$A$2:$A$1001,"&lt;"&amp;A534,$A$2:$A$1001,"&gt;="&amp;(A534-설정!$B$6),$H$2:$H$1001,"&gt;=0"))</f>
        <v/>
      </c>
      <c r="K534" s="21" t="str">
        <f aca="false">IF(I534="","",H534/I534-1)</f>
        <v/>
      </c>
      <c r="L534" s="19" t="str">
        <f aca="false">IF(H534="","",IF(J534&lt;설정!$B$7,"baseline 수집 중",IF(K534&lt;=-설정!$B$8,"저하","정상")))</f>
        <v/>
      </c>
      <c r="M534" s="20"/>
    </row>
    <row r="535" customFormat="false" ht="15" hidden="false" customHeight="false" outlineLevel="0" collapsed="false">
      <c r="A535" s="16"/>
      <c r="B535" s="17"/>
      <c r="C535" s="17"/>
      <c r="D535" s="17"/>
      <c r="E535" s="17"/>
      <c r="F535" s="17"/>
      <c r="G535" s="18" t="str">
        <f aca="false">IF(COUNT(D535:F535)=0,"",MAX(D535:F535))</f>
        <v/>
      </c>
      <c r="H535" s="18" t="str">
        <f aca="false">IF(COUNT(D535:F535)=0,"",ROUND(AVERAGE(D535:F535),1))</f>
        <v/>
      </c>
      <c r="I535" s="18" t="str">
        <f aca="false">IF(H535="","",IF(J535&lt;설정!$B$7,"",ROUND(AVERAGEIFS($H$2:$H$1001,$B$2:$B$1001,B535,$A$2:$A$1001,"&lt;"&amp;A535,$A$2:$A$1001,"&gt;="&amp;(A535-설정!$B$6)),1)))</f>
        <v/>
      </c>
      <c r="J535" s="18" t="str">
        <f aca="false">IF(H535="","",COUNTIFS($B$2:$B$1001,B535,$A$2:$A$1001,"&lt;"&amp;A535,$A$2:$A$1001,"&gt;="&amp;(A535-설정!$B$6),$H$2:$H$1001,"&gt;=0"))</f>
        <v/>
      </c>
      <c r="K535" s="21" t="str">
        <f aca="false">IF(I535="","",H535/I535-1)</f>
        <v/>
      </c>
      <c r="L535" s="19" t="str">
        <f aca="false">IF(H535="","",IF(J535&lt;설정!$B$7,"baseline 수집 중",IF(K535&lt;=-설정!$B$8,"저하","정상")))</f>
        <v/>
      </c>
      <c r="M535" s="20"/>
    </row>
    <row r="536" customFormat="false" ht="15" hidden="false" customHeight="false" outlineLevel="0" collapsed="false">
      <c r="A536" s="16"/>
      <c r="B536" s="17"/>
      <c r="C536" s="17"/>
      <c r="D536" s="17"/>
      <c r="E536" s="17"/>
      <c r="F536" s="17"/>
      <c r="G536" s="18" t="str">
        <f aca="false">IF(COUNT(D536:F536)=0,"",MAX(D536:F536))</f>
        <v/>
      </c>
      <c r="H536" s="18" t="str">
        <f aca="false">IF(COUNT(D536:F536)=0,"",ROUND(AVERAGE(D536:F536),1))</f>
        <v/>
      </c>
      <c r="I536" s="18" t="str">
        <f aca="false">IF(H536="","",IF(J536&lt;설정!$B$7,"",ROUND(AVERAGEIFS($H$2:$H$1001,$B$2:$B$1001,B536,$A$2:$A$1001,"&lt;"&amp;A536,$A$2:$A$1001,"&gt;="&amp;(A536-설정!$B$6)),1)))</f>
        <v/>
      </c>
      <c r="J536" s="18" t="str">
        <f aca="false">IF(H536="","",COUNTIFS($B$2:$B$1001,B536,$A$2:$A$1001,"&lt;"&amp;A536,$A$2:$A$1001,"&gt;="&amp;(A536-설정!$B$6),$H$2:$H$1001,"&gt;=0"))</f>
        <v/>
      </c>
      <c r="K536" s="21" t="str">
        <f aca="false">IF(I536="","",H536/I536-1)</f>
        <v/>
      </c>
      <c r="L536" s="19" t="str">
        <f aca="false">IF(H536="","",IF(J536&lt;설정!$B$7,"baseline 수집 중",IF(K536&lt;=-설정!$B$8,"저하","정상")))</f>
        <v/>
      </c>
      <c r="M536" s="20"/>
    </row>
    <row r="537" customFormat="false" ht="15" hidden="false" customHeight="false" outlineLevel="0" collapsed="false">
      <c r="A537" s="16"/>
      <c r="B537" s="17"/>
      <c r="C537" s="17"/>
      <c r="D537" s="17"/>
      <c r="E537" s="17"/>
      <c r="F537" s="17"/>
      <c r="G537" s="18" t="str">
        <f aca="false">IF(COUNT(D537:F537)=0,"",MAX(D537:F537))</f>
        <v/>
      </c>
      <c r="H537" s="18" t="str">
        <f aca="false">IF(COUNT(D537:F537)=0,"",ROUND(AVERAGE(D537:F537),1))</f>
        <v/>
      </c>
      <c r="I537" s="18" t="str">
        <f aca="false">IF(H537="","",IF(J537&lt;설정!$B$7,"",ROUND(AVERAGEIFS($H$2:$H$1001,$B$2:$B$1001,B537,$A$2:$A$1001,"&lt;"&amp;A537,$A$2:$A$1001,"&gt;="&amp;(A537-설정!$B$6)),1)))</f>
        <v/>
      </c>
      <c r="J537" s="18" t="str">
        <f aca="false">IF(H537="","",COUNTIFS($B$2:$B$1001,B537,$A$2:$A$1001,"&lt;"&amp;A537,$A$2:$A$1001,"&gt;="&amp;(A537-설정!$B$6),$H$2:$H$1001,"&gt;=0"))</f>
        <v/>
      </c>
      <c r="K537" s="21" t="str">
        <f aca="false">IF(I537="","",H537/I537-1)</f>
        <v/>
      </c>
      <c r="L537" s="19" t="str">
        <f aca="false">IF(H537="","",IF(J537&lt;설정!$B$7,"baseline 수집 중",IF(K537&lt;=-설정!$B$8,"저하","정상")))</f>
        <v/>
      </c>
      <c r="M537" s="20"/>
    </row>
    <row r="538" customFormat="false" ht="15" hidden="false" customHeight="false" outlineLevel="0" collapsed="false">
      <c r="A538" s="16"/>
      <c r="B538" s="17"/>
      <c r="C538" s="17"/>
      <c r="D538" s="17"/>
      <c r="E538" s="17"/>
      <c r="F538" s="17"/>
      <c r="G538" s="18" t="str">
        <f aca="false">IF(COUNT(D538:F538)=0,"",MAX(D538:F538))</f>
        <v/>
      </c>
      <c r="H538" s="18" t="str">
        <f aca="false">IF(COUNT(D538:F538)=0,"",ROUND(AVERAGE(D538:F538),1))</f>
        <v/>
      </c>
      <c r="I538" s="18" t="str">
        <f aca="false">IF(H538="","",IF(J538&lt;설정!$B$7,"",ROUND(AVERAGEIFS($H$2:$H$1001,$B$2:$B$1001,B538,$A$2:$A$1001,"&lt;"&amp;A538,$A$2:$A$1001,"&gt;="&amp;(A538-설정!$B$6)),1)))</f>
        <v/>
      </c>
      <c r="J538" s="18" t="str">
        <f aca="false">IF(H538="","",COUNTIFS($B$2:$B$1001,B538,$A$2:$A$1001,"&lt;"&amp;A538,$A$2:$A$1001,"&gt;="&amp;(A538-설정!$B$6),$H$2:$H$1001,"&gt;=0"))</f>
        <v/>
      </c>
      <c r="K538" s="21" t="str">
        <f aca="false">IF(I538="","",H538/I538-1)</f>
        <v/>
      </c>
      <c r="L538" s="19" t="str">
        <f aca="false">IF(H538="","",IF(J538&lt;설정!$B$7,"baseline 수집 중",IF(K538&lt;=-설정!$B$8,"저하","정상")))</f>
        <v/>
      </c>
      <c r="M538" s="20"/>
    </row>
    <row r="539" customFormat="false" ht="15" hidden="false" customHeight="false" outlineLevel="0" collapsed="false">
      <c r="A539" s="16"/>
      <c r="B539" s="17"/>
      <c r="C539" s="17"/>
      <c r="D539" s="17"/>
      <c r="E539" s="17"/>
      <c r="F539" s="17"/>
      <c r="G539" s="18" t="str">
        <f aca="false">IF(COUNT(D539:F539)=0,"",MAX(D539:F539))</f>
        <v/>
      </c>
      <c r="H539" s="18" t="str">
        <f aca="false">IF(COUNT(D539:F539)=0,"",ROUND(AVERAGE(D539:F539),1))</f>
        <v/>
      </c>
      <c r="I539" s="18" t="str">
        <f aca="false">IF(H539="","",IF(J539&lt;설정!$B$7,"",ROUND(AVERAGEIFS($H$2:$H$1001,$B$2:$B$1001,B539,$A$2:$A$1001,"&lt;"&amp;A539,$A$2:$A$1001,"&gt;="&amp;(A539-설정!$B$6)),1)))</f>
        <v/>
      </c>
      <c r="J539" s="18" t="str">
        <f aca="false">IF(H539="","",COUNTIFS($B$2:$B$1001,B539,$A$2:$A$1001,"&lt;"&amp;A539,$A$2:$A$1001,"&gt;="&amp;(A539-설정!$B$6),$H$2:$H$1001,"&gt;=0"))</f>
        <v/>
      </c>
      <c r="K539" s="21" t="str">
        <f aca="false">IF(I539="","",H539/I539-1)</f>
        <v/>
      </c>
      <c r="L539" s="19" t="str">
        <f aca="false">IF(H539="","",IF(J539&lt;설정!$B$7,"baseline 수집 중",IF(K539&lt;=-설정!$B$8,"저하","정상")))</f>
        <v/>
      </c>
      <c r="M539" s="20"/>
    </row>
    <row r="540" customFormat="false" ht="15" hidden="false" customHeight="false" outlineLevel="0" collapsed="false">
      <c r="A540" s="16"/>
      <c r="B540" s="17"/>
      <c r="C540" s="17"/>
      <c r="D540" s="17"/>
      <c r="E540" s="17"/>
      <c r="F540" s="17"/>
      <c r="G540" s="18" t="str">
        <f aca="false">IF(COUNT(D540:F540)=0,"",MAX(D540:F540))</f>
        <v/>
      </c>
      <c r="H540" s="18" t="str">
        <f aca="false">IF(COUNT(D540:F540)=0,"",ROUND(AVERAGE(D540:F540),1))</f>
        <v/>
      </c>
      <c r="I540" s="18" t="str">
        <f aca="false">IF(H540="","",IF(J540&lt;설정!$B$7,"",ROUND(AVERAGEIFS($H$2:$H$1001,$B$2:$B$1001,B540,$A$2:$A$1001,"&lt;"&amp;A540,$A$2:$A$1001,"&gt;="&amp;(A540-설정!$B$6)),1)))</f>
        <v/>
      </c>
      <c r="J540" s="18" t="str">
        <f aca="false">IF(H540="","",COUNTIFS($B$2:$B$1001,B540,$A$2:$A$1001,"&lt;"&amp;A540,$A$2:$A$1001,"&gt;="&amp;(A540-설정!$B$6),$H$2:$H$1001,"&gt;=0"))</f>
        <v/>
      </c>
      <c r="K540" s="21" t="str">
        <f aca="false">IF(I540="","",H540/I540-1)</f>
        <v/>
      </c>
      <c r="L540" s="19" t="str">
        <f aca="false">IF(H540="","",IF(J540&lt;설정!$B$7,"baseline 수집 중",IF(K540&lt;=-설정!$B$8,"저하","정상")))</f>
        <v/>
      </c>
      <c r="M540" s="20"/>
    </row>
    <row r="541" customFormat="false" ht="15" hidden="false" customHeight="false" outlineLevel="0" collapsed="false">
      <c r="A541" s="16"/>
      <c r="B541" s="17"/>
      <c r="C541" s="17"/>
      <c r="D541" s="17"/>
      <c r="E541" s="17"/>
      <c r="F541" s="17"/>
      <c r="G541" s="18" t="str">
        <f aca="false">IF(COUNT(D541:F541)=0,"",MAX(D541:F541))</f>
        <v/>
      </c>
      <c r="H541" s="18" t="str">
        <f aca="false">IF(COUNT(D541:F541)=0,"",ROUND(AVERAGE(D541:F541),1))</f>
        <v/>
      </c>
      <c r="I541" s="18" t="str">
        <f aca="false">IF(H541="","",IF(J541&lt;설정!$B$7,"",ROUND(AVERAGEIFS($H$2:$H$1001,$B$2:$B$1001,B541,$A$2:$A$1001,"&lt;"&amp;A541,$A$2:$A$1001,"&gt;="&amp;(A541-설정!$B$6)),1)))</f>
        <v/>
      </c>
      <c r="J541" s="18" t="str">
        <f aca="false">IF(H541="","",COUNTIFS($B$2:$B$1001,B541,$A$2:$A$1001,"&lt;"&amp;A541,$A$2:$A$1001,"&gt;="&amp;(A541-설정!$B$6),$H$2:$H$1001,"&gt;=0"))</f>
        <v/>
      </c>
      <c r="K541" s="21" t="str">
        <f aca="false">IF(I541="","",H541/I541-1)</f>
        <v/>
      </c>
      <c r="L541" s="19" t="str">
        <f aca="false">IF(H541="","",IF(J541&lt;설정!$B$7,"baseline 수집 중",IF(K541&lt;=-설정!$B$8,"저하","정상")))</f>
        <v/>
      </c>
      <c r="M541" s="20"/>
    </row>
    <row r="542" customFormat="false" ht="15" hidden="false" customHeight="false" outlineLevel="0" collapsed="false">
      <c r="A542" s="16"/>
      <c r="B542" s="17"/>
      <c r="C542" s="17"/>
      <c r="D542" s="17"/>
      <c r="E542" s="17"/>
      <c r="F542" s="17"/>
      <c r="G542" s="18" t="str">
        <f aca="false">IF(COUNT(D542:F542)=0,"",MAX(D542:F542))</f>
        <v/>
      </c>
      <c r="H542" s="18" t="str">
        <f aca="false">IF(COUNT(D542:F542)=0,"",ROUND(AVERAGE(D542:F542),1))</f>
        <v/>
      </c>
      <c r="I542" s="18" t="str">
        <f aca="false">IF(H542="","",IF(J542&lt;설정!$B$7,"",ROUND(AVERAGEIFS($H$2:$H$1001,$B$2:$B$1001,B542,$A$2:$A$1001,"&lt;"&amp;A542,$A$2:$A$1001,"&gt;="&amp;(A542-설정!$B$6)),1)))</f>
        <v/>
      </c>
      <c r="J542" s="18" t="str">
        <f aca="false">IF(H542="","",COUNTIFS($B$2:$B$1001,B542,$A$2:$A$1001,"&lt;"&amp;A542,$A$2:$A$1001,"&gt;="&amp;(A542-설정!$B$6),$H$2:$H$1001,"&gt;=0"))</f>
        <v/>
      </c>
      <c r="K542" s="21" t="str">
        <f aca="false">IF(I542="","",H542/I542-1)</f>
        <v/>
      </c>
      <c r="L542" s="19" t="str">
        <f aca="false">IF(H542="","",IF(J542&lt;설정!$B$7,"baseline 수집 중",IF(K542&lt;=-설정!$B$8,"저하","정상")))</f>
        <v/>
      </c>
      <c r="M542" s="20"/>
    </row>
    <row r="543" customFormat="false" ht="15" hidden="false" customHeight="false" outlineLevel="0" collapsed="false">
      <c r="A543" s="16"/>
      <c r="B543" s="17"/>
      <c r="C543" s="17"/>
      <c r="D543" s="17"/>
      <c r="E543" s="17"/>
      <c r="F543" s="17"/>
      <c r="G543" s="18" t="str">
        <f aca="false">IF(COUNT(D543:F543)=0,"",MAX(D543:F543))</f>
        <v/>
      </c>
      <c r="H543" s="18" t="str">
        <f aca="false">IF(COUNT(D543:F543)=0,"",ROUND(AVERAGE(D543:F543),1))</f>
        <v/>
      </c>
      <c r="I543" s="18" t="str">
        <f aca="false">IF(H543="","",IF(J543&lt;설정!$B$7,"",ROUND(AVERAGEIFS($H$2:$H$1001,$B$2:$B$1001,B543,$A$2:$A$1001,"&lt;"&amp;A543,$A$2:$A$1001,"&gt;="&amp;(A543-설정!$B$6)),1)))</f>
        <v/>
      </c>
      <c r="J543" s="18" t="str">
        <f aca="false">IF(H543="","",COUNTIFS($B$2:$B$1001,B543,$A$2:$A$1001,"&lt;"&amp;A543,$A$2:$A$1001,"&gt;="&amp;(A543-설정!$B$6),$H$2:$H$1001,"&gt;=0"))</f>
        <v/>
      </c>
      <c r="K543" s="21" t="str">
        <f aca="false">IF(I543="","",H543/I543-1)</f>
        <v/>
      </c>
      <c r="L543" s="19" t="str">
        <f aca="false">IF(H543="","",IF(J543&lt;설정!$B$7,"baseline 수집 중",IF(K543&lt;=-설정!$B$8,"저하","정상")))</f>
        <v/>
      </c>
      <c r="M543" s="20"/>
    </row>
    <row r="544" customFormat="false" ht="15" hidden="false" customHeight="false" outlineLevel="0" collapsed="false">
      <c r="A544" s="16"/>
      <c r="B544" s="17"/>
      <c r="C544" s="17"/>
      <c r="D544" s="17"/>
      <c r="E544" s="17"/>
      <c r="F544" s="17"/>
      <c r="G544" s="18" t="str">
        <f aca="false">IF(COUNT(D544:F544)=0,"",MAX(D544:F544))</f>
        <v/>
      </c>
      <c r="H544" s="18" t="str">
        <f aca="false">IF(COUNT(D544:F544)=0,"",ROUND(AVERAGE(D544:F544),1))</f>
        <v/>
      </c>
      <c r="I544" s="18" t="str">
        <f aca="false">IF(H544="","",IF(J544&lt;설정!$B$7,"",ROUND(AVERAGEIFS($H$2:$H$1001,$B$2:$B$1001,B544,$A$2:$A$1001,"&lt;"&amp;A544,$A$2:$A$1001,"&gt;="&amp;(A544-설정!$B$6)),1)))</f>
        <v/>
      </c>
      <c r="J544" s="18" t="str">
        <f aca="false">IF(H544="","",COUNTIFS($B$2:$B$1001,B544,$A$2:$A$1001,"&lt;"&amp;A544,$A$2:$A$1001,"&gt;="&amp;(A544-설정!$B$6),$H$2:$H$1001,"&gt;=0"))</f>
        <v/>
      </c>
      <c r="K544" s="21" t="str">
        <f aca="false">IF(I544="","",H544/I544-1)</f>
        <v/>
      </c>
      <c r="L544" s="19" t="str">
        <f aca="false">IF(H544="","",IF(J544&lt;설정!$B$7,"baseline 수집 중",IF(K544&lt;=-설정!$B$8,"저하","정상")))</f>
        <v/>
      </c>
      <c r="M544" s="20"/>
    </row>
    <row r="545" customFormat="false" ht="15" hidden="false" customHeight="false" outlineLevel="0" collapsed="false">
      <c r="A545" s="16"/>
      <c r="B545" s="17"/>
      <c r="C545" s="17"/>
      <c r="D545" s="17"/>
      <c r="E545" s="17"/>
      <c r="F545" s="17"/>
      <c r="G545" s="18" t="str">
        <f aca="false">IF(COUNT(D545:F545)=0,"",MAX(D545:F545))</f>
        <v/>
      </c>
      <c r="H545" s="18" t="str">
        <f aca="false">IF(COUNT(D545:F545)=0,"",ROUND(AVERAGE(D545:F545),1))</f>
        <v/>
      </c>
      <c r="I545" s="18" t="str">
        <f aca="false">IF(H545="","",IF(J545&lt;설정!$B$7,"",ROUND(AVERAGEIFS($H$2:$H$1001,$B$2:$B$1001,B545,$A$2:$A$1001,"&lt;"&amp;A545,$A$2:$A$1001,"&gt;="&amp;(A545-설정!$B$6)),1)))</f>
        <v/>
      </c>
      <c r="J545" s="18" t="str">
        <f aca="false">IF(H545="","",COUNTIFS($B$2:$B$1001,B545,$A$2:$A$1001,"&lt;"&amp;A545,$A$2:$A$1001,"&gt;="&amp;(A545-설정!$B$6),$H$2:$H$1001,"&gt;=0"))</f>
        <v/>
      </c>
      <c r="K545" s="21" t="str">
        <f aca="false">IF(I545="","",H545/I545-1)</f>
        <v/>
      </c>
      <c r="L545" s="19" t="str">
        <f aca="false">IF(H545="","",IF(J545&lt;설정!$B$7,"baseline 수집 중",IF(K545&lt;=-설정!$B$8,"저하","정상")))</f>
        <v/>
      </c>
      <c r="M545" s="20"/>
    </row>
    <row r="546" customFormat="false" ht="15" hidden="false" customHeight="false" outlineLevel="0" collapsed="false">
      <c r="A546" s="16"/>
      <c r="B546" s="17"/>
      <c r="C546" s="17"/>
      <c r="D546" s="17"/>
      <c r="E546" s="17"/>
      <c r="F546" s="17"/>
      <c r="G546" s="18" t="str">
        <f aca="false">IF(COUNT(D546:F546)=0,"",MAX(D546:F546))</f>
        <v/>
      </c>
      <c r="H546" s="18" t="str">
        <f aca="false">IF(COUNT(D546:F546)=0,"",ROUND(AVERAGE(D546:F546),1))</f>
        <v/>
      </c>
      <c r="I546" s="18" t="str">
        <f aca="false">IF(H546="","",IF(J546&lt;설정!$B$7,"",ROUND(AVERAGEIFS($H$2:$H$1001,$B$2:$B$1001,B546,$A$2:$A$1001,"&lt;"&amp;A546,$A$2:$A$1001,"&gt;="&amp;(A546-설정!$B$6)),1)))</f>
        <v/>
      </c>
      <c r="J546" s="18" t="str">
        <f aca="false">IF(H546="","",COUNTIFS($B$2:$B$1001,B546,$A$2:$A$1001,"&lt;"&amp;A546,$A$2:$A$1001,"&gt;="&amp;(A546-설정!$B$6),$H$2:$H$1001,"&gt;=0"))</f>
        <v/>
      </c>
      <c r="K546" s="21" t="str">
        <f aca="false">IF(I546="","",H546/I546-1)</f>
        <v/>
      </c>
      <c r="L546" s="19" t="str">
        <f aca="false">IF(H546="","",IF(J546&lt;설정!$B$7,"baseline 수집 중",IF(K546&lt;=-설정!$B$8,"저하","정상")))</f>
        <v/>
      </c>
      <c r="M546" s="20"/>
    </row>
    <row r="547" customFormat="false" ht="15" hidden="false" customHeight="false" outlineLevel="0" collapsed="false">
      <c r="A547" s="16"/>
      <c r="B547" s="17"/>
      <c r="C547" s="17"/>
      <c r="D547" s="17"/>
      <c r="E547" s="17"/>
      <c r="F547" s="17"/>
      <c r="G547" s="18" t="str">
        <f aca="false">IF(COUNT(D547:F547)=0,"",MAX(D547:F547))</f>
        <v/>
      </c>
      <c r="H547" s="18" t="str">
        <f aca="false">IF(COUNT(D547:F547)=0,"",ROUND(AVERAGE(D547:F547),1))</f>
        <v/>
      </c>
      <c r="I547" s="18" t="str">
        <f aca="false">IF(H547="","",IF(J547&lt;설정!$B$7,"",ROUND(AVERAGEIFS($H$2:$H$1001,$B$2:$B$1001,B547,$A$2:$A$1001,"&lt;"&amp;A547,$A$2:$A$1001,"&gt;="&amp;(A547-설정!$B$6)),1)))</f>
        <v/>
      </c>
      <c r="J547" s="18" t="str">
        <f aca="false">IF(H547="","",COUNTIFS($B$2:$B$1001,B547,$A$2:$A$1001,"&lt;"&amp;A547,$A$2:$A$1001,"&gt;="&amp;(A547-설정!$B$6),$H$2:$H$1001,"&gt;=0"))</f>
        <v/>
      </c>
      <c r="K547" s="21" t="str">
        <f aca="false">IF(I547="","",H547/I547-1)</f>
        <v/>
      </c>
      <c r="L547" s="19" t="str">
        <f aca="false">IF(H547="","",IF(J547&lt;설정!$B$7,"baseline 수집 중",IF(K547&lt;=-설정!$B$8,"저하","정상")))</f>
        <v/>
      </c>
      <c r="M547" s="20"/>
    </row>
    <row r="548" customFormat="false" ht="15" hidden="false" customHeight="false" outlineLevel="0" collapsed="false">
      <c r="A548" s="16"/>
      <c r="B548" s="17"/>
      <c r="C548" s="17"/>
      <c r="D548" s="17"/>
      <c r="E548" s="17"/>
      <c r="F548" s="17"/>
      <c r="G548" s="18" t="str">
        <f aca="false">IF(COUNT(D548:F548)=0,"",MAX(D548:F548))</f>
        <v/>
      </c>
      <c r="H548" s="18" t="str">
        <f aca="false">IF(COUNT(D548:F548)=0,"",ROUND(AVERAGE(D548:F548),1))</f>
        <v/>
      </c>
      <c r="I548" s="18" t="str">
        <f aca="false">IF(H548="","",IF(J548&lt;설정!$B$7,"",ROUND(AVERAGEIFS($H$2:$H$1001,$B$2:$B$1001,B548,$A$2:$A$1001,"&lt;"&amp;A548,$A$2:$A$1001,"&gt;="&amp;(A548-설정!$B$6)),1)))</f>
        <v/>
      </c>
      <c r="J548" s="18" t="str">
        <f aca="false">IF(H548="","",COUNTIFS($B$2:$B$1001,B548,$A$2:$A$1001,"&lt;"&amp;A548,$A$2:$A$1001,"&gt;="&amp;(A548-설정!$B$6),$H$2:$H$1001,"&gt;=0"))</f>
        <v/>
      </c>
      <c r="K548" s="21" t="str">
        <f aca="false">IF(I548="","",H548/I548-1)</f>
        <v/>
      </c>
      <c r="L548" s="19" t="str">
        <f aca="false">IF(H548="","",IF(J548&lt;설정!$B$7,"baseline 수집 중",IF(K548&lt;=-설정!$B$8,"저하","정상")))</f>
        <v/>
      </c>
      <c r="M548" s="20"/>
    </row>
    <row r="549" customFormat="false" ht="15" hidden="false" customHeight="false" outlineLevel="0" collapsed="false">
      <c r="A549" s="16"/>
      <c r="B549" s="17"/>
      <c r="C549" s="17"/>
      <c r="D549" s="17"/>
      <c r="E549" s="17"/>
      <c r="F549" s="17"/>
      <c r="G549" s="18" t="str">
        <f aca="false">IF(COUNT(D549:F549)=0,"",MAX(D549:F549))</f>
        <v/>
      </c>
      <c r="H549" s="18" t="str">
        <f aca="false">IF(COUNT(D549:F549)=0,"",ROUND(AVERAGE(D549:F549),1))</f>
        <v/>
      </c>
      <c r="I549" s="18" t="str">
        <f aca="false">IF(H549="","",IF(J549&lt;설정!$B$7,"",ROUND(AVERAGEIFS($H$2:$H$1001,$B$2:$B$1001,B549,$A$2:$A$1001,"&lt;"&amp;A549,$A$2:$A$1001,"&gt;="&amp;(A549-설정!$B$6)),1)))</f>
        <v/>
      </c>
      <c r="J549" s="18" t="str">
        <f aca="false">IF(H549="","",COUNTIFS($B$2:$B$1001,B549,$A$2:$A$1001,"&lt;"&amp;A549,$A$2:$A$1001,"&gt;="&amp;(A549-설정!$B$6),$H$2:$H$1001,"&gt;=0"))</f>
        <v/>
      </c>
      <c r="K549" s="21" t="str">
        <f aca="false">IF(I549="","",H549/I549-1)</f>
        <v/>
      </c>
      <c r="L549" s="19" t="str">
        <f aca="false">IF(H549="","",IF(J549&lt;설정!$B$7,"baseline 수집 중",IF(K549&lt;=-설정!$B$8,"저하","정상")))</f>
        <v/>
      </c>
      <c r="M549" s="20"/>
    </row>
    <row r="550" customFormat="false" ht="15" hidden="false" customHeight="false" outlineLevel="0" collapsed="false">
      <c r="A550" s="16"/>
      <c r="B550" s="17"/>
      <c r="C550" s="17"/>
      <c r="D550" s="17"/>
      <c r="E550" s="17"/>
      <c r="F550" s="17"/>
      <c r="G550" s="18" t="str">
        <f aca="false">IF(COUNT(D550:F550)=0,"",MAX(D550:F550))</f>
        <v/>
      </c>
      <c r="H550" s="18" t="str">
        <f aca="false">IF(COUNT(D550:F550)=0,"",ROUND(AVERAGE(D550:F550),1))</f>
        <v/>
      </c>
      <c r="I550" s="18" t="str">
        <f aca="false">IF(H550="","",IF(J550&lt;설정!$B$7,"",ROUND(AVERAGEIFS($H$2:$H$1001,$B$2:$B$1001,B550,$A$2:$A$1001,"&lt;"&amp;A550,$A$2:$A$1001,"&gt;="&amp;(A550-설정!$B$6)),1)))</f>
        <v/>
      </c>
      <c r="J550" s="18" t="str">
        <f aca="false">IF(H550="","",COUNTIFS($B$2:$B$1001,B550,$A$2:$A$1001,"&lt;"&amp;A550,$A$2:$A$1001,"&gt;="&amp;(A550-설정!$B$6),$H$2:$H$1001,"&gt;=0"))</f>
        <v/>
      </c>
      <c r="K550" s="21" t="str">
        <f aca="false">IF(I550="","",H550/I550-1)</f>
        <v/>
      </c>
      <c r="L550" s="19" t="str">
        <f aca="false">IF(H550="","",IF(J550&lt;설정!$B$7,"baseline 수집 중",IF(K550&lt;=-설정!$B$8,"저하","정상")))</f>
        <v/>
      </c>
      <c r="M550" s="20"/>
    </row>
    <row r="551" customFormat="false" ht="15" hidden="false" customHeight="false" outlineLevel="0" collapsed="false">
      <c r="A551" s="16"/>
      <c r="B551" s="17"/>
      <c r="C551" s="17"/>
      <c r="D551" s="17"/>
      <c r="E551" s="17"/>
      <c r="F551" s="17"/>
      <c r="G551" s="18" t="str">
        <f aca="false">IF(COUNT(D551:F551)=0,"",MAX(D551:F551))</f>
        <v/>
      </c>
      <c r="H551" s="18" t="str">
        <f aca="false">IF(COUNT(D551:F551)=0,"",ROUND(AVERAGE(D551:F551),1))</f>
        <v/>
      </c>
      <c r="I551" s="18" t="str">
        <f aca="false">IF(H551="","",IF(J551&lt;설정!$B$7,"",ROUND(AVERAGEIFS($H$2:$H$1001,$B$2:$B$1001,B551,$A$2:$A$1001,"&lt;"&amp;A551,$A$2:$A$1001,"&gt;="&amp;(A551-설정!$B$6)),1)))</f>
        <v/>
      </c>
      <c r="J551" s="18" t="str">
        <f aca="false">IF(H551="","",COUNTIFS($B$2:$B$1001,B551,$A$2:$A$1001,"&lt;"&amp;A551,$A$2:$A$1001,"&gt;="&amp;(A551-설정!$B$6),$H$2:$H$1001,"&gt;=0"))</f>
        <v/>
      </c>
      <c r="K551" s="21" t="str">
        <f aca="false">IF(I551="","",H551/I551-1)</f>
        <v/>
      </c>
      <c r="L551" s="19" t="str">
        <f aca="false">IF(H551="","",IF(J551&lt;설정!$B$7,"baseline 수집 중",IF(K551&lt;=-설정!$B$8,"저하","정상")))</f>
        <v/>
      </c>
      <c r="M551" s="20"/>
    </row>
    <row r="552" customFormat="false" ht="15" hidden="false" customHeight="false" outlineLevel="0" collapsed="false">
      <c r="A552" s="16"/>
      <c r="B552" s="17"/>
      <c r="C552" s="17"/>
      <c r="D552" s="17"/>
      <c r="E552" s="17"/>
      <c r="F552" s="17"/>
      <c r="G552" s="18" t="str">
        <f aca="false">IF(COUNT(D552:F552)=0,"",MAX(D552:F552))</f>
        <v/>
      </c>
      <c r="H552" s="18" t="str">
        <f aca="false">IF(COUNT(D552:F552)=0,"",ROUND(AVERAGE(D552:F552),1))</f>
        <v/>
      </c>
      <c r="I552" s="18" t="str">
        <f aca="false">IF(H552="","",IF(J552&lt;설정!$B$7,"",ROUND(AVERAGEIFS($H$2:$H$1001,$B$2:$B$1001,B552,$A$2:$A$1001,"&lt;"&amp;A552,$A$2:$A$1001,"&gt;="&amp;(A552-설정!$B$6)),1)))</f>
        <v/>
      </c>
      <c r="J552" s="18" t="str">
        <f aca="false">IF(H552="","",COUNTIFS($B$2:$B$1001,B552,$A$2:$A$1001,"&lt;"&amp;A552,$A$2:$A$1001,"&gt;="&amp;(A552-설정!$B$6),$H$2:$H$1001,"&gt;=0"))</f>
        <v/>
      </c>
      <c r="K552" s="21" t="str">
        <f aca="false">IF(I552="","",H552/I552-1)</f>
        <v/>
      </c>
      <c r="L552" s="19" t="str">
        <f aca="false">IF(H552="","",IF(J552&lt;설정!$B$7,"baseline 수집 중",IF(K552&lt;=-설정!$B$8,"저하","정상")))</f>
        <v/>
      </c>
      <c r="M552" s="20"/>
    </row>
    <row r="553" customFormat="false" ht="15" hidden="false" customHeight="false" outlineLevel="0" collapsed="false">
      <c r="A553" s="16"/>
      <c r="B553" s="17"/>
      <c r="C553" s="17"/>
      <c r="D553" s="17"/>
      <c r="E553" s="17"/>
      <c r="F553" s="17"/>
      <c r="G553" s="18" t="str">
        <f aca="false">IF(COUNT(D553:F553)=0,"",MAX(D553:F553))</f>
        <v/>
      </c>
      <c r="H553" s="18" t="str">
        <f aca="false">IF(COUNT(D553:F553)=0,"",ROUND(AVERAGE(D553:F553),1))</f>
        <v/>
      </c>
      <c r="I553" s="18" t="str">
        <f aca="false">IF(H553="","",IF(J553&lt;설정!$B$7,"",ROUND(AVERAGEIFS($H$2:$H$1001,$B$2:$B$1001,B553,$A$2:$A$1001,"&lt;"&amp;A553,$A$2:$A$1001,"&gt;="&amp;(A553-설정!$B$6)),1)))</f>
        <v/>
      </c>
      <c r="J553" s="18" t="str">
        <f aca="false">IF(H553="","",COUNTIFS($B$2:$B$1001,B553,$A$2:$A$1001,"&lt;"&amp;A553,$A$2:$A$1001,"&gt;="&amp;(A553-설정!$B$6),$H$2:$H$1001,"&gt;=0"))</f>
        <v/>
      </c>
      <c r="K553" s="21" t="str">
        <f aca="false">IF(I553="","",H553/I553-1)</f>
        <v/>
      </c>
      <c r="L553" s="19" t="str">
        <f aca="false">IF(H553="","",IF(J553&lt;설정!$B$7,"baseline 수집 중",IF(K553&lt;=-설정!$B$8,"저하","정상")))</f>
        <v/>
      </c>
      <c r="M553" s="20"/>
    </row>
    <row r="554" customFormat="false" ht="15" hidden="false" customHeight="false" outlineLevel="0" collapsed="false">
      <c r="A554" s="16"/>
      <c r="B554" s="17"/>
      <c r="C554" s="17"/>
      <c r="D554" s="17"/>
      <c r="E554" s="17"/>
      <c r="F554" s="17"/>
      <c r="G554" s="18" t="str">
        <f aca="false">IF(COUNT(D554:F554)=0,"",MAX(D554:F554))</f>
        <v/>
      </c>
      <c r="H554" s="18" t="str">
        <f aca="false">IF(COUNT(D554:F554)=0,"",ROUND(AVERAGE(D554:F554),1))</f>
        <v/>
      </c>
      <c r="I554" s="18" t="str">
        <f aca="false">IF(H554="","",IF(J554&lt;설정!$B$7,"",ROUND(AVERAGEIFS($H$2:$H$1001,$B$2:$B$1001,B554,$A$2:$A$1001,"&lt;"&amp;A554,$A$2:$A$1001,"&gt;="&amp;(A554-설정!$B$6)),1)))</f>
        <v/>
      </c>
      <c r="J554" s="18" t="str">
        <f aca="false">IF(H554="","",COUNTIFS($B$2:$B$1001,B554,$A$2:$A$1001,"&lt;"&amp;A554,$A$2:$A$1001,"&gt;="&amp;(A554-설정!$B$6),$H$2:$H$1001,"&gt;=0"))</f>
        <v/>
      </c>
      <c r="K554" s="21" t="str">
        <f aca="false">IF(I554="","",H554/I554-1)</f>
        <v/>
      </c>
      <c r="L554" s="19" t="str">
        <f aca="false">IF(H554="","",IF(J554&lt;설정!$B$7,"baseline 수집 중",IF(K554&lt;=-설정!$B$8,"저하","정상")))</f>
        <v/>
      </c>
      <c r="M554" s="20"/>
    </row>
    <row r="555" customFormat="false" ht="15" hidden="false" customHeight="false" outlineLevel="0" collapsed="false">
      <c r="A555" s="16"/>
      <c r="B555" s="17"/>
      <c r="C555" s="17"/>
      <c r="D555" s="17"/>
      <c r="E555" s="17"/>
      <c r="F555" s="17"/>
      <c r="G555" s="18" t="str">
        <f aca="false">IF(COUNT(D555:F555)=0,"",MAX(D555:F555))</f>
        <v/>
      </c>
      <c r="H555" s="18" t="str">
        <f aca="false">IF(COUNT(D555:F555)=0,"",ROUND(AVERAGE(D555:F555),1))</f>
        <v/>
      </c>
      <c r="I555" s="18" t="str">
        <f aca="false">IF(H555="","",IF(J555&lt;설정!$B$7,"",ROUND(AVERAGEIFS($H$2:$H$1001,$B$2:$B$1001,B555,$A$2:$A$1001,"&lt;"&amp;A555,$A$2:$A$1001,"&gt;="&amp;(A555-설정!$B$6)),1)))</f>
        <v/>
      </c>
      <c r="J555" s="18" t="str">
        <f aca="false">IF(H555="","",COUNTIFS($B$2:$B$1001,B555,$A$2:$A$1001,"&lt;"&amp;A555,$A$2:$A$1001,"&gt;="&amp;(A555-설정!$B$6),$H$2:$H$1001,"&gt;=0"))</f>
        <v/>
      </c>
      <c r="K555" s="21" t="str">
        <f aca="false">IF(I555="","",H555/I555-1)</f>
        <v/>
      </c>
      <c r="L555" s="19" t="str">
        <f aca="false">IF(H555="","",IF(J555&lt;설정!$B$7,"baseline 수집 중",IF(K555&lt;=-설정!$B$8,"저하","정상")))</f>
        <v/>
      </c>
      <c r="M555" s="20"/>
    </row>
    <row r="556" customFormat="false" ht="15" hidden="false" customHeight="false" outlineLevel="0" collapsed="false">
      <c r="A556" s="16"/>
      <c r="B556" s="17"/>
      <c r="C556" s="17"/>
      <c r="D556" s="17"/>
      <c r="E556" s="17"/>
      <c r="F556" s="17"/>
      <c r="G556" s="18" t="str">
        <f aca="false">IF(COUNT(D556:F556)=0,"",MAX(D556:F556))</f>
        <v/>
      </c>
      <c r="H556" s="18" t="str">
        <f aca="false">IF(COUNT(D556:F556)=0,"",ROUND(AVERAGE(D556:F556),1))</f>
        <v/>
      </c>
      <c r="I556" s="18" t="str">
        <f aca="false">IF(H556="","",IF(J556&lt;설정!$B$7,"",ROUND(AVERAGEIFS($H$2:$H$1001,$B$2:$B$1001,B556,$A$2:$A$1001,"&lt;"&amp;A556,$A$2:$A$1001,"&gt;="&amp;(A556-설정!$B$6)),1)))</f>
        <v/>
      </c>
      <c r="J556" s="18" t="str">
        <f aca="false">IF(H556="","",COUNTIFS($B$2:$B$1001,B556,$A$2:$A$1001,"&lt;"&amp;A556,$A$2:$A$1001,"&gt;="&amp;(A556-설정!$B$6),$H$2:$H$1001,"&gt;=0"))</f>
        <v/>
      </c>
      <c r="K556" s="21" t="str">
        <f aca="false">IF(I556="","",H556/I556-1)</f>
        <v/>
      </c>
      <c r="L556" s="19" t="str">
        <f aca="false">IF(H556="","",IF(J556&lt;설정!$B$7,"baseline 수집 중",IF(K556&lt;=-설정!$B$8,"저하","정상")))</f>
        <v/>
      </c>
      <c r="M556" s="20"/>
    </row>
    <row r="557" customFormat="false" ht="15" hidden="false" customHeight="false" outlineLevel="0" collapsed="false">
      <c r="A557" s="16"/>
      <c r="B557" s="17"/>
      <c r="C557" s="17"/>
      <c r="D557" s="17"/>
      <c r="E557" s="17"/>
      <c r="F557" s="17"/>
      <c r="G557" s="18" t="str">
        <f aca="false">IF(COUNT(D557:F557)=0,"",MAX(D557:F557))</f>
        <v/>
      </c>
      <c r="H557" s="18" t="str">
        <f aca="false">IF(COUNT(D557:F557)=0,"",ROUND(AVERAGE(D557:F557),1))</f>
        <v/>
      </c>
      <c r="I557" s="18" t="str">
        <f aca="false">IF(H557="","",IF(J557&lt;설정!$B$7,"",ROUND(AVERAGEIFS($H$2:$H$1001,$B$2:$B$1001,B557,$A$2:$A$1001,"&lt;"&amp;A557,$A$2:$A$1001,"&gt;="&amp;(A557-설정!$B$6)),1)))</f>
        <v/>
      </c>
      <c r="J557" s="18" t="str">
        <f aca="false">IF(H557="","",COUNTIFS($B$2:$B$1001,B557,$A$2:$A$1001,"&lt;"&amp;A557,$A$2:$A$1001,"&gt;="&amp;(A557-설정!$B$6),$H$2:$H$1001,"&gt;=0"))</f>
        <v/>
      </c>
      <c r="K557" s="21" t="str">
        <f aca="false">IF(I557="","",H557/I557-1)</f>
        <v/>
      </c>
      <c r="L557" s="19" t="str">
        <f aca="false">IF(H557="","",IF(J557&lt;설정!$B$7,"baseline 수집 중",IF(K557&lt;=-설정!$B$8,"저하","정상")))</f>
        <v/>
      </c>
      <c r="M557" s="20"/>
    </row>
    <row r="558" customFormat="false" ht="15" hidden="false" customHeight="false" outlineLevel="0" collapsed="false">
      <c r="A558" s="16"/>
      <c r="B558" s="17"/>
      <c r="C558" s="17"/>
      <c r="D558" s="17"/>
      <c r="E558" s="17"/>
      <c r="F558" s="17"/>
      <c r="G558" s="18" t="str">
        <f aca="false">IF(COUNT(D558:F558)=0,"",MAX(D558:F558))</f>
        <v/>
      </c>
      <c r="H558" s="18" t="str">
        <f aca="false">IF(COUNT(D558:F558)=0,"",ROUND(AVERAGE(D558:F558),1))</f>
        <v/>
      </c>
      <c r="I558" s="18" t="str">
        <f aca="false">IF(H558="","",IF(J558&lt;설정!$B$7,"",ROUND(AVERAGEIFS($H$2:$H$1001,$B$2:$B$1001,B558,$A$2:$A$1001,"&lt;"&amp;A558,$A$2:$A$1001,"&gt;="&amp;(A558-설정!$B$6)),1)))</f>
        <v/>
      </c>
      <c r="J558" s="18" t="str">
        <f aca="false">IF(H558="","",COUNTIFS($B$2:$B$1001,B558,$A$2:$A$1001,"&lt;"&amp;A558,$A$2:$A$1001,"&gt;="&amp;(A558-설정!$B$6),$H$2:$H$1001,"&gt;=0"))</f>
        <v/>
      </c>
      <c r="K558" s="21" t="str">
        <f aca="false">IF(I558="","",H558/I558-1)</f>
        <v/>
      </c>
      <c r="L558" s="19" t="str">
        <f aca="false">IF(H558="","",IF(J558&lt;설정!$B$7,"baseline 수집 중",IF(K558&lt;=-설정!$B$8,"저하","정상")))</f>
        <v/>
      </c>
      <c r="M558" s="20"/>
    </row>
    <row r="559" customFormat="false" ht="15" hidden="false" customHeight="false" outlineLevel="0" collapsed="false">
      <c r="A559" s="16"/>
      <c r="B559" s="17"/>
      <c r="C559" s="17"/>
      <c r="D559" s="17"/>
      <c r="E559" s="17"/>
      <c r="F559" s="17"/>
      <c r="G559" s="18" t="str">
        <f aca="false">IF(COUNT(D559:F559)=0,"",MAX(D559:F559))</f>
        <v/>
      </c>
      <c r="H559" s="18" t="str">
        <f aca="false">IF(COUNT(D559:F559)=0,"",ROUND(AVERAGE(D559:F559),1))</f>
        <v/>
      </c>
      <c r="I559" s="18" t="str">
        <f aca="false">IF(H559="","",IF(J559&lt;설정!$B$7,"",ROUND(AVERAGEIFS($H$2:$H$1001,$B$2:$B$1001,B559,$A$2:$A$1001,"&lt;"&amp;A559,$A$2:$A$1001,"&gt;="&amp;(A559-설정!$B$6)),1)))</f>
        <v/>
      </c>
      <c r="J559" s="18" t="str">
        <f aca="false">IF(H559="","",COUNTIFS($B$2:$B$1001,B559,$A$2:$A$1001,"&lt;"&amp;A559,$A$2:$A$1001,"&gt;="&amp;(A559-설정!$B$6),$H$2:$H$1001,"&gt;=0"))</f>
        <v/>
      </c>
      <c r="K559" s="21" t="str">
        <f aca="false">IF(I559="","",H559/I559-1)</f>
        <v/>
      </c>
      <c r="L559" s="19" t="str">
        <f aca="false">IF(H559="","",IF(J559&lt;설정!$B$7,"baseline 수집 중",IF(K559&lt;=-설정!$B$8,"저하","정상")))</f>
        <v/>
      </c>
      <c r="M559" s="20"/>
    </row>
    <row r="560" customFormat="false" ht="15" hidden="false" customHeight="false" outlineLevel="0" collapsed="false">
      <c r="A560" s="16"/>
      <c r="B560" s="17"/>
      <c r="C560" s="17"/>
      <c r="D560" s="17"/>
      <c r="E560" s="17"/>
      <c r="F560" s="17"/>
      <c r="G560" s="18" t="str">
        <f aca="false">IF(COUNT(D560:F560)=0,"",MAX(D560:F560))</f>
        <v/>
      </c>
      <c r="H560" s="18" t="str">
        <f aca="false">IF(COUNT(D560:F560)=0,"",ROUND(AVERAGE(D560:F560),1))</f>
        <v/>
      </c>
      <c r="I560" s="18" t="str">
        <f aca="false">IF(H560="","",IF(J560&lt;설정!$B$7,"",ROUND(AVERAGEIFS($H$2:$H$1001,$B$2:$B$1001,B560,$A$2:$A$1001,"&lt;"&amp;A560,$A$2:$A$1001,"&gt;="&amp;(A560-설정!$B$6)),1)))</f>
        <v/>
      </c>
      <c r="J560" s="18" t="str">
        <f aca="false">IF(H560="","",COUNTIFS($B$2:$B$1001,B560,$A$2:$A$1001,"&lt;"&amp;A560,$A$2:$A$1001,"&gt;="&amp;(A560-설정!$B$6),$H$2:$H$1001,"&gt;=0"))</f>
        <v/>
      </c>
      <c r="K560" s="21" t="str">
        <f aca="false">IF(I560="","",H560/I560-1)</f>
        <v/>
      </c>
      <c r="L560" s="19" t="str">
        <f aca="false">IF(H560="","",IF(J560&lt;설정!$B$7,"baseline 수집 중",IF(K560&lt;=-설정!$B$8,"저하","정상")))</f>
        <v/>
      </c>
      <c r="M560" s="20"/>
    </row>
    <row r="561" customFormat="false" ht="15" hidden="false" customHeight="false" outlineLevel="0" collapsed="false">
      <c r="A561" s="16"/>
      <c r="B561" s="17"/>
      <c r="C561" s="17"/>
      <c r="D561" s="17"/>
      <c r="E561" s="17"/>
      <c r="F561" s="17"/>
      <c r="G561" s="18" t="str">
        <f aca="false">IF(COUNT(D561:F561)=0,"",MAX(D561:F561))</f>
        <v/>
      </c>
      <c r="H561" s="18" t="str">
        <f aca="false">IF(COUNT(D561:F561)=0,"",ROUND(AVERAGE(D561:F561),1))</f>
        <v/>
      </c>
      <c r="I561" s="18" t="str">
        <f aca="false">IF(H561="","",IF(J561&lt;설정!$B$7,"",ROUND(AVERAGEIFS($H$2:$H$1001,$B$2:$B$1001,B561,$A$2:$A$1001,"&lt;"&amp;A561,$A$2:$A$1001,"&gt;="&amp;(A561-설정!$B$6)),1)))</f>
        <v/>
      </c>
      <c r="J561" s="18" t="str">
        <f aca="false">IF(H561="","",COUNTIFS($B$2:$B$1001,B561,$A$2:$A$1001,"&lt;"&amp;A561,$A$2:$A$1001,"&gt;="&amp;(A561-설정!$B$6),$H$2:$H$1001,"&gt;=0"))</f>
        <v/>
      </c>
      <c r="K561" s="21" t="str">
        <f aca="false">IF(I561="","",H561/I561-1)</f>
        <v/>
      </c>
      <c r="L561" s="19" t="str">
        <f aca="false">IF(H561="","",IF(J561&lt;설정!$B$7,"baseline 수집 중",IF(K561&lt;=-설정!$B$8,"저하","정상")))</f>
        <v/>
      </c>
      <c r="M561" s="20"/>
    </row>
    <row r="562" customFormat="false" ht="15" hidden="false" customHeight="false" outlineLevel="0" collapsed="false">
      <c r="A562" s="16"/>
      <c r="B562" s="17"/>
      <c r="C562" s="17"/>
      <c r="D562" s="17"/>
      <c r="E562" s="17"/>
      <c r="F562" s="17"/>
      <c r="G562" s="18" t="str">
        <f aca="false">IF(COUNT(D562:F562)=0,"",MAX(D562:F562))</f>
        <v/>
      </c>
      <c r="H562" s="18" t="str">
        <f aca="false">IF(COUNT(D562:F562)=0,"",ROUND(AVERAGE(D562:F562),1))</f>
        <v/>
      </c>
      <c r="I562" s="18" t="str">
        <f aca="false">IF(H562="","",IF(J562&lt;설정!$B$7,"",ROUND(AVERAGEIFS($H$2:$H$1001,$B$2:$B$1001,B562,$A$2:$A$1001,"&lt;"&amp;A562,$A$2:$A$1001,"&gt;="&amp;(A562-설정!$B$6)),1)))</f>
        <v/>
      </c>
      <c r="J562" s="18" t="str">
        <f aca="false">IF(H562="","",COUNTIFS($B$2:$B$1001,B562,$A$2:$A$1001,"&lt;"&amp;A562,$A$2:$A$1001,"&gt;="&amp;(A562-설정!$B$6),$H$2:$H$1001,"&gt;=0"))</f>
        <v/>
      </c>
      <c r="K562" s="21" t="str">
        <f aca="false">IF(I562="","",H562/I562-1)</f>
        <v/>
      </c>
      <c r="L562" s="19" t="str">
        <f aca="false">IF(H562="","",IF(J562&lt;설정!$B$7,"baseline 수집 중",IF(K562&lt;=-설정!$B$8,"저하","정상")))</f>
        <v/>
      </c>
      <c r="M562" s="20"/>
    </row>
    <row r="563" customFormat="false" ht="15" hidden="false" customHeight="false" outlineLevel="0" collapsed="false">
      <c r="A563" s="16"/>
      <c r="B563" s="17"/>
      <c r="C563" s="17"/>
      <c r="D563" s="17"/>
      <c r="E563" s="17"/>
      <c r="F563" s="17"/>
      <c r="G563" s="18" t="str">
        <f aca="false">IF(COUNT(D563:F563)=0,"",MAX(D563:F563))</f>
        <v/>
      </c>
      <c r="H563" s="18" t="str">
        <f aca="false">IF(COUNT(D563:F563)=0,"",ROUND(AVERAGE(D563:F563),1))</f>
        <v/>
      </c>
      <c r="I563" s="18" t="str">
        <f aca="false">IF(H563="","",IF(J563&lt;설정!$B$7,"",ROUND(AVERAGEIFS($H$2:$H$1001,$B$2:$B$1001,B563,$A$2:$A$1001,"&lt;"&amp;A563,$A$2:$A$1001,"&gt;="&amp;(A563-설정!$B$6)),1)))</f>
        <v/>
      </c>
      <c r="J563" s="18" t="str">
        <f aca="false">IF(H563="","",COUNTIFS($B$2:$B$1001,B563,$A$2:$A$1001,"&lt;"&amp;A563,$A$2:$A$1001,"&gt;="&amp;(A563-설정!$B$6),$H$2:$H$1001,"&gt;=0"))</f>
        <v/>
      </c>
      <c r="K563" s="21" t="str">
        <f aca="false">IF(I563="","",H563/I563-1)</f>
        <v/>
      </c>
      <c r="L563" s="19" t="str">
        <f aca="false">IF(H563="","",IF(J563&lt;설정!$B$7,"baseline 수집 중",IF(K563&lt;=-설정!$B$8,"저하","정상")))</f>
        <v/>
      </c>
      <c r="M563" s="20"/>
    </row>
    <row r="564" customFormat="false" ht="15" hidden="false" customHeight="false" outlineLevel="0" collapsed="false">
      <c r="A564" s="16"/>
      <c r="B564" s="17"/>
      <c r="C564" s="17"/>
      <c r="D564" s="17"/>
      <c r="E564" s="17"/>
      <c r="F564" s="17"/>
      <c r="G564" s="18" t="str">
        <f aca="false">IF(COUNT(D564:F564)=0,"",MAX(D564:F564))</f>
        <v/>
      </c>
      <c r="H564" s="18" t="str">
        <f aca="false">IF(COUNT(D564:F564)=0,"",ROUND(AVERAGE(D564:F564),1))</f>
        <v/>
      </c>
      <c r="I564" s="18" t="str">
        <f aca="false">IF(H564="","",IF(J564&lt;설정!$B$7,"",ROUND(AVERAGEIFS($H$2:$H$1001,$B$2:$B$1001,B564,$A$2:$A$1001,"&lt;"&amp;A564,$A$2:$A$1001,"&gt;="&amp;(A564-설정!$B$6)),1)))</f>
        <v/>
      </c>
      <c r="J564" s="18" t="str">
        <f aca="false">IF(H564="","",COUNTIFS($B$2:$B$1001,B564,$A$2:$A$1001,"&lt;"&amp;A564,$A$2:$A$1001,"&gt;="&amp;(A564-설정!$B$6),$H$2:$H$1001,"&gt;=0"))</f>
        <v/>
      </c>
      <c r="K564" s="21" t="str">
        <f aca="false">IF(I564="","",H564/I564-1)</f>
        <v/>
      </c>
      <c r="L564" s="19" t="str">
        <f aca="false">IF(H564="","",IF(J564&lt;설정!$B$7,"baseline 수집 중",IF(K564&lt;=-설정!$B$8,"저하","정상")))</f>
        <v/>
      </c>
      <c r="M564" s="20"/>
    </row>
    <row r="565" customFormat="false" ht="15" hidden="false" customHeight="false" outlineLevel="0" collapsed="false">
      <c r="A565" s="16"/>
      <c r="B565" s="17"/>
      <c r="C565" s="17"/>
      <c r="D565" s="17"/>
      <c r="E565" s="17"/>
      <c r="F565" s="17"/>
      <c r="G565" s="18" t="str">
        <f aca="false">IF(COUNT(D565:F565)=0,"",MAX(D565:F565))</f>
        <v/>
      </c>
      <c r="H565" s="18" t="str">
        <f aca="false">IF(COUNT(D565:F565)=0,"",ROUND(AVERAGE(D565:F565),1))</f>
        <v/>
      </c>
      <c r="I565" s="18" t="str">
        <f aca="false">IF(H565="","",IF(J565&lt;설정!$B$7,"",ROUND(AVERAGEIFS($H$2:$H$1001,$B$2:$B$1001,B565,$A$2:$A$1001,"&lt;"&amp;A565,$A$2:$A$1001,"&gt;="&amp;(A565-설정!$B$6)),1)))</f>
        <v/>
      </c>
      <c r="J565" s="18" t="str">
        <f aca="false">IF(H565="","",COUNTIFS($B$2:$B$1001,B565,$A$2:$A$1001,"&lt;"&amp;A565,$A$2:$A$1001,"&gt;="&amp;(A565-설정!$B$6),$H$2:$H$1001,"&gt;=0"))</f>
        <v/>
      </c>
      <c r="K565" s="21" t="str">
        <f aca="false">IF(I565="","",H565/I565-1)</f>
        <v/>
      </c>
      <c r="L565" s="19" t="str">
        <f aca="false">IF(H565="","",IF(J565&lt;설정!$B$7,"baseline 수집 중",IF(K565&lt;=-설정!$B$8,"저하","정상")))</f>
        <v/>
      </c>
      <c r="M565" s="20"/>
    </row>
    <row r="566" customFormat="false" ht="15" hidden="false" customHeight="false" outlineLevel="0" collapsed="false">
      <c r="A566" s="16"/>
      <c r="B566" s="17"/>
      <c r="C566" s="17"/>
      <c r="D566" s="17"/>
      <c r="E566" s="17"/>
      <c r="F566" s="17"/>
      <c r="G566" s="18" t="str">
        <f aca="false">IF(COUNT(D566:F566)=0,"",MAX(D566:F566))</f>
        <v/>
      </c>
      <c r="H566" s="18" t="str">
        <f aca="false">IF(COUNT(D566:F566)=0,"",ROUND(AVERAGE(D566:F566),1))</f>
        <v/>
      </c>
      <c r="I566" s="18" t="str">
        <f aca="false">IF(H566="","",IF(J566&lt;설정!$B$7,"",ROUND(AVERAGEIFS($H$2:$H$1001,$B$2:$B$1001,B566,$A$2:$A$1001,"&lt;"&amp;A566,$A$2:$A$1001,"&gt;="&amp;(A566-설정!$B$6)),1)))</f>
        <v/>
      </c>
      <c r="J566" s="18" t="str">
        <f aca="false">IF(H566="","",COUNTIFS($B$2:$B$1001,B566,$A$2:$A$1001,"&lt;"&amp;A566,$A$2:$A$1001,"&gt;="&amp;(A566-설정!$B$6),$H$2:$H$1001,"&gt;=0"))</f>
        <v/>
      </c>
      <c r="K566" s="21" t="str">
        <f aca="false">IF(I566="","",H566/I566-1)</f>
        <v/>
      </c>
      <c r="L566" s="19" t="str">
        <f aca="false">IF(H566="","",IF(J566&lt;설정!$B$7,"baseline 수집 중",IF(K566&lt;=-설정!$B$8,"저하","정상")))</f>
        <v/>
      </c>
      <c r="M566" s="20"/>
    </row>
    <row r="567" customFormat="false" ht="15" hidden="false" customHeight="false" outlineLevel="0" collapsed="false">
      <c r="A567" s="16"/>
      <c r="B567" s="17"/>
      <c r="C567" s="17"/>
      <c r="D567" s="17"/>
      <c r="E567" s="17"/>
      <c r="F567" s="17"/>
      <c r="G567" s="18" t="str">
        <f aca="false">IF(COUNT(D567:F567)=0,"",MAX(D567:F567))</f>
        <v/>
      </c>
      <c r="H567" s="18" t="str">
        <f aca="false">IF(COUNT(D567:F567)=0,"",ROUND(AVERAGE(D567:F567),1))</f>
        <v/>
      </c>
      <c r="I567" s="18" t="str">
        <f aca="false">IF(H567="","",IF(J567&lt;설정!$B$7,"",ROUND(AVERAGEIFS($H$2:$H$1001,$B$2:$B$1001,B567,$A$2:$A$1001,"&lt;"&amp;A567,$A$2:$A$1001,"&gt;="&amp;(A567-설정!$B$6)),1)))</f>
        <v/>
      </c>
      <c r="J567" s="18" t="str">
        <f aca="false">IF(H567="","",COUNTIFS($B$2:$B$1001,B567,$A$2:$A$1001,"&lt;"&amp;A567,$A$2:$A$1001,"&gt;="&amp;(A567-설정!$B$6),$H$2:$H$1001,"&gt;=0"))</f>
        <v/>
      </c>
      <c r="K567" s="21" t="str">
        <f aca="false">IF(I567="","",H567/I567-1)</f>
        <v/>
      </c>
      <c r="L567" s="19" t="str">
        <f aca="false">IF(H567="","",IF(J567&lt;설정!$B$7,"baseline 수집 중",IF(K567&lt;=-설정!$B$8,"저하","정상")))</f>
        <v/>
      </c>
      <c r="M567" s="20"/>
    </row>
    <row r="568" customFormat="false" ht="15" hidden="false" customHeight="false" outlineLevel="0" collapsed="false">
      <c r="A568" s="16"/>
      <c r="B568" s="17"/>
      <c r="C568" s="17"/>
      <c r="D568" s="17"/>
      <c r="E568" s="17"/>
      <c r="F568" s="17"/>
      <c r="G568" s="18" t="str">
        <f aca="false">IF(COUNT(D568:F568)=0,"",MAX(D568:F568))</f>
        <v/>
      </c>
      <c r="H568" s="18" t="str">
        <f aca="false">IF(COUNT(D568:F568)=0,"",ROUND(AVERAGE(D568:F568),1))</f>
        <v/>
      </c>
      <c r="I568" s="18" t="str">
        <f aca="false">IF(H568="","",IF(J568&lt;설정!$B$7,"",ROUND(AVERAGEIFS($H$2:$H$1001,$B$2:$B$1001,B568,$A$2:$A$1001,"&lt;"&amp;A568,$A$2:$A$1001,"&gt;="&amp;(A568-설정!$B$6)),1)))</f>
        <v/>
      </c>
      <c r="J568" s="18" t="str">
        <f aca="false">IF(H568="","",COUNTIFS($B$2:$B$1001,B568,$A$2:$A$1001,"&lt;"&amp;A568,$A$2:$A$1001,"&gt;="&amp;(A568-설정!$B$6),$H$2:$H$1001,"&gt;=0"))</f>
        <v/>
      </c>
      <c r="K568" s="21" t="str">
        <f aca="false">IF(I568="","",H568/I568-1)</f>
        <v/>
      </c>
      <c r="L568" s="19" t="str">
        <f aca="false">IF(H568="","",IF(J568&lt;설정!$B$7,"baseline 수집 중",IF(K568&lt;=-설정!$B$8,"저하","정상")))</f>
        <v/>
      </c>
      <c r="M568" s="20"/>
    </row>
    <row r="569" customFormat="false" ht="15" hidden="false" customHeight="false" outlineLevel="0" collapsed="false">
      <c r="A569" s="16"/>
      <c r="B569" s="17"/>
      <c r="C569" s="17"/>
      <c r="D569" s="17"/>
      <c r="E569" s="17"/>
      <c r="F569" s="17"/>
      <c r="G569" s="18" t="str">
        <f aca="false">IF(COUNT(D569:F569)=0,"",MAX(D569:F569))</f>
        <v/>
      </c>
      <c r="H569" s="18" t="str">
        <f aca="false">IF(COUNT(D569:F569)=0,"",ROUND(AVERAGE(D569:F569),1))</f>
        <v/>
      </c>
      <c r="I569" s="18" t="str">
        <f aca="false">IF(H569="","",IF(J569&lt;설정!$B$7,"",ROUND(AVERAGEIFS($H$2:$H$1001,$B$2:$B$1001,B569,$A$2:$A$1001,"&lt;"&amp;A569,$A$2:$A$1001,"&gt;="&amp;(A569-설정!$B$6)),1)))</f>
        <v/>
      </c>
      <c r="J569" s="18" t="str">
        <f aca="false">IF(H569="","",COUNTIFS($B$2:$B$1001,B569,$A$2:$A$1001,"&lt;"&amp;A569,$A$2:$A$1001,"&gt;="&amp;(A569-설정!$B$6),$H$2:$H$1001,"&gt;=0"))</f>
        <v/>
      </c>
      <c r="K569" s="21" t="str">
        <f aca="false">IF(I569="","",H569/I569-1)</f>
        <v/>
      </c>
      <c r="L569" s="19" t="str">
        <f aca="false">IF(H569="","",IF(J569&lt;설정!$B$7,"baseline 수집 중",IF(K569&lt;=-설정!$B$8,"저하","정상")))</f>
        <v/>
      </c>
      <c r="M569" s="20"/>
    </row>
    <row r="570" customFormat="false" ht="15" hidden="false" customHeight="false" outlineLevel="0" collapsed="false">
      <c r="A570" s="16"/>
      <c r="B570" s="17"/>
      <c r="C570" s="17"/>
      <c r="D570" s="17"/>
      <c r="E570" s="17"/>
      <c r="F570" s="17"/>
      <c r="G570" s="18" t="str">
        <f aca="false">IF(COUNT(D570:F570)=0,"",MAX(D570:F570))</f>
        <v/>
      </c>
      <c r="H570" s="18" t="str">
        <f aca="false">IF(COUNT(D570:F570)=0,"",ROUND(AVERAGE(D570:F570),1))</f>
        <v/>
      </c>
      <c r="I570" s="18" t="str">
        <f aca="false">IF(H570="","",IF(J570&lt;설정!$B$7,"",ROUND(AVERAGEIFS($H$2:$H$1001,$B$2:$B$1001,B570,$A$2:$A$1001,"&lt;"&amp;A570,$A$2:$A$1001,"&gt;="&amp;(A570-설정!$B$6)),1)))</f>
        <v/>
      </c>
      <c r="J570" s="18" t="str">
        <f aca="false">IF(H570="","",COUNTIFS($B$2:$B$1001,B570,$A$2:$A$1001,"&lt;"&amp;A570,$A$2:$A$1001,"&gt;="&amp;(A570-설정!$B$6),$H$2:$H$1001,"&gt;=0"))</f>
        <v/>
      </c>
      <c r="K570" s="21" t="str">
        <f aca="false">IF(I570="","",H570/I570-1)</f>
        <v/>
      </c>
      <c r="L570" s="19" t="str">
        <f aca="false">IF(H570="","",IF(J570&lt;설정!$B$7,"baseline 수집 중",IF(K570&lt;=-설정!$B$8,"저하","정상")))</f>
        <v/>
      </c>
      <c r="M570" s="20"/>
    </row>
    <row r="571" customFormat="false" ht="15" hidden="false" customHeight="false" outlineLevel="0" collapsed="false">
      <c r="A571" s="16"/>
      <c r="B571" s="17"/>
      <c r="C571" s="17"/>
      <c r="D571" s="17"/>
      <c r="E571" s="17"/>
      <c r="F571" s="17"/>
      <c r="G571" s="18" t="str">
        <f aca="false">IF(COUNT(D571:F571)=0,"",MAX(D571:F571))</f>
        <v/>
      </c>
      <c r="H571" s="18" t="str">
        <f aca="false">IF(COUNT(D571:F571)=0,"",ROUND(AVERAGE(D571:F571),1))</f>
        <v/>
      </c>
      <c r="I571" s="18" t="str">
        <f aca="false">IF(H571="","",IF(J571&lt;설정!$B$7,"",ROUND(AVERAGEIFS($H$2:$H$1001,$B$2:$B$1001,B571,$A$2:$A$1001,"&lt;"&amp;A571,$A$2:$A$1001,"&gt;="&amp;(A571-설정!$B$6)),1)))</f>
        <v/>
      </c>
      <c r="J571" s="18" t="str">
        <f aca="false">IF(H571="","",COUNTIFS($B$2:$B$1001,B571,$A$2:$A$1001,"&lt;"&amp;A571,$A$2:$A$1001,"&gt;="&amp;(A571-설정!$B$6),$H$2:$H$1001,"&gt;=0"))</f>
        <v/>
      </c>
      <c r="K571" s="21" t="str">
        <f aca="false">IF(I571="","",H571/I571-1)</f>
        <v/>
      </c>
      <c r="L571" s="19" t="str">
        <f aca="false">IF(H571="","",IF(J571&lt;설정!$B$7,"baseline 수집 중",IF(K571&lt;=-설정!$B$8,"저하","정상")))</f>
        <v/>
      </c>
      <c r="M571" s="20"/>
    </row>
    <row r="572" customFormat="false" ht="15" hidden="false" customHeight="false" outlineLevel="0" collapsed="false">
      <c r="A572" s="16"/>
      <c r="B572" s="17"/>
      <c r="C572" s="17"/>
      <c r="D572" s="17"/>
      <c r="E572" s="17"/>
      <c r="F572" s="17"/>
      <c r="G572" s="18" t="str">
        <f aca="false">IF(COUNT(D572:F572)=0,"",MAX(D572:F572))</f>
        <v/>
      </c>
      <c r="H572" s="18" t="str">
        <f aca="false">IF(COUNT(D572:F572)=0,"",ROUND(AVERAGE(D572:F572),1))</f>
        <v/>
      </c>
      <c r="I572" s="18" t="str">
        <f aca="false">IF(H572="","",IF(J572&lt;설정!$B$7,"",ROUND(AVERAGEIFS($H$2:$H$1001,$B$2:$B$1001,B572,$A$2:$A$1001,"&lt;"&amp;A572,$A$2:$A$1001,"&gt;="&amp;(A572-설정!$B$6)),1)))</f>
        <v/>
      </c>
      <c r="J572" s="18" t="str">
        <f aca="false">IF(H572="","",COUNTIFS($B$2:$B$1001,B572,$A$2:$A$1001,"&lt;"&amp;A572,$A$2:$A$1001,"&gt;="&amp;(A572-설정!$B$6),$H$2:$H$1001,"&gt;=0"))</f>
        <v/>
      </c>
      <c r="K572" s="21" t="str">
        <f aca="false">IF(I572="","",H572/I572-1)</f>
        <v/>
      </c>
      <c r="L572" s="19" t="str">
        <f aca="false">IF(H572="","",IF(J572&lt;설정!$B$7,"baseline 수집 중",IF(K572&lt;=-설정!$B$8,"저하","정상")))</f>
        <v/>
      </c>
      <c r="M572" s="20"/>
    </row>
    <row r="573" customFormat="false" ht="15" hidden="false" customHeight="false" outlineLevel="0" collapsed="false">
      <c r="A573" s="16"/>
      <c r="B573" s="17"/>
      <c r="C573" s="17"/>
      <c r="D573" s="17"/>
      <c r="E573" s="17"/>
      <c r="F573" s="17"/>
      <c r="G573" s="18" t="str">
        <f aca="false">IF(COUNT(D573:F573)=0,"",MAX(D573:F573))</f>
        <v/>
      </c>
      <c r="H573" s="18" t="str">
        <f aca="false">IF(COUNT(D573:F573)=0,"",ROUND(AVERAGE(D573:F573),1))</f>
        <v/>
      </c>
      <c r="I573" s="18" t="str">
        <f aca="false">IF(H573="","",IF(J573&lt;설정!$B$7,"",ROUND(AVERAGEIFS($H$2:$H$1001,$B$2:$B$1001,B573,$A$2:$A$1001,"&lt;"&amp;A573,$A$2:$A$1001,"&gt;="&amp;(A573-설정!$B$6)),1)))</f>
        <v/>
      </c>
      <c r="J573" s="18" t="str">
        <f aca="false">IF(H573="","",COUNTIFS($B$2:$B$1001,B573,$A$2:$A$1001,"&lt;"&amp;A573,$A$2:$A$1001,"&gt;="&amp;(A573-설정!$B$6),$H$2:$H$1001,"&gt;=0"))</f>
        <v/>
      </c>
      <c r="K573" s="21" t="str">
        <f aca="false">IF(I573="","",H573/I573-1)</f>
        <v/>
      </c>
      <c r="L573" s="19" t="str">
        <f aca="false">IF(H573="","",IF(J573&lt;설정!$B$7,"baseline 수집 중",IF(K573&lt;=-설정!$B$8,"저하","정상")))</f>
        <v/>
      </c>
      <c r="M573" s="20"/>
    </row>
    <row r="574" customFormat="false" ht="15" hidden="false" customHeight="false" outlineLevel="0" collapsed="false">
      <c r="A574" s="16"/>
      <c r="B574" s="17"/>
      <c r="C574" s="17"/>
      <c r="D574" s="17"/>
      <c r="E574" s="17"/>
      <c r="F574" s="17"/>
      <c r="G574" s="18" t="str">
        <f aca="false">IF(COUNT(D574:F574)=0,"",MAX(D574:F574))</f>
        <v/>
      </c>
      <c r="H574" s="18" t="str">
        <f aca="false">IF(COUNT(D574:F574)=0,"",ROUND(AVERAGE(D574:F574),1))</f>
        <v/>
      </c>
      <c r="I574" s="18" t="str">
        <f aca="false">IF(H574="","",IF(J574&lt;설정!$B$7,"",ROUND(AVERAGEIFS($H$2:$H$1001,$B$2:$B$1001,B574,$A$2:$A$1001,"&lt;"&amp;A574,$A$2:$A$1001,"&gt;="&amp;(A574-설정!$B$6)),1)))</f>
        <v/>
      </c>
      <c r="J574" s="18" t="str">
        <f aca="false">IF(H574="","",COUNTIFS($B$2:$B$1001,B574,$A$2:$A$1001,"&lt;"&amp;A574,$A$2:$A$1001,"&gt;="&amp;(A574-설정!$B$6),$H$2:$H$1001,"&gt;=0"))</f>
        <v/>
      </c>
      <c r="K574" s="21" t="str">
        <f aca="false">IF(I574="","",H574/I574-1)</f>
        <v/>
      </c>
      <c r="L574" s="19" t="str">
        <f aca="false">IF(H574="","",IF(J574&lt;설정!$B$7,"baseline 수집 중",IF(K574&lt;=-설정!$B$8,"저하","정상")))</f>
        <v/>
      </c>
      <c r="M574" s="20"/>
    </row>
    <row r="575" customFormat="false" ht="15" hidden="false" customHeight="false" outlineLevel="0" collapsed="false">
      <c r="A575" s="16"/>
      <c r="B575" s="17"/>
      <c r="C575" s="17"/>
      <c r="D575" s="17"/>
      <c r="E575" s="17"/>
      <c r="F575" s="17"/>
      <c r="G575" s="18" t="str">
        <f aca="false">IF(COUNT(D575:F575)=0,"",MAX(D575:F575))</f>
        <v/>
      </c>
      <c r="H575" s="18" t="str">
        <f aca="false">IF(COUNT(D575:F575)=0,"",ROUND(AVERAGE(D575:F575),1))</f>
        <v/>
      </c>
      <c r="I575" s="18" t="str">
        <f aca="false">IF(H575="","",IF(J575&lt;설정!$B$7,"",ROUND(AVERAGEIFS($H$2:$H$1001,$B$2:$B$1001,B575,$A$2:$A$1001,"&lt;"&amp;A575,$A$2:$A$1001,"&gt;="&amp;(A575-설정!$B$6)),1)))</f>
        <v/>
      </c>
      <c r="J575" s="18" t="str">
        <f aca="false">IF(H575="","",COUNTIFS($B$2:$B$1001,B575,$A$2:$A$1001,"&lt;"&amp;A575,$A$2:$A$1001,"&gt;="&amp;(A575-설정!$B$6),$H$2:$H$1001,"&gt;=0"))</f>
        <v/>
      </c>
      <c r="K575" s="21" t="str">
        <f aca="false">IF(I575="","",H575/I575-1)</f>
        <v/>
      </c>
      <c r="L575" s="19" t="str">
        <f aca="false">IF(H575="","",IF(J575&lt;설정!$B$7,"baseline 수집 중",IF(K575&lt;=-설정!$B$8,"저하","정상")))</f>
        <v/>
      </c>
      <c r="M575" s="20"/>
    </row>
    <row r="576" customFormat="false" ht="15" hidden="false" customHeight="false" outlineLevel="0" collapsed="false">
      <c r="A576" s="16"/>
      <c r="B576" s="17"/>
      <c r="C576" s="17"/>
      <c r="D576" s="17"/>
      <c r="E576" s="17"/>
      <c r="F576" s="17"/>
      <c r="G576" s="18" t="str">
        <f aca="false">IF(COUNT(D576:F576)=0,"",MAX(D576:F576))</f>
        <v/>
      </c>
      <c r="H576" s="18" t="str">
        <f aca="false">IF(COUNT(D576:F576)=0,"",ROUND(AVERAGE(D576:F576),1))</f>
        <v/>
      </c>
      <c r="I576" s="18" t="str">
        <f aca="false">IF(H576="","",IF(J576&lt;설정!$B$7,"",ROUND(AVERAGEIFS($H$2:$H$1001,$B$2:$B$1001,B576,$A$2:$A$1001,"&lt;"&amp;A576,$A$2:$A$1001,"&gt;="&amp;(A576-설정!$B$6)),1)))</f>
        <v/>
      </c>
      <c r="J576" s="18" t="str">
        <f aca="false">IF(H576="","",COUNTIFS($B$2:$B$1001,B576,$A$2:$A$1001,"&lt;"&amp;A576,$A$2:$A$1001,"&gt;="&amp;(A576-설정!$B$6),$H$2:$H$1001,"&gt;=0"))</f>
        <v/>
      </c>
      <c r="K576" s="21" t="str">
        <f aca="false">IF(I576="","",H576/I576-1)</f>
        <v/>
      </c>
      <c r="L576" s="19" t="str">
        <f aca="false">IF(H576="","",IF(J576&lt;설정!$B$7,"baseline 수집 중",IF(K576&lt;=-설정!$B$8,"저하","정상")))</f>
        <v/>
      </c>
      <c r="M576" s="20"/>
    </row>
    <row r="577" customFormat="false" ht="15" hidden="false" customHeight="false" outlineLevel="0" collapsed="false">
      <c r="A577" s="16"/>
      <c r="B577" s="17"/>
      <c r="C577" s="17"/>
      <c r="D577" s="17"/>
      <c r="E577" s="17"/>
      <c r="F577" s="17"/>
      <c r="G577" s="18" t="str">
        <f aca="false">IF(COUNT(D577:F577)=0,"",MAX(D577:F577))</f>
        <v/>
      </c>
      <c r="H577" s="18" t="str">
        <f aca="false">IF(COUNT(D577:F577)=0,"",ROUND(AVERAGE(D577:F577),1))</f>
        <v/>
      </c>
      <c r="I577" s="18" t="str">
        <f aca="false">IF(H577="","",IF(J577&lt;설정!$B$7,"",ROUND(AVERAGEIFS($H$2:$H$1001,$B$2:$B$1001,B577,$A$2:$A$1001,"&lt;"&amp;A577,$A$2:$A$1001,"&gt;="&amp;(A577-설정!$B$6)),1)))</f>
        <v/>
      </c>
      <c r="J577" s="18" t="str">
        <f aca="false">IF(H577="","",COUNTIFS($B$2:$B$1001,B577,$A$2:$A$1001,"&lt;"&amp;A577,$A$2:$A$1001,"&gt;="&amp;(A577-설정!$B$6),$H$2:$H$1001,"&gt;=0"))</f>
        <v/>
      </c>
      <c r="K577" s="21" t="str">
        <f aca="false">IF(I577="","",H577/I577-1)</f>
        <v/>
      </c>
      <c r="L577" s="19" t="str">
        <f aca="false">IF(H577="","",IF(J577&lt;설정!$B$7,"baseline 수집 중",IF(K577&lt;=-설정!$B$8,"저하","정상")))</f>
        <v/>
      </c>
      <c r="M577" s="20"/>
    </row>
    <row r="578" customFormat="false" ht="15" hidden="false" customHeight="false" outlineLevel="0" collapsed="false">
      <c r="A578" s="16"/>
      <c r="B578" s="17"/>
      <c r="C578" s="17"/>
      <c r="D578" s="17"/>
      <c r="E578" s="17"/>
      <c r="F578" s="17"/>
      <c r="G578" s="18" t="str">
        <f aca="false">IF(COUNT(D578:F578)=0,"",MAX(D578:F578))</f>
        <v/>
      </c>
      <c r="H578" s="18" t="str">
        <f aca="false">IF(COUNT(D578:F578)=0,"",ROUND(AVERAGE(D578:F578),1))</f>
        <v/>
      </c>
      <c r="I578" s="18" t="str">
        <f aca="false">IF(H578="","",IF(J578&lt;설정!$B$7,"",ROUND(AVERAGEIFS($H$2:$H$1001,$B$2:$B$1001,B578,$A$2:$A$1001,"&lt;"&amp;A578,$A$2:$A$1001,"&gt;="&amp;(A578-설정!$B$6)),1)))</f>
        <v/>
      </c>
      <c r="J578" s="18" t="str">
        <f aca="false">IF(H578="","",COUNTIFS($B$2:$B$1001,B578,$A$2:$A$1001,"&lt;"&amp;A578,$A$2:$A$1001,"&gt;="&amp;(A578-설정!$B$6),$H$2:$H$1001,"&gt;=0"))</f>
        <v/>
      </c>
      <c r="K578" s="21" t="str">
        <f aca="false">IF(I578="","",H578/I578-1)</f>
        <v/>
      </c>
      <c r="L578" s="19" t="str">
        <f aca="false">IF(H578="","",IF(J578&lt;설정!$B$7,"baseline 수집 중",IF(K578&lt;=-설정!$B$8,"저하","정상")))</f>
        <v/>
      </c>
      <c r="M578" s="20"/>
    </row>
    <row r="579" customFormat="false" ht="15" hidden="false" customHeight="false" outlineLevel="0" collapsed="false">
      <c r="A579" s="16"/>
      <c r="B579" s="17"/>
      <c r="C579" s="17"/>
      <c r="D579" s="17"/>
      <c r="E579" s="17"/>
      <c r="F579" s="17"/>
      <c r="G579" s="18" t="str">
        <f aca="false">IF(COUNT(D579:F579)=0,"",MAX(D579:F579))</f>
        <v/>
      </c>
      <c r="H579" s="18" t="str">
        <f aca="false">IF(COUNT(D579:F579)=0,"",ROUND(AVERAGE(D579:F579),1))</f>
        <v/>
      </c>
      <c r="I579" s="18" t="str">
        <f aca="false">IF(H579="","",IF(J579&lt;설정!$B$7,"",ROUND(AVERAGEIFS($H$2:$H$1001,$B$2:$B$1001,B579,$A$2:$A$1001,"&lt;"&amp;A579,$A$2:$A$1001,"&gt;="&amp;(A579-설정!$B$6)),1)))</f>
        <v/>
      </c>
      <c r="J579" s="18" t="str">
        <f aca="false">IF(H579="","",COUNTIFS($B$2:$B$1001,B579,$A$2:$A$1001,"&lt;"&amp;A579,$A$2:$A$1001,"&gt;="&amp;(A579-설정!$B$6),$H$2:$H$1001,"&gt;=0"))</f>
        <v/>
      </c>
      <c r="K579" s="21" t="str">
        <f aca="false">IF(I579="","",H579/I579-1)</f>
        <v/>
      </c>
      <c r="L579" s="19" t="str">
        <f aca="false">IF(H579="","",IF(J579&lt;설정!$B$7,"baseline 수집 중",IF(K579&lt;=-설정!$B$8,"저하","정상")))</f>
        <v/>
      </c>
      <c r="M579" s="20"/>
    </row>
    <row r="580" customFormat="false" ht="15" hidden="false" customHeight="false" outlineLevel="0" collapsed="false">
      <c r="A580" s="16"/>
      <c r="B580" s="17"/>
      <c r="C580" s="17"/>
      <c r="D580" s="17"/>
      <c r="E580" s="17"/>
      <c r="F580" s="17"/>
      <c r="G580" s="18" t="str">
        <f aca="false">IF(COUNT(D580:F580)=0,"",MAX(D580:F580))</f>
        <v/>
      </c>
      <c r="H580" s="18" t="str">
        <f aca="false">IF(COUNT(D580:F580)=0,"",ROUND(AVERAGE(D580:F580),1))</f>
        <v/>
      </c>
      <c r="I580" s="18" t="str">
        <f aca="false">IF(H580="","",IF(J580&lt;설정!$B$7,"",ROUND(AVERAGEIFS($H$2:$H$1001,$B$2:$B$1001,B580,$A$2:$A$1001,"&lt;"&amp;A580,$A$2:$A$1001,"&gt;="&amp;(A580-설정!$B$6)),1)))</f>
        <v/>
      </c>
      <c r="J580" s="18" t="str">
        <f aca="false">IF(H580="","",COUNTIFS($B$2:$B$1001,B580,$A$2:$A$1001,"&lt;"&amp;A580,$A$2:$A$1001,"&gt;="&amp;(A580-설정!$B$6),$H$2:$H$1001,"&gt;=0"))</f>
        <v/>
      </c>
      <c r="K580" s="21" t="str">
        <f aca="false">IF(I580="","",H580/I580-1)</f>
        <v/>
      </c>
      <c r="L580" s="19" t="str">
        <f aca="false">IF(H580="","",IF(J580&lt;설정!$B$7,"baseline 수집 중",IF(K580&lt;=-설정!$B$8,"저하","정상")))</f>
        <v/>
      </c>
      <c r="M580" s="20"/>
    </row>
    <row r="581" customFormat="false" ht="15" hidden="false" customHeight="false" outlineLevel="0" collapsed="false">
      <c r="A581" s="16"/>
      <c r="B581" s="17"/>
      <c r="C581" s="17"/>
      <c r="D581" s="17"/>
      <c r="E581" s="17"/>
      <c r="F581" s="17"/>
      <c r="G581" s="18" t="str">
        <f aca="false">IF(COUNT(D581:F581)=0,"",MAX(D581:F581))</f>
        <v/>
      </c>
      <c r="H581" s="18" t="str">
        <f aca="false">IF(COUNT(D581:F581)=0,"",ROUND(AVERAGE(D581:F581),1))</f>
        <v/>
      </c>
      <c r="I581" s="18" t="str">
        <f aca="false">IF(H581="","",IF(J581&lt;설정!$B$7,"",ROUND(AVERAGEIFS($H$2:$H$1001,$B$2:$B$1001,B581,$A$2:$A$1001,"&lt;"&amp;A581,$A$2:$A$1001,"&gt;="&amp;(A581-설정!$B$6)),1)))</f>
        <v/>
      </c>
      <c r="J581" s="18" t="str">
        <f aca="false">IF(H581="","",COUNTIFS($B$2:$B$1001,B581,$A$2:$A$1001,"&lt;"&amp;A581,$A$2:$A$1001,"&gt;="&amp;(A581-설정!$B$6),$H$2:$H$1001,"&gt;=0"))</f>
        <v/>
      </c>
      <c r="K581" s="21" t="str">
        <f aca="false">IF(I581="","",H581/I581-1)</f>
        <v/>
      </c>
      <c r="L581" s="19" t="str">
        <f aca="false">IF(H581="","",IF(J581&lt;설정!$B$7,"baseline 수집 중",IF(K581&lt;=-설정!$B$8,"저하","정상")))</f>
        <v/>
      </c>
      <c r="M581" s="20"/>
    </row>
    <row r="582" customFormat="false" ht="15" hidden="false" customHeight="false" outlineLevel="0" collapsed="false">
      <c r="A582" s="16"/>
      <c r="B582" s="17"/>
      <c r="C582" s="17"/>
      <c r="D582" s="17"/>
      <c r="E582" s="17"/>
      <c r="F582" s="17"/>
      <c r="G582" s="18" t="str">
        <f aca="false">IF(COUNT(D582:F582)=0,"",MAX(D582:F582))</f>
        <v/>
      </c>
      <c r="H582" s="18" t="str">
        <f aca="false">IF(COUNT(D582:F582)=0,"",ROUND(AVERAGE(D582:F582),1))</f>
        <v/>
      </c>
      <c r="I582" s="18" t="str">
        <f aca="false">IF(H582="","",IF(J582&lt;설정!$B$7,"",ROUND(AVERAGEIFS($H$2:$H$1001,$B$2:$B$1001,B582,$A$2:$A$1001,"&lt;"&amp;A582,$A$2:$A$1001,"&gt;="&amp;(A582-설정!$B$6)),1)))</f>
        <v/>
      </c>
      <c r="J582" s="18" t="str">
        <f aca="false">IF(H582="","",COUNTIFS($B$2:$B$1001,B582,$A$2:$A$1001,"&lt;"&amp;A582,$A$2:$A$1001,"&gt;="&amp;(A582-설정!$B$6),$H$2:$H$1001,"&gt;=0"))</f>
        <v/>
      </c>
      <c r="K582" s="21" t="str">
        <f aca="false">IF(I582="","",H582/I582-1)</f>
        <v/>
      </c>
      <c r="L582" s="19" t="str">
        <f aca="false">IF(H582="","",IF(J582&lt;설정!$B$7,"baseline 수집 중",IF(K582&lt;=-설정!$B$8,"저하","정상")))</f>
        <v/>
      </c>
      <c r="M582" s="20"/>
    </row>
    <row r="583" customFormat="false" ht="15" hidden="false" customHeight="false" outlineLevel="0" collapsed="false">
      <c r="A583" s="16"/>
      <c r="B583" s="17"/>
      <c r="C583" s="17"/>
      <c r="D583" s="17"/>
      <c r="E583" s="17"/>
      <c r="F583" s="17"/>
      <c r="G583" s="18" t="str">
        <f aca="false">IF(COUNT(D583:F583)=0,"",MAX(D583:F583))</f>
        <v/>
      </c>
      <c r="H583" s="18" t="str">
        <f aca="false">IF(COUNT(D583:F583)=0,"",ROUND(AVERAGE(D583:F583),1))</f>
        <v/>
      </c>
      <c r="I583" s="18" t="str">
        <f aca="false">IF(H583="","",IF(J583&lt;설정!$B$7,"",ROUND(AVERAGEIFS($H$2:$H$1001,$B$2:$B$1001,B583,$A$2:$A$1001,"&lt;"&amp;A583,$A$2:$A$1001,"&gt;="&amp;(A583-설정!$B$6)),1)))</f>
        <v/>
      </c>
      <c r="J583" s="18" t="str">
        <f aca="false">IF(H583="","",COUNTIFS($B$2:$B$1001,B583,$A$2:$A$1001,"&lt;"&amp;A583,$A$2:$A$1001,"&gt;="&amp;(A583-설정!$B$6),$H$2:$H$1001,"&gt;=0"))</f>
        <v/>
      </c>
      <c r="K583" s="21" t="str">
        <f aca="false">IF(I583="","",H583/I583-1)</f>
        <v/>
      </c>
      <c r="L583" s="19" t="str">
        <f aca="false">IF(H583="","",IF(J583&lt;설정!$B$7,"baseline 수집 중",IF(K583&lt;=-설정!$B$8,"저하","정상")))</f>
        <v/>
      </c>
      <c r="M583" s="20"/>
    </row>
    <row r="584" customFormat="false" ht="15" hidden="false" customHeight="false" outlineLevel="0" collapsed="false">
      <c r="A584" s="16"/>
      <c r="B584" s="17"/>
      <c r="C584" s="17"/>
      <c r="D584" s="17"/>
      <c r="E584" s="17"/>
      <c r="F584" s="17"/>
      <c r="G584" s="18" t="str">
        <f aca="false">IF(COUNT(D584:F584)=0,"",MAX(D584:F584))</f>
        <v/>
      </c>
      <c r="H584" s="18" t="str">
        <f aca="false">IF(COUNT(D584:F584)=0,"",ROUND(AVERAGE(D584:F584),1))</f>
        <v/>
      </c>
      <c r="I584" s="18" t="str">
        <f aca="false">IF(H584="","",IF(J584&lt;설정!$B$7,"",ROUND(AVERAGEIFS($H$2:$H$1001,$B$2:$B$1001,B584,$A$2:$A$1001,"&lt;"&amp;A584,$A$2:$A$1001,"&gt;="&amp;(A584-설정!$B$6)),1)))</f>
        <v/>
      </c>
      <c r="J584" s="18" t="str">
        <f aca="false">IF(H584="","",COUNTIFS($B$2:$B$1001,B584,$A$2:$A$1001,"&lt;"&amp;A584,$A$2:$A$1001,"&gt;="&amp;(A584-설정!$B$6),$H$2:$H$1001,"&gt;=0"))</f>
        <v/>
      </c>
      <c r="K584" s="21" t="str">
        <f aca="false">IF(I584="","",H584/I584-1)</f>
        <v/>
      </c>
      <c r="L584" s="19" t="str">
        <f aca="false">IF(H584="","",IF(J584&lt;설정!$B$7,"baseline 수집 중",IF(K584&lt;=-설정!$B$8,"저하","정상")))</f>
        <v/>
      </c>
      <c r="M584" s="20"/>
    </row>
    <row r="585" customFormat="false" ht="15" hidden="false" customHeight="false" outlineLevel="0" collapsed="false">
      <c r="A585" s="16"/>
      <c r="B585" s="17"/>
      <c r="C585" s="17"/>
      <c r="D585" s="17"/>
      <c r="E585" s="17"/>
      <c r="F585" s="17"/>
      <c r="G585" s="18" t="str">
        <f aca="false">IF(COUNT(D585:F585)=0,"",MAX(D585:F585))</f>
        <v/>
      </c>
      <c r="H585" s="18" t="str">
        <f aca="false">IF(COUNT(D585:F585)=0,"",ROUND(AVERAGE(D585:F585),1))</f>
        <v/>
      </c>
      <c r="I585" s="18" t="str">
        <f aca="false">IF(H585="","",IF(J585&lt;설정!$B$7,"",ROUND(AVERAGEIFS($H$2:$H$1001,$B$2:$B$1001,B585,$A$2:$A$1001,"&lt;"&amp;A585,$A$2:$A$1001,"&gt;="&amp;(A585-설정!$B$6)),1)))</f>
        <v/>
      </c>
      <c r="J585" s="18" t="str">
        <f aca="false">IF(H585="","",COUNTIFS($B$2:$B$1001,B585,$A$2:$A$1001,"&lt;"&amp;A585,$A$2:$A$1001,"&gt;="&amp;(A585-설정!$B$6),$H$2:$H$1001,"&gt;=0"))</f>
        <v/>
      </c>
      <c r="K585" s="21" t="str">
        <f aca="false">IF(I585="","",H585/I585-1)</f>
        <v/>
      </c>
      <c r="L585" s="19" t="str">
        <f aca="false">IF(H585="","",IF(J585&lt;설정!$B$7,"baseline 수집 중",IF(K585&lt;=-설정!$B$8,"저하","정상")))</f>
        <v/>
      </c>
      <c r="M585" s="20"/>
    </row>
    <row r="586" customFormat="false" ht="15" hidden="false" customHeight="false" outlineLevel="0" collapsed="false">
      <c r="A586" s="16"/>
      <c r="B586" s="17"/>
      <c r="C586" s="17"/>
      <c r="D586" s="17"/>
      <c r="E586" s="17"/>
      <c r="F586" s="17"/>
      <c r="G586" s="18" t="str">
        <f aca="false">IF(COUNT(D586:F586)=0,"",MAX(D586:F586))</f>
        <v/>
      </c>
      <c r="H586" s="18" t="str">
        <f aca="false">IF(COUNT(D586:F586)=0,"",ROUND(AVERAGE(D586:F586),1))</f>
        <v/>
      </c>
      <c r="I586" s="18" t="str">
        <f aca="false">IF(H586="","",IF(J586&lt;설정!$B$7,"",ROUND(AVERAGEIFS($H$2:$H$1001,$B$2:$B$1001,B586,$A$2:$A$1001,"&lt;"&amp;A586,$A$2:$A$1001,"&gt;="&amp;(A586-설정!$B$6)),1)))</f>
        <v/>
      </c>
      <c r="J586" s="18" t="str">
        <f aca="false">IF(H586="","",COUNTIFS($B$2:$B$1001,B586,$A$2:$A$1001,"&lt;"&amp;A586,$A$2:$A$1001,"&gt;="&amp;(A586-설정!$B$6),$H$2:$H$1001,"&gt;=0"))</f>
        <v/>
      </c>
      <c r="K586" s="21" t="str">
        <f aca="false">IF(I586="","",H586/I586-1)</f>
        <v/>
      </c>
      <c r="L586" s="19" t="str">
        <f aca="false">IF(H586="","",IF(J586&lt;설정!$B$7,"baseline 수집 중",IF(K586&lt;=-설정!$B$8,"저하","정상")))</f>
        <v/>
      </c>
      <c r="M586" s="20"/>
    </row>
    <row r="587" customFormat="false" ht="15" hidden="false" customHeight="false" outlineLevel="0" collapsed="false">
      <c r="A587" s="16"/>
      <c r="B587" s="17"/>
      <c r="C587" s="17"/>
      <c r="D587" s="17"/>
      <c r="E587" s="17"/>
      <c r="F587" s="17"/>
      <c r="G587" s="18" t="str">
        <f aca="false">IF(COUNT(D587:F587)=0,"",MAX(D587:F587))</f>
        <v/>
      </c>
      <c r="H587" s="18" t="str">
        <f aca="false">IF(COUNT(D587:F587)=0,"",ROUND(AVERAGE(D587:F587),1))</f>
        <v/>
      </c>
      <c r="I587" s="18" t="str">
        <f aca="false">IF(H587="","",IF(J587&lt;설정!$B$7,"",ROUND(AVERAGEIFS($H$2:$H$1001,$B$2:$B$1001,B587,$A$2:$A$1001,"&lt;"&amp;A587,$A$2:$A$1001,"&gt;="&amp;(A587-설정!$B$6)),1)))</f>
        <v/>
      </c>
      <c r="J587" s="18" t="str">
        <f aca="false">IF(H587="","",COUNTIFS($B$2:$B$1001,B587,$A$2:$A$1001,"&lt;"&amp;A587,$A$2:$A$1001,"&gt;="&amp;(A587-설정!$B$6),$H$2:$H$1001,"&gt;=0"))</f>
        <v/>
      </c>
      <c r="K587" s="21" t="str">
        <f aca="false">IF(I587="","",H587/I587-1)</f>
        <v/>
      </c>
      <c r="L587" s="19" t="str">
        <f aca="false">IF(H587="","",IF(J587&lt;설정!$B$7,"baseline 수집 중",IF(K587&lt;=-설정!$B$8,"저하","정상")))</f>
        <v/>
      </c>
      <c r="M587" s="20"/>
    </row>
    <row r="588" customFormat="false" ht="15" hidden="false" customHeight="false" outlineLevel="0" collapsed="false">
      <c r="A588" s="16"/>
      <c r="B588" s="17"/>
      <c r="C588" s="17"/>
      <c r="D588" s="17"/>
      <c r="E588" s="17"/>
      <c r="F588" s="17"/>
      <c r="G588" s="18" t="str">
        <f aca="false">IF(COUNT(D588:F588)=0,"",MAX(D588:F588))</f>
        <v/>
      </c>
      <c r="H588" s="18" t="str">
        <f aca="false">IF(COUNT(D588:F588)=0,"",ROUND(AVERAGE(D588:F588),1))</f>
        <v/>
      </c>
      <c r="I588" s="18" t="str">
        <f aca="false">IF(H588="","",IF(J588&lt;설정!$B$7,"",ROUND(AVERAGEIFS($H$2:$H$1001,$B$2:$B$1001,B588,$A$2:$A$1001,"&lt;"&amp;A588,$A$2:$A$1001,"&gt;="&amp;(A588-설정!$B$6)),1)))</f>
        <v/>
      </c>
      <c r="J588" s="18" t="str">
        <f aca="false">IF(H588="","",COUNTIFS($B$2:$B$1001,B588,$A$2:$A$1001,"&lt;"&amp;A588,$A$2:$A$1001,"&gt;="&amp;(A588-설정!$B$6),$H$2:$H$1001,"&gt;=0"))</f>
        <v/>
      </c>
      <c r="K588" s="21" t="str">
        <f aca="false">IF(I588="","",H588/I588-1)</f>
        <v/>
      </c>
      <c r="L588" s="19" t="str">
        <f aca="false">IF(H588="","",IF(J588&lt;설정!$B$7,"baseline 수집 중",IF(K588&lt;=-설정!$B$8,"저하","정상")))</f>
        <v/>
      </c>
      <c r="M588" s="20"/>
    </row>
    <row r="589" customFormat="false" ht="15" hidden="false" customHeight="false" outlineLevel="0" collapsed="false">
      <c r="A589" s="16"/>
      <c r="B589" s="17"/>
      <c r="C589" s="17"/>
      <c r="D589" s="17"/>
      <c r="E589" s="17"/>
      <c r="F589" s="17"/>
      <c r="G589" s="18" t="str">
        <f aca="false">IF(COUNT(D589:F589)=0,"",MAX(D589:F589))</f>
        <v/>
      </c>
      <c r="H589" s="18" t="str">
        <f aca="false">IF(COUNT(D589:F589)=0,"",ROUND(AVERAGE(D589:F589),1))</f>
        <v/>
      </c>
      <c r="I589" s="18" t="str">
        <f aca="false">IF(H589="","",IF(J589&lt;설정!$B$7,"",ROUND(AVERAGEIFS($H$2:$H$1001,$B$2:$B$1001,B589,$A$2:$A$1001,"&lt;"&amp;A589,$A$2:$A$1001,"&gt;="&amp;(A589-설정!$B$6)),1)))</f>
        <v/>
      </c>
      <c r="J589" s="18" t="str">
        <f aca="false">IF(H589="","",COUNTIFS($B$2:$B$1001,B589,$A$2:$A$1001,"&lt;"&amp;A589,$A$2:$A$1001,"&gt;="&amp;(A589-설정!$B$6),$H$2:$H$1001,"&gt;=0"))</f>
        <v/>
      </c>
      <c r="K589" s="21" t="str">
        <f aca="false">IF(I589="","",H589/I589-1)</f>
        <v/>
      </c>
      <c r="L589" s="19" t="str">
        <f aca="false">IF(H589="","",IF(J589&lt;설정!$B$7,"baseline 수집 중",IF(K589&lt;=-설정!$B$8,"저하","정상")))</f>
        <v/>
      </c>
      <c r="M589" s="20"/>
    </row>
    <row r="590" customFormat="false" ht="15" hidden="false" customHeight="false" outlineLevel="0" collapsed="false">
      <c r="A590" s="16"/>
      <c r="B590" s="17"/>
      <c r="C590" s="17"/>
      <c r="D590" s="17"/>
      <c r="E590" s="17"/>
      <c r="F590" s="17"/>
      <c r="G590" s="18" t="str">
        <f aca="false">IF(COUNT(D590:F590)=0,"",MAX(D590:F590))</f>
        <v/>
      </c>
      <c r="H590" s="18" t="str">
        <f aca="false">IF(COUNT(D590:F590)=0,"",ROUND(AVERAGE(D590:F590),1))</f>
        <v/>
      </c>
      <c r="I590" s="18" t="str">
        <f aca="false">IF(H590="","",IF(J590&lt;설정!$B$7,"",ROUND(AVERAGEIFS($H$2:$H$1001,$B$2:$B$1001,B590,$A$2:$A$1001,"&lt;"&amp;A590,$A$2:$A$1001,"&gt;="&amp;(A590-설정!$B$6)),1)))</f>
        <v/>
      </c>
      <c r="J590" s="18" t="str">
        <f aca="false">IF(H590="","",COUNTIFS($B$2:$B$1001,B590,$A$2:$A$1001,"&lt;"&amp;A590,$A$2:$A$1001,"&gt;="&amp;(A590-설정!$B$6),$H$2:$H$1001,"&gt;=0"))</f>
        <v/>
      </c>
      <c r="K590" s="21" t="str">
        <f aca="false">IF(I590="","",H590/I590-1)</f>
        <v/>
      </c>
      <c r="L590" s="19" t="str">
        <f aca="false">IF(H590="","",IF(J590&lt;설정!$B$7,"baseline 수집 중",IF(K590&lt;=-설정!$B$8,"저하","정상")))</f>
        <v/>
      </c>
      <c r="M590" s="20"/>
    </row>
    <row r="591" customFormat="false" ht="15" hidden="false" customHeight="false" outlineLevel="0" collapsed="false">
      <c r="A591" s="16"/>
      <c r="B591" s="17"/>
      <c r="C591" s="17"/>
      <c r="D591" s="17"/>
      <c r="E591" s="17"/>
      <c r="F591" s="17"/>
      <c r="G591" s="18" t="str">
        <f aca="false">IF(COUNT(D591:F591)=0,"",MAX(D591:F591))</f>
        <v/>
      </c>
      <c r="H591" s="18" t="str">
        <f aca="false">IF(COUNT(D591:F591)=0,"",ROUND(AVERAGE(D591:F591),1))</f>
        <v/>
      </c>
      <c r="I591" s="18" t="str">
        <f aca="false">IF(H591="","",IF(J591&lt;설정!$B$7,"",ROUND(AVERAGEIFS($H$2:$H$1001,$B$2:$B$1001,B591,$A$2:$A$1001,"&lt;"&amp;A591,$A$2:$A$1001,"&gt;="&amp;(A591-설정!$B$6)),1)))</f>
        <v/>
      </c>
      <c r="J591" s="18" t="str">
        <f aca="false">IF(H591="","",COUNTIFS($B$2:$B$1001,B591,$A$2:$A$1001,"&lt;"&amp;A591,$A$2:$A$1001,"&gt;="&amp;(A591-설정!$B$6),$H$2:$H$1001,"&gt;=0"))</f>
        <v/>
      </c>
      <c r="K591" s="21" t="str">
        <f aca="false">IF(I591="","",H591/I591-1)</f>
        <v/>
      </c>
      <c r="L591" s="19" t="str">
        <f aca="false">IF(H591="","",IF(J591&lt;설정!$B$7,"baseline 수집 중",IF(K591&lt;=-설정!$B$8,"저하","정상")))</f>
        <v/>
      </c>
      <c r="M591" s="20"/>
    </row>
    <row r="592" customFormat="false" ht="15" hidden="false" customHeight="false" outlineLevel="0" collapsed="false">
      <c r="A592" s="16"/>
      <c r="B592" s="17"/>
      <c r="C592" s="17"/>
      <c r="D592" s="17"/>
      <c r="E592" s="17"/>
      <c r="F592" s="17"/>
      <c r="G592" s="18" t="str">
        <f aca="false">IF(COUNT(D592:F592)=0,"",MAX(D592:F592))</f>
        <v/>
      </c>
      <c r="H592" s="18" t="str">
        <f aca="false">IF(COUNT(D592:F592)=0,"",ROUND(AVERAGE(D592:F592),1))</f>
        <v/>
      </c>
      <c r="I592" s="18" t="str">
        <f aca="false">IF(H592="","",IF(J592&lt;설정!$B$7,"",ROUND(AVERAGEIFS($H$2:$H$1001,$B$2:$B$1001,B592,$A$2:$A$1001,"&lt;"&amp;A592,$A$2:$A$1001,"&gt;="&amp;(A592-설정!$B$6)),1)))</f>
        <v/>
      </c>
      <c r="J592" s="18" t="str">
        <f aca="false">IF(H592="","",COUNTIFS($B$2:$B$1001,B592,$A$2:$A$1001,"&lt;"&amp;A592,$A$2:$A$1001,"&gt;="&amp;(A592-설정!$B$6),$H$2:$H$1001,"&gt;=0"))</f>
        <v/>
      </c>
      <c r="K592" s="21" t="str">
        <f aca="false">IF(I592="","",H592/I592-1)</f>
        <v/>
      </c>
      <c r="L592" s="19" t="str">
        <f aca="false">IF(H592="","",IF(J592&lt;설정!$B$7,"baseline 수집 중",IF(K592&lt;=-설정!$B$8,"저하","정상")))</f>
        <v/>
      </c>
      <c r="M592" s="20"/>
    </row>
    <row r="593" customFormat="false" ht="15" hidden="false" customHeight="false" outlineLevel="0" collapsed="false">
      <c r="A593" s="16"/>
      <c r="B593" s="17"/>
      <c r="C593" s="17"/>
      <c r="D593" s="17"/>
      <c r="E593" s="17"/>
      <c r="F593" s="17"/>
      <c r="G593" s="18" t="str">
        <f aca="false">IF(COUNT(D593:F593)=0,"",MAX(D593:F593))</f>
        <v/>
      </c>
      <c r="H593" s="18" t="str">
        <f aca="false">IF(COUNT(D593:F593)=0,"",ROUND(AVERAGE(D593:F593),1))</f>
        <v/>
      </c>
      <c r="I593" s="18" t="str">
        <f aca="false">IF(H593="","",IF(J593&lt;설정!$B$7,"",ROUND(AVERAGEIFS($H$2:$H$1001,$B$2:$B$1001,B593,$A$2:$A$1001,"&lt;"&amp;A593,$A$2:$A$1001,"&gt;="&amp;(A593-설정!$B$6)),1)))</f>
        <v/>
      </c>
      <c r="J593" s="18" t="str">
        <f aca="false">IF(H593="","",COUNTIFS($B$2:$B$1001,B593,$A$2:$A$1001,"&lt;"&amp;A593,$A$2:$A$1001,"&gt;="&amp;(A593-설정!$B$6),$H$2:$H$1001,"&gt;=0"))</f>
        <v/>
      </c>
      <c r="K593" s="21" t="str">
        <f aca="false">IF(I593="","",H593/I593-1)</f>
        <v/>
      </c>
      <c r="L593" s="19" t="str">
        <f aca="false">IF(H593="","",IF(J593&lt;설정!$B$7,"baseline 수집 중",IF(K593&lt;=-설정!$B$8,"저하","정상")))</f>
        <v/>
      </c>
      <c r="M593" s="20"/>
    </row>
    <row r="594" customFormat="false" ht="15" hidden="false" customHeight="false" outlineLevel="0" collapsed="false">
      <c r="A594" s="16"/>
      <c r="B594" s="17"/>
      <c r="C594" s="17"/>
      <c r="D594" s="17"/>
      <c r="E594" s="17"/>
      <c r="F594" s="17"/>
      <c r="G594" s="18" t="str">
        <f aca="false">IF(COUNT(D594:F594)=0,"",MAX(D594:F594))</f>
        <v/>
      </c>
      <c r="H594" s="18" t="str">
        <f aca="false">IF(COUNT(D594:F594)=0,"",ROUND(AVERAGE(D594:F594),1))</f>
        <v/>
      </c>
      <c r="I594" s="18" t="str">
        <f aca="false">IF(H594="","",IF(J594&lt;설정!$B$7,"",ROUND(AVERAGEIFS($H$2:$H$1001,$B$2:$B$1001,B594,$A$2:$A$1001,"&lt;"&amp;A594,$A$2:$A$1001,"&gt;="&amp;(A594-설정!$B$6)),1)))</f>
        <v/>
      </c>
      <c r="J594" s="18" t="str">
        <f aca="false">IF(H594="","",COUNTIFS($B$2:$B$1001,B594,$A$2:$A$1001,"&lt;"&amp;A594,$A$2:$A$1001,"&gt;="&amp;(A594-설정!$B$6),$H$2:$H$1001,"&gt;=0"))</f>
        <v/>
      </c>
      <c r="K594" s="21" t="str">
        <f aca="false">IF(I594="","",H594/I594-1)</f>
        <v/>
      </c>
      <c r="L594" s="19" t="str">
        <f aca="false">IF(H594="","",IF(J594&lt;설정!$B$7,"baseline 수집 중",IF(K594&lt;=-설정!$B$8,"저하","정상")))</f>
        <v/>
      </c>
      <c r="M594" s="20"/>
    </row>
    <row r="595" customFormat="false" ht="15" hidden="false" customHeight="false" outlineLevel="0" collapsed="false">
      <c r="A595" s="16"/>
      <c r="B595" s="17"/>
      <c r="C595" s="17"/>
      <c r="D595" s="17"/>
      <c r="E595" s="17"/>
      <c r="F595" s="17"/>
      <c r="G595" s="18" t="str">
        <f aca="false">IF(COUNT(D595:F595)=0,"",MAX(D595:F595))</f>
        <v/>
      </c>
      <c r="H595" s="18" t="str">
        <f aca="false">IF(COUNT(D595:F595)=0,"",ROUND(AVERAGE(D595:F595),1))</f>
        <v/>
      </c>
      <c r="I595" s="18" t="str">
        <f aca="false">IF(H595="","",IF(J595&lt;설정!$B$7,"",ROUND(AVERAGEIFS($H$2:$H$1001,$B$2:$B$1001,B595,$A$2:$A$1001,"&lt;"&amp;A595,$A$2:$A$1001,"&gt;="&amp;(A595-설정!$B$6)),1)))</f>
        <v/>
      </c>
      <c r="J595" s="18" t="str">
        <f aca="false">IF(H595="","",COUNTIFS($B$2:$B$1001,B595,$A$2:$A$1001,"&lt;"&amp;A595,$A$2:$A$1001,"&gt;="&amp;(A595-설정!$B$6),$H$2:$H$1001,"&gt;=0"))</f>
        <v/>
      </c>
      <c r="K595" s="21" t="str">
        <f aca="false">IF(I595="","",H595/I595-1)</f>
        <v/>
      </c>
      <c r="L595" s="19" t="str">
        <f aca="false">IF(H595="","",IF(J595&lt;설정!$B$7,"baseline 수집 중",IF(K595&lt;=-설정!$B$8,"저하","정상")))</f>
        <v/>
      </c>
      <c r="M595" s="20"/>
    </row>
    <row r="596" customFormat="false" ht="15" hidden="false" customHeight="false" outlineLevel="0" collapsed="false">
      <c r="A596" s="16"/>
      <c r="B596" s="17"/>
      <c r="C596" s="17"/>
      <c r="D596" s="17"/>
      <c r="E596" s="17"/>
      <c r="F596" s="17"/>
      <c r="G596" s="18" t="str">
        <f aca="false">IF(COUNT(D596:F596)=0,"",MAX(D596:F596))</f>
        <v/>
      </c>
      <c r="H596" s="18" t="str">
        <f aca="false">IF(COUNT(D596:F596)=0,"",ROUND(AVERAGE(D596:F596),1))</f>
        <v/>
      </c>
      <c r="I596" s="18" t="str">
        <f aca="false">IF(H596="","",IF(J596&lt;설정!$B$7,"",ROUND(AVERAGEIFS($H$2:$H$1001,$B$2:$B$1001,B596,$A$2:$A$1001,"&lt;"&amp;A596,$A$2:$A$1001,"&gt;="&amp;(A596-설정!$B$6)),1)))</f>
        <v/>
      </c>
      <c r="J596" s="18" t="str">
        <f aca="false">IF(H596="","",COUNTIFS($B$2:$B$1001,B596,$A$2:$A$1001,"&lt;"&amp;A596,$A$2:$A$1001,"&gt;="&amp;(A596-설정!$B$6),$H$2:$H$1001,"&gt;=0"))</f>
        <v/>
      </c>
      <c r="K596" s="21" t="str">
        <f aca="false">IF(I596="","",H596/I596-1)</f>
        <v/>
      </c>
      <c r="L596" s="19" t="str">
        <f aca="false">IF(H596="","",IF(J596&lt;설정!$B$7,"baseline 수집 중",IF(K596&lt;=-설정!$B$8,"저하","정상")))</f>
        <v/>
      </c>
      <c r="M596" s="20"/>
    </row>
    <row r="597" customFormat="false" ht="15" hidden="false" customHeight="false" outlineLevel="0" collapsed="false">
      <c r="A597" s="16"/>
      <c r="B597" s="17"/>
      <c r="C597" s="17"/>
      <c r="D597" s="17"/>
      <c r="E597" s="17"/>
      <c r="F597" s="17"/>
      <c r="G597" s="18" t="str">
        <f aca="false">IF(COUNT(D597:F597)=0,"",MAX(D597:F597))</f>
        <v/>
      </c>
      <c r="H597" s="18" t="str">
        <f aca="false">IF(COUNT(D597:F597)=0,"",ROUND(AVERAGE(D597:F597),1))</f>
        <v/>
      </c>
      <c r="I597" s="18" t="str">
        <f aca="false">IF(H597="","",IF(J597&lt;설정!$B$7,"",ROUND(AVERAGEIFS($H$2:$H$1001,$B$2:$B$1001,B597,$A$2:$A$1001,"&lt;"&amp;A597,$A$2:$A$1001,"&gt;="&amp;(A597-설정!$B$6)),1)))</f>
        <v/>
      </c>
      <c r="J597" s="18" t="str">
        <f aca="false">IF(H597="","",COUNTIFS($B$2:$B$1001,B597,$A$2:$A$1001,"&lt;"&amp;A597,$A$2:$A$1001,"&gt;="&amp;(A597-설정!$B$6),$H$2:$H$1001,"&gt;=0"))</f>
        <v/>
      </c>
      <c r="K597" s="21" t="str">
        <f aca="false">IF(I597="","",H597/I597-1)</f>
        <v/>
      </c>
      <c r="L597" s="19" t="str">
        <f aca="false">IF(H597="","",IF(J597&lt;설정!$B$7,"baseline 수집 중",IF(K597&lt;=-설정!$B$8,"저하","정상")))</f>
        <v/>
      </c>
      <c r="M597" s="20"/>
    </row>
    <row r="598" customFormat="false" ht="15" hidden="false" customHeight="false" outlineLevel="0" collapsed="false">
      <c r="A598" s="16"/>
      <c r="B598" s="17"/>
      <c r="C598" s="17"/>
      <c r="D598" s="17"/>
      <c r="E598" s="17"/>
      <c r="F598" s="17"/>
      <c r="G598" s="18" t="str">
        <f aca="false">IF(COUNT(D598:F598)=0,"",MAX(D598:F598))</f>
        <v/>
      </c>
      <c r="H598" s="18" t="str">
        <f aca="false">IF(COUNT(D598:F598)=0,"",ROUND(AVERAGE(D598:F598),1))</f>
        <v/>
      </c>
      <c r="I598" s="18" t="str">
        <f aca="false">IF(H598="","",IF(J598&lt;설정!$B$7,"",ROUND(AVERAGEIFS($H$2:$H$1001,$B$2:$B$1001,B598,$A$2:$A$1001,"&lt;"&amp;A598,$A$2:$A$1001,"&gt;="&amp;(A598-설정!$B$6)),1)))</f>
        <v/>
      </c>
      <c r="J598" s="18" t="str">
        <f aca="false">IF(H598="","",COUNTIFS($B$2:$B$1001,B598,$A$2:$A$1001,"&lt;"&amp;A598,$A$2:$A$1001,"&gt;="&amp;(A598-설정!$B$6),$H$2:$H$1001,"&gt;=0"))</f>
        <v/>
      </c>
      <c r="K598" s="21" t="str">
        <f aca="false">IF(I598="","",H598/I598-1)</f>
        <v/>
      </c>
      <c r="L598" s="19" t="str">
        <f aca="false">IF(H598="","",IF(J598&lt;설정!$B$7,"baseline 수집 중",IF(K598&lt;=-설정!$B$8,"저하","정상")))</f>
        <v/>
      </c>
      <c r="M598" s="20"/>
    </row>
    <row r="599" customFormat="false" ht="15" hidden="false" customHeight="false" outlineLevel="0" collapsed="false">
      <c r="A599" s="16"/>
      <c r="B599" s="17"/>
      <c r="C599" s="17"/>
      <c r="D599" s="17"/>
      <c r="E599" s="17"/>
      <c r="F599" s="17"/>
      <c r="G599" s="18" t="str">
        <f aca="false">IF(COUNT(D599:F599)=0,"",MAX(D599:F599))</f>
        <v/>
      </c>
      <c r="H599" s="18" t="str">
        <f aca="false">IF(COUNT(D599:F599)=0,"",ROUND(AVERAGE(D599:F599),1))</f>
        <v/>
      </c>
      <c r="I599" s="18" t="str">
        <f aca="false">IF(H599="","",IF(J599&lt;설정!$B$7,"",ROUND(AVERAGEIFS($H$2:$H$1001,$B$2:$B$1001,B599,$A$2:$A$1001,"&lt;"&amp;A599,$A$2:$A$1001,"&gt;="&amp;(A599-설정!$B$6)),1)))</f>
        <v/>
      </c>
      <c r="J599" s="18" t="str">
        <f aca="false">IF(H599="","",COUNTIFS($B$2:$B$1001,B599,$A$2:$A$1001,"&lt;"&amp;A599,$A$2:$A$1001,"&gt;="&amp;(A599-설정!$B$6),$H$2:$H$1001,"&gt;=0"))</f>
        <v/>
      </c>
      <c r="K599" s="21" t="str">
        <f aca="false">IF(I599="","",H599/I599-1)</f>
        <v/>
      </c>
      <c r="L599" s="19" t="str">
        <f aca="false">IF(H599="","",IF(J599&lt;설정!$B$7,"baseline 수집 중",IF(K599&lt;=-설정!$B$8,"저하","정상")))</f>
        <v/>
      </c>
      <c r="M599" s="20"/>
    </row>
    <row r="600" customFormat="false" ht="15" hidden="false" customHeight="false" outlineLevel="0" collapsed="false">
      <c r="A600" s="16"/>
      <c r="B600" s="17"/>
      <c r="C600" s="17"/>
      <c r="D600" s="17"/>
      <c r="E600" s="17"/>
      <c r="F600" s="17"/>
      <c r="G600" s="18" t="str">
        <f aca="false">IF(COUNT(D600:F600)=0,"",MAX(D600:F600))</f>
        <v/>
      </c>
      <c r="H600" s="18" t="str">
        <f aca="false">IF(COUNT(D600:F600)=0,"",ROUND(AVERAGE(D600:F600),1))</f>
        <v/>
      </c>
      <c r="I600" s="18" t="str">
        <f aca="false">IF(H600="","",IF(J600&lt;설정!$B$7,"",ROUND(AVERAGEIFS($H$2:$H$1001,$B$2:$B$1001,B600,$A$2:$A$1001,"&lt;"&amp;A600,$A$2:$A$1001,"&gt;="&amp;(A600-설정!$B$6)),1)))</f>
        <v/>
      </c>
      <c r="J600" s="18" t="str">
        <f aca="false">IF(H600="","",COUNTIFS($B$2:$B$1001,B600,$A$2:$A$1001,"&lt;"&amp;A600,$A$2:$A$1001,"&gt;="&amp;(A600-설정!$B$6),$H$2:$H$1001,"&gt;=0"))</f>
        <v/>
      </c>
      <c r="K600" s="21" t="str">
        <f aca="false">IF(I600="","",H600/I600-1)</f>
        <v/>
      </c>
      <c r="L600" s="19" t="str">
        <f aca="false">IF(H600="","",IF(J600&lt;설정!$B$7,"baseline 수집 중",IF(K600&lt;=-설정!$B$8,"저하","정상")))</f>
        <v/>
      </c>
      <c r="M600" s="20"/>
    </row>
    <row r="601" customFormat="false" ht="15" hidden="false" customHeight="false" outlineLevel="0" collapsed="false">
      <c r="A601" s="16"/>
      <c r="B601" s="17"/>
      <c r="C601" s="17"/>
      <c r="D601" s="17"/>
      <c r="E601" s="17"/>
      <c r="F601" s="17"/>
      <c r="G601" s="18" t="str">
        <f aca="false">IF(COUNT(D601:F601)=0,"",MAX(D601:F601))</f>
        <v/>
      </c>
      <c r="H601" s="18" t="str">
        <f aca="false">IF(COUNT(D601:F601)=0,"",ROUND(AVERAGE(D601:F601),1))</f>
        <v/>
      </c>
      <c r="I601" s="18" t="str">
        <f aca="false">IF(H601="","",IF(J601&lt;설정!$B$7,"",ROUND(AVERAGEIFS($H$2:$H$1001,$B$2:$B$1001,B601,$A$2:$A$1001,"&lt;"&amp;A601,$A$2:$A$1001,"&gt;="&amp;(A601-설정!$B$6)),1)))</f>
        <v/>
      </c>
      <c r="J601" s="18" t="str">
        <f aca="false">IF(H601="","",COUNTIFS($B$2:$B$1001,B601,$A$2:$A$1001,"&lt;"&amp;A601,$A$2:$A$1001,"&gt;="&amp;(A601-설정!$B$6),$H$2:$H$1001,"&gt;=0"))</f>
        <v/>
      </c>
      <c r="K601" s="21" t="str">
        <f aca="false">IF(I601="","",H601/I601-1)</f>
        <v/>
      </c>
      <c r="L601" s="19" t="str">
        <f aca="false">IF(H601="","",IF(J601&lt;설정!$B$7,"baseline 수집 중",IF(K601&lt;=-설정!$B$8,"저하","정상")))</f>
        <v/>
      </c>
      <c r="M601" s="20"/>
    </row>
    <row r="602" customFormat="false" ht="15" hidden="false" customHeight="false" outlineLevel="0" collapsed="false">
      <c r="A602" s="16"/>
      <c r="B602" s="17"/>
      <c r="C602" s="17"/>
      <c r="D602" s="17"/>
      <c r="E602" s="17"/>
      <c r="F602" s="17"/>
      <c r="G602" s="18" t="str">
        <f aca="false">IF(COUNT(D602:F602)=0,"",MAX(D602:F602))</f>
        <v/>
      </c>
      <c r="H602" s="18" t="str">
        <f aca="false">IF(COUNT(D602:F602)=0,"",ROUND(AVERAGE(D602:F602),1))</f>
        <v/>
      </c>
      <c r="I602" s="18" t="str">
        <f aca="false">IF(H602="","",IF(J602&lt;설정!$B$7,"",ROUND(AVERAGEIFS($H$2:$H$1001,$B$2:$B$1001,B602,$A$2:$A$1001,"&lt;"&amp;A602,$A$2:$A$1001,"&gt;="&amp;(A602-설정!$B$6)),1)))</f>
        <v/>
      </c>
      <c r="J602" s="18" t="str">
        <f aca="false">IF(H602="","",COUNTIFS($B$2:$B$1001,B602,$A$2:$A$1001,"&lt;"&amp;A602,$A$2:$A$1001,"&gt;="&amp;(A602-설정!$B$6),$H$2:$H$1001,"&gt;=0"))</f>
        <v/>
      </c>
      <c r="K602" s="21" t="str">
        <f aca="false">IF(I602="","",H602/I602-1)</f>
        <v/>
      </c>
      <c r="L602" s="19" t="str">
        <f aca="false">IF(H602="","",IF(J602&lt;설정!$B$7,"baseline 수집 중",IF(K602&lt;=-설정!$B$8,"저하","정상")))</f>
        <v/>
      </c>
      <c r="M602" s="20"/>
    </row>
    <row r="603" customFormat="false" ht="15" hidden="false" customHeight="false" outlineLevel="0" collapsed="false">
      <c r="A603" s="16"/>
      <c r="B603" s="17"/>
      <c r="C603" s="17"/>
      <c r="D603" s="17"/>
      <c r="E603" s="17"/>
      <c r="F603" s="17"/>
      <c r="G603" s="18" t="str">
        <f aca="false">IF(COUNT(D603:F603)=0,"",MAX(D603:F603))</f>
        <v/>
      </c>
      <c r="H603" s="18" t="str">
        <f aca="false">IF(COUNT(D603:F603)=0,"",ROUND(AVERAGE(D603:F603),1))</f>
        <v/>
      </c>
      <c r="I603" s="18" t="str">
        <f aca="false">IF(H603="","",IF(J603&lt;설정!$B$7,"",ROUND(AVERAGEIFS($H$2:$H$1001,$B$2:$B$1001,B603,$A$2:$A$1001,"&lt;"&amp;A603,$A$2:$A$1001,"&gt;="&amp;(A603-설정!$B$6)),1)))</f>
        <v/>
      </c>
      <c r="J603" s="18" t="str">
        <f aca="false">IF(H603="","",COUNTIFS($B$2:$B$1001,B603,$A$2:$A$1001,"&lt;"&amp;A603,$A$2:$A$1001,"&gt;="&amp;(A603-설정!$B$6),$H$2:$H$1001,"&gt;=0"))</f>
        <v/>
      </c>
      <c r="K603" s="21" t="str">
        <f aca="false">IF(I603="","",H603/I603-1)</f>
        <v/>
      </c>
      <c r="L603" s="19" t="str">
        <f aca="false">IF(H603="","",IF(J603&lt;설정!$B$7,"baseline 수집 중",IF(K603&lt;=-설정!$B$8,"저하","정상")))</f>
        <v/>
      </c>
      <c r="M603" s="20"/>
    </row>
    <row r="604" customFormat="false" ht="15" hidden="false" customHeight="false" outlineLevel="0" collapsed="false">
      <c r="A604" s="16"/>
      <c r="B604" s="17"/>
      <c r="C604" s="17"/>
      <c r="D604" s="17"/>
      <c r="E604" s="17"/>
      <c r="F604" s="17"/>
      <c r="G604" s="18" t="str">
        <f aca="false">IF(COUNT(D604:F604)=0,"",MAX(D604:F604))</f>
        <v/>
      </c>
      <c r="H604" s="18" t="str">
        <f aca="false">IF(COUNT(D604:F604)=0,"",ROUND(AVERAGE(D604:F604),1))</f>
        <v/>
      </c>
      <c r="I604" s="18" t="str">
        <f aca="false">IF(H604="","",IF(J604&lt;설정!$B$7,"",ROUND(AVERAGEIFS($H$2:$H$1001,$B$2:$B$1001,B604,$A$2:$A$1001,"&lt;"&amp;A604,$A$2:$A$1001,"&gt;="&amp;(A604-설정!$B$6)),1)))</f>
        <v/>
      </c>
      <c r="J604" s="18" t="str">
        <f aca="false">IF(H604="","",COUNTIFS($B$2:$B$1001,B604,$A$2:$A$1001,"&lt;"&amp;A604,$A$2:$A$1001,"&gt;="&amp;(A604-설정!$B$6),$H$2:$H$1001,"&gt;=0"))</f>
        <v/>
      </c>
      <c r="K604" s="21" t="str">
        <f aca="false">IF(I604="","",H604/I604-1)</f>
        <v/>
      </c>
      <c r="L604" s="19" t="str">
        <f aca="false">IF(H604="","",IF(J604&lt;설정!$B$7,"baseline 수집 중",IF(K604&lt;=-설정!$B$8,"저하","정상")))</f>
        <v/>
      </c>
      <c r="M604" s="20"/>
    </row>
    <row r="605" customFormat="false" ht="15" hidden="false" customHeight="false" outlineLevel="0" collapsed="false">
      <c r="A605" s="16"/>
      <c r="B605" s="17"/>
      <c r="C605" s="17"/>
      <c r="D605" s="17"/>
      <c r="E605" s="17"/>
      <c r="F605" s="17"/>
      <c r="G605" s="18" t="str">
        <f aca="false">IF(COUNT(D605:F605)=0,"",MAX(D605:F605))</f>
        <v/>
      </c>
      <c r="H605" s="18" t="str">
        <f aca="false">IF(COUNT(D605:F605)=0,"",ROUND(AVERAGE(D605:F605),1))</f>
        <v/>
      </c>
      <c r="I605" s="18" t="str">
        <f aca="false">IF(H605="","",IF(J605&lt;설정!$B$7,"",ROUND(AVERAGEIFS($H$2:$H$1001,$B$2:$B$1001,B605,$A$2:$A$1001,"&lt;"&amp;A605,$A$2:$A$1001,"&gt;="&amp;(A605-설정!$B$6)),1)))</f>
        <v/>
      </c>
      <c r="J605" s="18" t="str">
        <f aca="false">IF(H605="","",COUNTIFS($B$2:$B$1001,B605,$A$2:$A$1001,"&lt;"&amp;A605,$A$2:$A$1001,"&gt;="&amp;(A605-설정!$B$6),$H$2:$H$1001,"&gt;=0"))</f>
        <v/>
      </c>
      <c r="K605" s="21" t="str">
        <f aca="false">IF(I605="","",H605/I605-1)</f>
        <v/>
      </c>
      <c r="L605" s="19" t="str">
        <f aca="false">IF(H605="","",IF(J605&lt;설정!$B$7,"baseline 수집 중",IF(K605&lt;=-설정!$B$8,"저하","정상")))</f>
        <v/>
      </c>
      <c r="M605" s="20"/>
    </row>
    <row r="606" customFormat="false" ht="15" hidden="false" customHeight="false" outlineLevel="0" collapsed="false">
      <c r="A606" s="16"/>
      <c r="B606" s="17"/>
      <c r="C606" s="17"/>
      <c r="D606" s="17"/>
      <c r="E606" s="17"/>
      <c r="F606" s="17"/>
      <c r="G606" s="18" t="str">
        <f aca="false">IF(COUNT(D606:F606)=0,"",MAX(D606:F606))</f>
        <v/>
      </c>
      <c r="H606" s="18" t="str">
        <f aca="false">IF(COUNT(D606:F606)=0,"",ROUND(AVERAGE(D606:F606),1))</f>
        <v/>
      </c>
      <c r="I606" s="18" t="str">
        <f aca="false">IF(H606="","",IF(J606&lt;설정!$B$7,"",ROUND(AVERAGEIFS($H$2:$H$1001,$B$2:$B$1001,B606,$A$2:$A$1001,"&lt;"&amp;A606,$A$2:$A$1001,"&gt;="&amp;(A606-설정!$B$6)),1)))</f>
        <v/>
      </c>
      <c r="J606" s="18" t="str">
        <f aca="false">IF(H606="","",COUNTIFS($B$2:$B$1001,B606,$A$2:$A$1001,"&lt;"&amp;A606,$A$2:$A$1001,"&gt;="&amp;(A606-설정!$B$6),$H$2:$H$1001,"&gt;=0"))</f>
        <v/>
      </c>
      <c r="K606" s="21" t="str">
        <f aca="false">IF(I606="","",H606/I606-1)</f>
        <v/>
      </c>
      <c r="L606" s="19" t="str">
        <f aca="false">IF(H606="","",IF(J606&lt;설정!$B$7,"baseline 수집 중",IF(K606&lt;=-설정!$B$8,"저하","정상")))</f>
        <v/>
      </c>
      <c r="M606" s="20"/>
    </row>
    <row r="607" customFormat="false" ht="15" hidden="false" customHeight="false" outlineLevel="0" collapsed="false">
      <c r="A607" s="16"/>
      <c r="B607" s="17"/>
      <c r="C607" s="17"/>
      <c r="D607" s="17"/>
      <c r="E607" s="17"/>
      <c r="F607" s="17"/>
      <c r="G607" s="18" t="str">
        <f aca="false">IF(COUNT(D607:F607)=0,"",MAX(D607:F607))</f>
        <v/>
      </c>
      <c r="H607" s="18" t="str">
        <f aca="false">IF(COUNT(D607:F607)=0,"",ROUND(AVERAGE(D607:F607),1))</f>
        <v/>
      </c>
      <c r="I607" s="18" t="str">
        <f aca="false">IF(H607="","",IF(J607&lt;설정!$B$7,"",ROUND(AVERAGEIFS($H$2:$H$1001,$B$2:$B$1001,B607,$A$2:$A$1001,"&lt;"&amp;A607,$A$2:$A$1001,"&gt;="&amp;(A607-설정!$B$6)),1)))</f>
        <v/>
      </c>
      <c r="J607" s="18" t="str">
        <f aca="false">IF(H607="","",COUNTIFS($B$2:$B$1001,B607,$A$2:$A$1001,"&lt;"&amp;A607,$A$2:$A$1001,"&gt;="&amp;(A607-설정!$B$6),$H$2:$H$1001,"&gt;=0"))</f>
        <v/>
      </c>
      <c r="K607" s="21" t="str">
        <f aca="false">IF(I607="","",H607/I607-1)</f>
        <v/>
      </c>
      <c r="L607" s="19" t="str">
        <f aca="false">IF(H607="","",IF(J607&lt;설정!$B$7,"baseline 수집 중",IF(K607&lt;=-설정!$B$8,"저하","정상")))</f>
        <v/>
      </c>
      <c r="M607" s="20"/>
    </row>
    <row r="608" customFormat="false" ht="15" hidden="false" customHeight="false" outlineLevel="0" collapsed="false">
      <c r="A608" s="16"/>
      <c r="B608" s="17"/>
      <c r="C608" s="17"/>
      <c r="D608" s="17"/>
      <c r="E608" s="17"/>
      <c r="F608" s="17"/>
      <c r="G608" s="18" t="str">
        <f aca="false">IF(COUNT(D608:F608)=0,"",MAX(D608:F608))</f>
        <v/>
      </c>
      <c r="H608" s="18" t="str">
        <f aca="false">IF(COUNT(D608:F608)=0,"",ROUND(AVERAGE(D608:F608),1))</f>
        <v/>
      </c>
      <c r="I608" s="18" t="str">
        <f aca="false">IF(H608="","",IF(J608&lt;설정!$B$7,"",ROUND(AVERAGEIFS($H$2:$H$1001,$B$2:$B$1001,B608,$A$2:$A$1001,"&lt;"&amp;A608,$A$2:$A$1001,"&gt;="&amp;(A608-설정!$B$6)),1)))</f>
        <v/>
      </c>
      <c r="J608" s="18" t="str">
        <f aca="false">IF(H608="","",COUNTIFS($B$2:$B$1001,B608,$A$2:$A$1001,"&lt;"&amp;A608,$A$2:$A$1001,"&gt;="&amp;(A608-설정!$B$6),$H$2:$H$1001,"&gt;=0"))</f>
        <v/>
      </c>
      <c r="K608" s="21" t="str">
        <f aca="false">IF(I608="","",H608/I608-1)</f>
        <v/>
      </c>
      <c r="L608" s="19" t="str">
        <f aca="false">IF(H608="","",IF(J608&lt;설정!$B$7,"baseline 수집 중",IF(K608&lt;=-설정!$B$8,"저하","정상")))</f>
        <v/>
      </c>
      <c r="M608" s="20"/>
    </row>
    <row r="609" customFormat="false" ht="15" hidden="false" customHeight="false" outlineLevel="0" collapsed="false">
      <c r="A609" s="16"/>
      <c r="B609" s="17"/>
      <c r="C609" s="17"/>
      <c r="D609" s="17"/>
      <c r="E609" s="17"/>
      <c r="F609" s="17"/>
      <c r="G609" s="18" t="str">
        <f aca="false">IF(COUNT(D609:F609)=0,"",MAX(D609:F609))</f>
        <v/>
      </c>
      <c r="H609" s="18" t="str">
        <f aca="false">IF(COUNT(D609:F609)=0,"",ROUND(AVERAGE(D609:F609),1))</f>
        <v/>
      </c>
      <c r="I609" s="18" t="str">
        <f aca="false">IF(H609="","",IF(J609&lt;설정!$B$7,"",ROUND(AVERAGEIFS($H$2:$H$1001,$B$2:$B$1001,B609,$A$2:$A$1001,"&lt;"&amp;A609,$A$2:$A$1001,"&gt;="&amp;(A609-설정!$B$6)),1)))</f>
        <v/>
      </c>
      <c r="J609" s="18" t="str">
        <f aca="false">IF(H609="","",COUNTIFS($B$2:$B$1001,B609,$A$2:$A$1001,"&lt;"&amp;A609,$A$2:$A$1001,"&gt;="&amp;(A609-설정!$B$6),$H$2:$H$1001,"&gt;=0"))</f>
        <v/>
      </c>
      <c r="K609" s="21" t="str">
        <f aca="false">IF(I609="","",H609/I609-1)</f>
        <v/>
      </c>
      <c r="L609" s="19" t="str">
        <f aca="false">IF(H609="","",IF(J609&lt;설정!$B$7,"baseline 수집 중",IF(K609&lt;=-설정!$B$8,"저하","정상")))</f>
        <v/>
      </c>
      <c r="M609" s="20"/>
    </row>
    <row r="610" customFormat="false" ht="15" hidden="false" customHeight="false" outlineLevel="0" collapsed="false">
      <c r="A610" s="16"/>
      <c r="B610" s="17"/>
      <c r="C610" s="17"/>
      <c r="D610" s="17"/>
      <c r="E610" s="17"/>
      <c r="F610" s="17"/>
      <c r="G610" s="18" t="str">
        <f aca="false">IF(COUNT(D610:F610)=0,"",MAX(D610:F610))</f>
        <v/>
      </c>
      <c r="H610" s="18" t="str">
        <f aca="false">IF(COUNT(D610:F610)=0,"",ROUND(AVERAGE(D610:F610),1))</f>
        <v/>
      </c>
      <c r="I610" s="18" t="str">
        <f aca="false">IF(H610="","",IF(J610&lt;설정!$B$7,"",ROUND(AVERAGEIFS($H$2:$H$1001,$B$2:$B$1001,B610,$A$2:$A$1001,"&lt;"&amp;A610,$A$2:$A$1001,"&gt;="&amp;(A610-설정!$B$6)),1)))</f>
        <v/>
      </c>
      <c r="J610" s="18" t="str">
        <f aca="false">IF(H610="","",COUNTIFS($B$2:$B$1001,B610,$A$2:$A$1001,"&lt;"&amp;A610,$A$2:$A$1001,"&gt;="&amp;(A610-설정!$B$6),$H$2:$H$1001,"&gt;=0"))</f>
        <v/>
      </c>
      <c r="K610" s="21" t="str">
        <f aca="false">IF(I610="","",H610/I610-1)</f>
        <v/>
      </c>
      <c r="L610" s="19" t="str">
        <f aca="false">IF(H610="","",IF(J610&lt;설정!$B$7,"baseline 수집 중",IF(K610&lt;=-설정!$B$8,"저하","정상")))</f>
        <v/>
      </c>
      <c r="M610" s="20"/>
    </row>
    <row r="611" customFormat="false" ht="15" hidden="false" customHeight="false" outlineLevel="0" collapsed="false">
      <c r="A611" s="16"/>
      <c r="B611" s="17"/>
      <c r="C611" s="17"/>
      <c r="D611" s="17"/>
      <c r="E611" s="17"/>
      <c r="F611" s="17"/>
      <c r="G611" s="18" t="str">
        <f aca="false">IF(COUNT(D611:F611)=0,"",MAX(D611:F611))</f>
        <v/>
      </c>
      <c r="H611" s="18" t="str">
        <f aca="false">IF(COUNT(D611:F611)=0,"",ROUND(AVERAGE(D611:F611),1))</f>
        <v/>
      </c>
      <c r="I611" s="18" t="str">
        <f aca="false">IF(H611="","",IF(J611&lt;설정!$B$7,"",ROUND(AVERAGEIFS($H$2:$H$1001,$B$2:$B$1001,B611,$A$2:$A$1001,"&lt;"&amp;A611,$A$2:$A$1001,"&gt;="&amp;(A611-설정!$B$6)),1)))</f>
        <v/>
      </c>
      <c r="J611" s="18" t="str">
        <f aca="false">IF(H611="","",COUNTIFS($B$2:$B$1001,B611,$A$2:$A$1001,"&lt;"&amp;A611,$A$2:$A$1001,"&gt;="&amp;(A611-설정!$B$6),$H$2:$H$1001,"&gt;=0"))</f>
        <v/>
      </c>
      <c r="K611" s="21" t="str">
        <f aca="false">IF(I611="","",H611/I611-1)</f>
        <v/>
      </c>
      <c r="L611" s="19" t="str">
        <f aca="false">IF(H611="","",IF(J611&lt;설정!$B$7,"baseline 수집 중",IF(K611&lt;=-설정!$B$8,"저하","정상")))</f>
        <v/>
      </c>
      <c r="M611" s="20"/>
    </row>
    <row r="612" customFormat="false" ht="15" hidden="false" customHeight="false" outlineLevel="0" collapsed="false">
      <c r="A612" s="16"/>
      <c r="B612" s="17"/>
      <c r="C612" s="17"/>
      <c r="D612" s="17"/>
      <c r="E612" s="17"/>
      <c r="F612" s="17"/>
      <c r="G612" s="18" t="str">
        <f aca="false">IF(COUNT(D612:F612)=0,"",MAX(D612:F612))</f>
        <v/>
      </c>
      <c r="H612" s="18" t="str">
        <f aca="false">IF(COUNT(D612:F612)=0,"",ROUND(AVERAGE(D612:F612),1))</f>
        <v/>
      </c>
      <c r="I612" s="18" t="str">
        <f aca="false">IF(H612="","",IF(J612&lt;설정!$B$7,"",ROUND(AVERAGEIFS($H$2:$H$1001,$B$2:$B$1001,B612,$A$2:$A$1001,"&lt;"&amp;A612,$A$2:$A$1001,"&gt;="&amp;(A612-설정!$B$6)),1)))</f>
        <v/>
      </c>
      <c r="J612" s="18" t="str">
        <f aca="false">IF(H612="","",COUNTIFS($B$2:$B$1001,B612,$A$2:$A$1001,"&lt;"&amp;A612,$A$2:$A$1001,"&gt;="&amp;(A612-설정!$B$6),$H$2:$H$1001,"&gt;=0"))</f>
        <v/>
      </c>
      <c r="K612" s="21" t="str">
        <f aca="false">IF(I612="","",H612/I612-1)</f>
        <v/>
      </c>
      <c r="L612" s="19" t="str">
        <f aca="false">IF(H612="","",IF(J612&lt;설정!$B$7,"baseline 수집 중",IF(K612&lt;=-설정!$B$8,"저하","정상")))</f>
        <v/>
      </c>
      <c r="M612" s="20"/>
    </row>
    <row r="613" customFormat="false" ht="15" hidden="false" customHeight="false" outlineLevel="0" collapsed="false">
      <c r="A613" s="16"/>
      <c r="B613" s="17"/>
      <c r="C613" s="17"/>
      <c r="D613" s="17"/>
      <c r="E613" s="17"/>
      <c r="F613" s="17"/>
      <c r="G613" s="18" t="str">
        <f aca="false">IF(COUNT(D613:F613)=0,"",MAX(D613:F613))</f>
        <v/>
      </c>
      <c r="H613" s="18" t="str">
        <f aca="false">IF(COUNT(D613:F613)=0,"",ROUND(AVERAGE(D613:F613),1))</f>
        <v/>
      </c>
      <c r="I613" s="18" t="str">
        <f aca="false">IF(H613="","",IF(J613&lt;설정!$B$7,"",ROUND(AVERAGEIFS($H$2:$H$1001,$B$2:$B$1001,B613,$A$2:$A$1001,"&lt;"&amp;A613,$A$2:$A$1001,"&gt;="&amp;(A613-설정!$B$6)),1)))</f>
        <v/>
      </c>
      <c r="J613" s="18" t="str">
        <f aca="false">IF(H613="","",COUNTIFS($B$2:$B$1001,B613,$A$2:$A$1001,"&lt;"&amp;A613,$A$2:$A$1001,"&gt;="&amp;(A613-설정!$B$6),$H$2:$H$1001,"&gt;=0"))</f>
        <v/>
      </c>
      <c r="K613" s="21" t="str">
        <f aca="false">IF(I613="","",H613/I613-1)</f>
        <v/>
      </c>
      <c r="L613" s="19" t="str">
        <f aca="false">IF(H613="","",IF(J613&lt;설정!$B$7,"baseline 수집 중",IF(K613&lt;=-설정!$B$8,"저하","정상")))</f>
        <v/>
      </c>
      <c r="M613" s="20"/>
    </row>
    <row r="614" customFormat="false" ht="15" hidden="false" customHeight="false" outlineLevel="0" collapsed="false">
      <c r="A614" s="16"/>
      <c r="B614" s="17"/>
      <c r="C614" s="17"/>
      <c r="D614" s="17"/>
      <c r="E614" s="17"/>
      <c r="F614" s="17"/>
      <c r="G614" s="18" t="str">
        <f aca="false">IF(COUNT(D614:F614)=0,"",MAX(D614:F614))</f>
        <v/>
      </c>
      <c r="H614" s="18" t="str">
        <f aca="false">IF(COUNT(D614:F614)=0,"",ROUND(AVERAGE(D614:F614),1))</f>
        <v/>
      </c>
      <c r="I614" s="18" t="str">
        <f aca="false">IF(H614="","",IF(J614&lt;설정!$B$7,"",ROUND(AVERAGEIFS($H$2:$H$1001,$B$2:$B$1001,B614,$A$2:$A$1001,"&lt;"&amp;A614,$A$2:$A$1001,"&gt;="&amp;(A614-설정!$B$6)),1)))</f>
        <v/>
      </c>
      <c r="J614" s="18" t="str">
        <f aca="false">IF(H614="","",COUNTIFS($B$2:$B$1001,B614,$A$2:$A$1001,"&lt;"&amp;A614,$A$2:$A$1001,"&gt;="&amp;(A614-설정!$B$6),$H$2:$H$1001,"&gt;=0"))</f>
        <v/>
      </c>
      <c r="K614" s="21" t="str">
        <f aca="false">IF(I614="","",H614/I614-1)</f>
        <v/>
      </c>
      <c r="L614" s="19" t="str">
        <f aca="false">IF(H614="","",IF(J614&lt;설정!$B$7,"baseline 수집 중",IF(K614&lt;=-설정!$B$8,"저하","정상")))</f>
        <v/>
      </c>
      <c r="M614" s="20"/>
    </row>
    <row r="615" customFormat="false" ht="15" hidden="false" customHeight="false" outlineLevel="0" collapsed="false">
      <c r="A615" s="16"/>
      <c r="B615" s="17"/>
      <c r="C615" s="17"/>
      <c r="D615" s="17"/>
      <c r="E615" s="17"/>
      <c r="F615" s="17"/>
      <c r="G615" s="18" t="str">
        <f aca="false">IF(COUNT(D615:F615)=0,"",MAX(D615:F615))</f>
        <v/>
      </c>
      <c r="H615" s="18" t="str">
        <f aca="false">IF(COUNT(D615:F615)=0,"",ROUND(AVERAGE(D615:F615),1))</f>
        <v/>
      </c>
      <c r="I615" s="18" t="str">
        <f aca="false">IF(H615="","",IF(J615&lt;설정!$B$7,"",ROUND(AVERAGEIFS($H$2:$H$1001,$B$2:$B$1001,B615,$A$2:$A$1001,"&lt;"&amp;A615,$A$2:$A$1001,"&gt;="&amp;(A615-설정!$B$6)),1)))</f>
        <v/>
      </c>
      <c r="J615" s="18" t="str">
        <f aca="false">IF(H615="","",COUNTIFS($B$2:$B$1001,B615,$A$2:$A$1001,"&lt;"&amp;A615,$A$2:$A$1001,"&gt;="&amp;(A615-설정!$B$6),$H$2:$H$1001,"&gt;=0"))</f>
        <v/>
      </c>
      <c r="K615" s="21" t="str">
        <f aca="false">IF(I615="","",H615/I615-1)</f>
        <v/>
      </c>
      <c r="L615" s="19" t="str">
        <f aca="false">IF(H615="","",IF(J615&lt;설정!$B$7,"baseline 수집 중",IF(K615&lt;=-설정!$B$8,"저하","정상")))</f>
        <v/>
      </c>
      <c r="M615" s="20"/>
    </row>
    <row r="616" customFormat="false" ht="15" hidden="false" customHeight="false" outlineLevel="0" collapsed="false">
      <c r="A616" s="16"/>
      <c r="B616" s="17"/>
      <c r="C616" s="17"/>
      <c r="D616" s="17"/>
      <c r="E616" s="17"/>
      <c r="F616" s="17"/>
      <c r="G616" s="18" t="str">
        <f aca="false">IF(COUNT(D616:F616)=0,"",MAX(D616:F616))</f>
        <v/>
      </c>
      <c r="H616" s="18" t="str">
        <f aca="false">IF(COUNT(D616:F616)=0,"",ROUND(AVERAGE(D616:F616),1))</f>
        <v/>
      </c>
      <c r="I616" s="18" t="str">
        <f aca="false">IF(H616="","",IF(J616&lt;설정!$B$7,"",ROUND(AVERAGEIFS($H$2:$H$1001,$B$2:$B$1001,B616,$A$2:$A$1001,"&lt;"&amp;A616,$A$2:$A$1001,"&gt;="&amp;(A616-설정!$B$6)),1)))</f>
        <v/>
      </c>
      <c r="J616" s="18" t="str">
        <f aca="false">IF(H616="","",COUNTIFS($B$2:$B$1001,B616,$A$2:$A$1001,"&lt;"&amp;A616,$A$2:$A$1001,"&gt;="&amp;(A616-설정!$B$6),$H$2:$H$1001,"&gt;=0"))</f>
        <v/>
      </c>
      <c r="K616" s="21" t="str">
        <f aca="false">IF(I616="","",H616/I616-1)</f>
        <v/>
      </c>
      <c r="L616" s="19" t="str">
        <f aca="false">IF(H616="","",IF(J616&lt;설정!$B$7,"baseline 수집 중",IF(K616&lt;=-설정!$B$8,"저하","정상")))</f>
        <v/>
      </c>
      <c r="M616" s="20"/>
    </row>
    <row r="617" customFormat="false" ht="15" hidden="false" customHeight="false" outlineLevel="0" collapsed="false">
      <c r="A617" s="16"/>
      <c r="B617" s="17"/>
      <c r="C617" s="17"/>
      <c r="D617" s="17"/>
      <c r="E617" s="17"/>
      <c r="F617" s="17"/>
      <c r="G617" s="18" t="str">
        <f aca="false">IF(COUNT(D617:F617)=0,"",MAX(D617:F617))</f>
        <v/>
      </c>
      <c r="H617" s="18" t="str">
        <f aca="false">IF(COUNT(D617:F617)=0,"",ROUND(AVERAGE(D617:F617),1))</f>
        <v/>
      </c>
      <c r="I617" s="18" t="str">
        <f aca="false">IF(H617="","",IF(J617&lt;설정!$B$7,"",ROUND(AVERAGEIFS($H$2:$H$1001,$B$2:$B$1001,B617,$A$2:$A$1001,"&lt;"&amp;A617,$A$2:$A$1001,"&gt;="&amp;(A617-설정!$B$6)),1)))</f>
        <v/>
      </c>
      <c r="J617" s="18" t="str">
        <f aca="false">IF(H617="","",COUNTIFS($B$2:$B$1001,B617,$A$2:$A$1001,"&lt;"&amp;A617,$A$2:$A$1001,"&gt;="&amp;(A617-설정!$B$6),$H$2:$H$1001,"&gt;=0"))</f>
        <v/>
      </c>
      <c r="K617" s="21" t="str">
        <f aca="false">IF(I617="","",H617/I617-1)</f>
        <v/>
      </c>
      <c r="L617" s="19" t="str">
        <f aca="false">IF(H617="","",IF(J617&lt;설정!$B$7,"baseline 수집 중",IF(K617&lt;=-설정!$B$8,"저하","정상")))</f>
        <v/>
      </c>
      <c r="M617" s="20"/>
    </row>
    <row r="618" customFormat="false" ht="15" hidden="false" customHeight="false" outlineLevel="0" collapsed="false">
      <c r="A618" s="16"/>
      <c r="B618" s="17"/>
      <c r="C618" s="17"/>
      <c r="D618" s="17"/>
      <c r="E618" s="17"/>
      <c r="F618" s="17"/>
      <c r="G618" s="18" t="str">
        <f aca="false">IF(COUNT(D618:F618)=0,"",MAX(D618:F618))</f>
        <v/>
      </c>
      <c r="H618" s="18" t="str">
        <f aca="false">IF(COUNT(D618:F618)=0,"",ROUND(AVERAGE(D618:F618),1))</f>
        <v/>
      </c>
      <c r="I618" s="18" t="str">
        <f aca="false">IF(H618="","",IF(J618&lt;설정!$B$7,"",ROUND(AVERAGEIFS($H$2:$H$1001,$B$2:$B$1001,B618,$A$2:$A$1001,"&lt;"&amp;A618,$A$2:$A$1001,"&gt;="&amp;(A618-설정!$B$6)),1)))</f>
        <v/>
      </c>
      <c r="J618" s="18" t="str">
        <f aca="false">IF(H618="","",COUNTIFS($B$2:$B$1001,B618,$A$2:$A$1001,"&lt;"&amp;A618,$A$2:$A$1001,"&gt;="&amp;(A618-설정!$B$6),$H$2:$H$1001,"&gt;=0"))</f>
        <v/>
      </c>
      <c r="K618" s="21" t="str">
        <f aca="false">IF(I618="","",H618/I618-1)</f>
        <v/>
      </c>
      <c r="L618" s="19" t="str">
        <f aca="false">IF(H618="","",IF(J618&lt;설정!$B$7,"baseline 수집 중",IF(K618&lt;=-설정!$B$8,"저하","정상")))</f>
        <v/>
      </c>
      <c r="M618" s="20"/>
    </row>
    <row r="619" customFormat="false" ht="15" hidden="false" customHeight="false" outlineLevel="0" collapsed="false">
      <c r="A619" s="16"/>
      <c r="B619" s="17"/>
      <c r="C619" s="17"/>
      <c r="D619" s="17"/>
      <c r="E619" s="17"/>
      <c r="F619" s="17"/>
      <c r="G619" s="18" t="str">
        <f aca="false">IF(COUNT(D619:F619)=0,"",MAX(D619:F619))</f>
        <v/>
      </c>
      <c r="H619" s="18" t="str">
        <f aca="false">IF(COUNT(D619:F619)=0,"",ROUND(AVERAGE(D619:F619),1))</f>
        <v/>
      </c>
      <c r="I619" s="18" t="str">
        <f aca="false">IF(H619="","",IF(J619&lt;설정!$B$7,"",ROUND(AVERAGEIFS($H$2:$H$1001,$B$2:$B$1001,B619,$A$2:$A$1001,"&lt;"&amp;A619,$A$2:$A$1001,"&gt;="&amp;(A619-설정!$B$6)),1)))</f>
        <v/>
      </c>
      <c r="J619" s="18" t="str">
        <f aca="false">IF(H619="","",COUNTIFS($B$2:$B$1001,B619,$A$2:$A$1001,"&lt;"&amp;A619,$A$2:$A$1001,"&gt;="&amp;(A619-설정!$B$6),$H$2:$H$1001,"&gt;=0"))</f>
        <v/>
      </c>
      <c r="K619" s="21" t="str">
        <f aca="false">IF(I619="","",H619/I619-1)</f>
        <v/>
      </c>
      <c r="L619" s="19" t="str">
        <f aca="false">IF(H619="","",IF(J619&lt;설정!$B$7,"baseline 수집 중",IF(K619&lt;=-설정!$B$8,"저하","정상")))</f>
        <v/>
      </c>
      <c r="M619" s="20"/>
    </row>
    <row r="620" customFormat="false" ht="15" hidden="false" customHeight="false" outlineLevel="0" collapsed="false">
      <c r="A620" s="16"/>
      <c r="B620" s="17"/>
      <c r="C620" s="17"/>
      <c r="D620" s="17"/>
      <c r="E620" s="17"/>
      <c r="F620" s="17"/>
      <c r="G620" s="18" t="str">
        <f aca="false">IF(COUNT(D620:F620)=0,"",MAX(D620:F620))</f>
        <v/>
      </c>
      <c r="H620" s="18" t="str">
        <f aca="false">IF(COUNT(D620:F620)=0,"",ROUND(AVERAGE(D620:F620),1))</f>
        <v/>
      </c>
      <c r="I620" s="18" t="str">
        <f aca="false">IF(H620="","",IF(J620&lt;설정!$B$7,"",ROUND(AVERAGEIFS($H$2:$H$1001,$B$2:$B$1001,B620,$A$2:$A$1001,"&lt;"&amp;A620,$A$2:$A$1001,"&gt;="&amp;(A620-설정!$B$6)),1)))</f>
        <v/>
      </c>
      <c r="J620" s="18" t="str">
        <f aca="false">IF(H620="","",COUNTIFS($B$2:$B$1001,B620,$A$2:$A$1001,"&lt;"&amp;A620,$A$2:$A$1001,"&gt;="&amp;(A620-설정!$B$6),$H$2:$H$1001,"&gt;=0"))</f>
        <v/>
      </c>
      <c r="K620" s="21" t="str">
        <f aca="false">IF(I620="","",H620/I620-1)</f>
        <v/>
      </c>
      <c r="L620" s="19" t="str">
        <f aca="false">IF(H620="","",IF(J620&lt;설정!$B$7,"baseline 수집 중",IF(K620&lt;=-설정!$B$8,"저하","정상")))</f>
        <v/>
      </c>
      <c r="M620" s="20"/>
    </row>
    <row r="621" customFormat="false" ht="15" hidden="false" customHeight="false" outlineLevel="0" collapsed="false">
      <c r="A621" s="16"/>
      <c r="B621" s="17"/>
      <c r="C621" s="17"/>
      <c r="D621" s="17"/>
      <c r="E621" s="17"/>
      <c r="F621" s="17"/>
      <c r="G621" s="18" t="str">
        <f aca="false">IF(COUNT(D621:F621)=0,"",MAX(D621:F621))</f>
        <v/>
      </c>
      <c r="H621" s="18" t="str">
        <f aca="false">IF(COUNT(D621:F621)=0,"",ROUND(AVERAGE(D621:F621),1))</f>
        <v/>
      </c>
      <c r="I621" s="18" t="str">
        <f aca="false">IF(H621="","",IF(J621&lt;설정!$B$7,"",ROUND(AVERAGEIFS($H$2:$H$1001,$B$2:$B$1001,B621,$A$2:$A$1001,"&lt;"&amp;A621,$A$2:$A$1001,"&gt;="&amp;(A621-설정!$B$6)),1)))</f>
        <v/>
      </c>
      <c r="J621" s="18" t="str">
        <f aca="false">IF(H621="","",COUNTIFS($B$2:$B$1001,B621,$A$2:$A$1001,"&lt;"&amp;A621,$A$2:$A$1001,"&gt;="&amp;(A621-설정!$B$6),$H$2:$H$1001,"&gt;=0"))</f>
        <v/>
      </c>
      <c r="K621" s="21" t="str">
        <f aca="false">IF(I621="","",H621/I621-1)</f>
        <v/>
      </c>
      <c r="L621" s="19" t="str">
        <f aca="false">IF(H621="","",IF(J621&lt;설정!$B$7,"baseline 수집 중",IF(K621&lt;=-설정!$B$8,"저하","정상")))</f>
        <v/>
      </c>
      <c r="M621" s="20"/>
    </row>
    <row r="622" customFormat="false" ht="15" hidden="false" customHeight="false" outlineLevel="0" collapsed="false">
      <c r="A622" s="16"/>
      <c r="B622" s="17"/>
      <c r="C622" s="17"/>
      <c r="D622" s="17"/>
      <c r="E622" s="17"/>
      <c r="F622" s="17"/>
      <c r="G622" s="18" t="str">
        <f aca="false">IF(COUNT(D622:F622)=0,"",MAX(D622:F622))</f>
        <v/>
      </c>
      <c r="H622" s="18" t="str">
        <f aca="false">IF(COUNT(D622:F622)=0,"",ROUND(AVERAGE(D622:F622),1))</f>
        <v/>
      </c>
      <c r="I622" s="18" t="str">
        <f aca="false">IF(H622="","",IF(J622&lt;설정!$B$7,"",ROUND(AVERAGEIFS($H$2:$H$1001,$B$2:$B$1001,B622,$A$2:$A$1001,"&lt;"&amp;A622,$A$2:$A$1001,"&gt;="&amp;(A622-설정!$B$6)),1)))</f>
        <v/>
      </c>
      <c r="J622" s="18" t="str">
        <f aca="false">IF(H622="","",COUNTIFS($B$2:$B$1001,B622,$A$2:$A$1001,"&lt;"&amp;A622,$A$2:$A$1001,"&gt;="&amp;(A622-설정!$B$6),$H$2:$H$1001,"&gt;=0"))</f>
        <v/>
      </c>
      <c r="K622" s="21" t="str">
        <f aca="false">IF(I622="","",H622/I622-1)</f>
        <v/>
      </c>
      <c r="L622" s="19" t="str">
        <f aca="false">IF(H622="","",IF(J622&lt;설정!$B$7,"baseline 수집 중",IF(K622&lt;=-설정!$B$8,"저하","정상")))</f>
        <v/>
      </c>
      <c r="M622" s="20"/>
    </row>
    <row r="623" customFormat="false" ht="15" hidden="false" customHeight="false" outlineLevel="0" collapsed="false">
      <c r="A623" s="16"/>
      <c r="B623" s="17"/>
      <c r="C623" s="17"/>
      <c r="D623" s="17"/>
      <c r="E623" s="17"/>
      <c r="F623" s="17"/>
      <c r="G623" s="18" t="str">
        <f aca="false">IF(COUNT(D623:F623)=0,"",MAX(D623:F623))</f>
        <v/>
      </c>
      <c r="H623" s="18" t="str">
        <f aca="false">IF(COUNT(D623:F623)=0,"",ROUND(AVERAGE(D623:F623),1))</f>
        <v/>
      </c>
      <c r="I623" s="18" t="str">
        <f aca="false">IF(H623="","",IF(J623&lt;설정!$B$7,"",ROUND(AVERAGEIFS($H$2:$H$1001,$B$2:$B$1001,B623,$A$2:$A$1001,"&lt;"&amp;A623,$A$2:$A$1001,"&gt;="&amp;(A623-설정!$B$6)),1)))</f>
        <v/>
      </c>
      <c r="J623" s="18" t="str">
        <f aca="false">IF(H623="","",COUNTIFS($B$2:$B$1001,B623,$A$2:$A$1001,"&lt;"&amp;A623,$A$2:$A$1001,"&gt;="&amp;(A623-설정!$B$6),$H$2:$H$1001,"&gt;=0"))</f>
        <v/>
      </c>
      <c r="K623" s="21" t="str">
        <f aca="false">IF(I623="","",H623/I623-1)</f>
        <v/>
      </c>
      <c r="L623" s="19" t="str">
        <f aca="false">IF(H623="","",IF(J623&lt;설정!$B$7,"baseline 수집 중",IF(K623&lt;=-설정!$B$8,"저하","정상")))</f>
        <v/>
      </c>
      <c r="M623" s="20"/>
    </row>
    <row r="624" customFormat="false" ht="15" hidden="false" customHeight="false" outlineLevel="0" collapsed="false">
      <c r="A624" s="16"/>
      <c r="B624" s="17"/>
      <c r="C624" s="17"/>
      <c r="D624" s="17"/>
      <c r="E624" s="17"/>
      <c r="F624" s="17"/>
      <c r="G624" s="18" t="str">
        <f aca="false">IF(COUNT(D624:F624)=0,"",MAX(D624:F624))</f>
        <v/>
      </c>
      <c r="H624" s="18" t="str">
        <f aca="false">IF(COUNT(D624:F624)=0,"",ROUND(AVERAGE(D624:F624),1))</f>
        <v/>
      </c>
      <c r="I624" s="18" t="str">
        <f aca="false">IF(H624="","",IF(J624&lt;설정!$B$7,"",ROUND(AVERAGEIFS($H$2:$H$1001,$B$2:$B$1001,B624,$A$2:$A$1001,"&lt;"&amp;A624,$A$2:$A$1001,"&gt;="&amp;(A624-설정!$B$6)),1)))</f>
        <v/>
      </c>
      <c r="J624" s="18" t="str">
        <f aca="false">IF(H624="","",COUNTIFS($B$2:$B$1001,B624,$A$2:$A$1001,"&lt;"&amp;A624,$A$2:$A$1001,"&gt;="&amp;(A624-설정!$B$6),$H$2:$H$1001,"&gt;=0"))</f>
        <v/>
      </c>
      <c r="K624" s="21" t="str">
        <f aca="false">IF(I624="","",H624/I624-1)</f>
        <v/>
      </c>
      <c r="L624" s="19" t="str">
        <f aca="false">IF(H624="","",IF(J624&lt;설정!$B$7,"baseline 수집 중",IF(K624&lt;=-설정!$B$8,"저하","정상")))</f>
        <v/>
      </c>
      <c r="M624" s="20"/>
    </row>
    <row r="625" customFormat="false" ht="15" hidden="false" customHeight="false" outlineLevel="0" collapsed="false">
      <c r="A625" s="16"/>
      <c r="B625" s="17"/>
      <c r="C625" s="17"/>
      <c r="D625" s="17"/>
      <c r="E625" s="17"/>
      <c r="F625" s="17"/>
      <c r="G625" s="18" t="str">
        <f aca="false">IF(COUNT(D625:F625)=0,"",MAX(D625:F625))</f>
        <v/>
      </c>
      <c r="H625" s="18" t="str">
        <f aca="false">IF(COUNT(D625:F625)=0,"",ROUND(AVERAGE(D625:F625),1))</f>
        <v/>
      </c>
      <c r="I625" s="18" t="str">
        <f aca="false">IF(H625="","",IF(J625&lt;설정!$B$7,"",ROUND(AVERAGEIFS($H$2:$H$1001,$B$2:$B$1001,B625,$A$2:$A$1001,"&lt;"&amp;A625,$A$2:$A$1001,"&gt;="&amp;(A625-설정!$B$6)),1)))</f>
        <v/>
      </c>
      <c r="J625" s="18" t="str">
        <f aca="false">IF(H625="","",COUNTIFS($B$2:$B$1001,B625,$A$2:$A$1001,"&lt;"&amp;A625,$A$2:$A$1001,"&gt;="&amp;(A625-설정!$B$6),$H$2:$H$1001,"&gt;=0"))</f>
        <v/>
      </c>
      <c r="K625" s="21" t="str">
        <f aca="false">IF(I625="","",H625/I625-1)</f>
        <v/>
      </c>
      <c r="L625" s="19" t="str">
        <f aca="false">IF(H625="","",IF(J625&lt;설정!$B$7,"baseline 수집 중",IF(K625&lt;=-설정!$B$8,"저하","정상")))</f>
        <v/>
      </c>
      <c r="M625" s="20"/>
    </row>
    <row r="626" customFormat="false" ht="15" hidden="false" customHeight="false" outlineLevel="0" collapsed="false">
      <c r="A626" s="16"/>
      <c r="B626" s="17"/>
      <c r="C626" s="17"/>
      <c r="D626" s="17"/>
      <c r="E626" s="17"/>
      <c r="F626" s="17"/>
      <c r="G626" s="18" t="str">
        <f aca="false">IF(COUNT(D626:F626)=0,"",MAX(D626:F626))</f>
        <v/>
      </c>
      <c r="H626" s="18" t="str">
        <f aca="false">IF(COUNT(D626:F626)=0,"",ROUND(AVERAGE(D626:F626),1))</f>
        <v/>
      </c>
      <c r="I626" s="18" t="str">
        <f aca="false">IF(H626="","",IF(J626&lt;설정!$B$7,"",ROUND(AVERAGEIFS($H$2:$H$1001,$B$2:$B$1001,B626,$A$2:$A$1001,"&lt;"&amp;A626,$A$2:$A$1001,"&gt;="&amp;(A626-설정!$B$6)),1)))</f>
        <v/>
      </c>
      <c r="J626" s="18" t="str">
        <f aca="false">IF(H626="","",COUNTIFS($B$2:$B$1001,B626,$A$2:$A$1001,"&lt;"&amp;A626,$A$2:$A$1001,"&gt;="&amp;(A626-설정!$B$6),$H$2:$H$1001,"&gt;=0"))</f>
        <v/>
      </c>
      <c r="K626" s="21" t="str">
        <f aca="false">IF(I626="","",H626/I626-1)</f>
        <v/>
      </c>
      <c r="L626" s="19" t="str">
        <f aca="false">IF(H626="","",IF(J626&lt;설정!$B$7,"baseline 수집 중",IF(K626&lt;=-설정!$B$8,"저하","정상")))</f>
        <v/>
      </c>
      <c r="M626" s="20"/>
    </row>
    <row r="627" customFormat="false" ht="15" hidden="false" customHeight="false" outlineLevel="0" collapsed="false">
      <c r="A627" s="16"/>
      <c r="B627" s="17"/>
      <c r="C627" s="17"/>
      <c r="D627" s="17"/>
      <c r="E627" s="17"/>
      <c r="F627" s="17"/>
      <c r="G627" s="18" t="str">
        <f aca="false">IF(COUNT(D627:F627)=0,"",MAX(D627:F627))</f>
        <v/>
      </c>
      <c r="H627" s="18" t="str">
        <f aca="false">IF(COUNT(D627:F627)=0,"",ROUND(AVERAGE(D627:F627),1))</f>
        <v/>
      </c>
      <c r="I627" s="18" t="str">
        <f aca="false">IF(H627="","",IF(J627&lt;설정!$B$7,"",ROUND(AVERAGEIFS($H$2:$H$1001,$B$2:$B$1001,B627,$A$2:$A$1001,"&lt;"&amp;A627,$A$2:$A$1001,"&gt;="&amp;(A627-설정!$B$6)),1)))</f>
        <v/>
      </c>
      <c r="J627" s="18" t="str">
        <f aca="false">IF(H627="","",COUNTIFS($B$2:$B$1001,B627,$A$2:$A$1001,"&lt;"&amp;A627,$A$2:$A$1001,"&gt;="&amp;(A627-설정!$B$6),$H$2:$H$1001,"&gt;=0"))</f>
        <v/>
      </c>
      <c r="K627" s="21" t="str">
        <f aca="false">IF(I627="","",H627/I627-1)</f>
        <v/>
      </c>
      <c r="L627" s="19" t="str">
        <f aca="false">IF(H627="","",IF(J627&lt;설정!$B$7,"baseline 수집 중",IF(K627&lt;=-설정!$B$8,"저하","정상")))</f>
        <v/>
      </c>
      <c r="M627" s="20"/>
    </row>
    <row r="628" customFormat="false" ht="15" hidden="false" customHeight="false" outlineLevel="0" collapsed="false">
      <c r="A628" s="16"/>
      <c r="B628" s="17"/>
      <c r="C628" s="17"/>
      <c r="D628" s="17"/>
      <c r="E628" s="17"/>
      <c r="F628" s="17"/>
      <c r="G628" s="18" t="str">
        <f aca="false">IF(COUNT(D628:F628)=0,"",MAX(D628:F628))</f>
        <v/>
      </c>
      <c r="H628" s="18" t="str">
        <f aca="false">IF(COUNT(D628:F628)=0,"",ROUND(AVERAGE(D628:F628),1))</f>
        <v/>
      </c>
      <c r="I628" s="18" t="str">
        <f aca="false">IF(H628="","",IF(J628&lt;설정!$B$7,"",ROUND(AVERAGEIFS($H$2:$H$1001,$B$2:$B$1001,B628,$A$2:$A$1001,"&lt;"&amp;A628,$A$2:$A$1001,"&gt;="&amp;(A628-설정!$B$6)),1)))</f>
        <v/>
      </c>
      <c r="J628" s="18" t="str">
        <f aca="false">IF(H628="","",COUNTIFS($B$2:$B$1001,B628,$A$2:$A$1001,"&lt;"&amp;A628,$A$2:$A$1001,"&gt;="&amp;(A628-설정!$B$6),$H$2:$H$1001,"&gt;=0"))</f>
        <v/>
      </c>
      <c r="K628" s="21" t="str">
        <f aca="false">IF(I628="","",H628/I628-1)</f>
        <v/>
      </c>
      <c r="L628" s="19" t="str">
        <f aca="false">IF(H628="","",IF(J628&lt;설정!$B$7,"baseline 수집 중",IF(K628&lt;=-설정!$B$8,"저하","정상")))</f>
        <v/>
      </c>
      <c r="M628" s="20"/>
    </row>
    <row r="629" customFormat="false" ht="15" hidden="false" customHeight="false" outlineLevel="0" collapsed="false">
      <c r="A629" s="16"/>
      <c r="B629" s="17"/>
      <c r="C629" s="17"/>
      <c r="D629" s="17"/>
      <c r="E629" s="17"/>
      <c r="F629" s="17"/>
      <c r="G629" s="18" t="str">
        <f aca="false">IF(COUNT(D629:F629)=0,"",MAX(D629:F629))</f>
        <v/>
      </c>
      <c r="H629" s="18" t="str">
        <f aca="false">IF(COUNT(D629:F629)=0,"",ROUND(AVERAGE(D629:F629),1))</f>
        <v/>
      </c>
      <c r="I629" s="18" t="str">
        <f aca="false">IF(H629="","",IF(J629&lt;설정!$B$7,"",ROUND(AVERAGEIFS($H$2:$H$1001,$B$2:$B$1001,B629,$A$2:$A$1001,"&lt;"&amp;A629,$A$2:$A$1001,"&gt;="&amp;(A629-설정!$B$6)),1)))</f>
        <v/>
      </c>
      <c r="J629" s="18" t="str">
        <f aca="false">IF(H629="","",COUNTIFS($B$2:$B$1001,B629,$A$2:$A$1001,"&lt;"&amp;A629,$A$2:$A$1001,"&gt;="&amp;(A629-설정!$B$6),$H$2:$H$1001,"&gt;=0"))</f>
        <v/>
      </c>
      <c r="K629" s="21" t="str">
        <f aca="false">IF(I629="","",H629/I629-1)</f>
        <v/>
      </c>
      <c r="L629" s="19" t="str">
        <f aca="false">IF(H629="","",IF(J629&lt;설정!$B$7,"baseline 수집 중",IF(K629&lt;=-설정!$B$8,"저하","정상")))</f>
        <v/>
      </c>
      <c r="M629" s="20"/>
    </row>
    <row r="630" customFormat="false" ht="15" hidden="false" customHeight="false" outlineLevel="0" collapsed="false">
      <c r="A630" s="16"/>
      <c r="B630" s="17"/>
      <c r="C630" s="17"/>
      <c r="D630" s="17"/>
      <c r="E630" s="17"/>
      <c r="F630" s="17"/>
      <c r="G630" s="18" t="str">
        <f aca="false">IF(COUNT(D630:F630)=0,"",MAX(D630:F630))</f>
        <v/>
      </c>
      <c r="H630" s="18" t="str">
        <f aca="false">IF(COUNT(D630:F630)=0,"",ROUND(AVERAGE(D630:F630),1))</f>
        <v/>
      </c>
      <c r="I630" s="18" t="str">
        <f aca="false">IF(H630="","",IF(J630&lt;설정!$B$7,"",ROUND(AVERAGEIFS($H$2:$H$1001,$B$2:$B$1001,B630,$A$2:$A$1001,"&lt;"&amp;A630,$A$2:$A$1001,"&gt;="&amp;(A630-설정!$B$6)),1)))</f>
        <v/>
      </c>
      <c r="J630" s="18" t="str">
        <f aca="false">IF(H630="","",COUNTIFS($B$2:$B$1001,B630,$A$2:$A$1001,"&lt;"&amp;A630,$A$2:$A$1001,"&gt;="&amp;(A630-설정!$B$6),$H$2:$H$1001,"&gt;=0"))</f>
        <v/>
      </c>
      <c r="K630" s="21" t="str">
        <f aca="false">IF(I630="","",H630/I630-1)</f>
        <v/>
      </c>
      <c r="L630" s="19" t="str">
        <f aca="false">IF(H630="","",IF(J630&lt;설정!$B$7,"baseline 수집 중",IF(K630&lt;=-설정!$B$8,"저하","정상")))</f>
        <v/>
      </c>
      <c r="M630" s="20"/>
    </row>
    <row r="631" customFormat="false" ht="15" hidden="false" customHeight="false" outlineLevel="0" collapsed="false">
      <c r="A631" s="16"/>
      <c r="B631" s="17"/>
      <c r="C631" s="17"/>
      <c r="D631" s="17"/>
      <c r="E631" s="17"/>
      <c r="F631" s="17"/>
      <c r="G631" s="18" t="str">
        <f aca="false">IF(COUNT(D631:F631)=0,"",MAX(D631:F631))</f>
        <v/>
      </c>
      <c r="H631" s="18" t="str">
        <f aca="false">IF(COUNT(D631:F631)=0,"",ROUND(AVERAGE(D631:F631),1))</f>
        <v/>
      </c>
      <c r="I631" s="18" t="str">
        <f aca="false">IF(H631="","",IF(J631&lt;설정!$B$7,"",ROUND(AVERAGEIFS($H$2:$H$1001,$B$2:$B$1001,B631,$A$2:$A$1001,"&lt;"&amp;A631,$A$2:$A$1001,"&gt;="&amp;(A631-설정!$B$6)),1)))</f>
        <v/>
      </c>
      <c r="J631" s="18" t="str">
        <f aca="false">IF(H631="","",COUNTIFS($B$2:$B$1001,B631,$A$2:$A$1001,"&lt;"&amp;A631,$A$2:$A$1001,"&gt;="&amp;(A631-설정!$B$6),$H$2:$H$1001,"&gt;=0"))</f>
        <v/>
      </c>
      <c r="K631" s="21" t="str">
        <f aca="false">IF(I631="","",H631/I631-1)</f>
        <v/>
      </c>
      <c r="L631" s="19" t="str">
        <f aca="false">IF(H631="","",IF(J631&lt;설정!$B$7,"baseline 수집 중",IF(K631&lt;=-설정!$B$8,"저하","정상")))</f>
        <v/>
      </c>
      <c r="M631" s="20"/>
    </row>
    <row r="632" customFormat="false" ht="15" hidden="false" customHeight="false" outlineLevel="0" collapsed="false">
      <c r="A632" s="16"/>
      <c r="B632" s="17"/>
      <c r="C632" s="17"/>
      <c r="D632" s="17"/>
      <c r="E632" s="17"/>
      <c r="F632" s="17"/>
      <c r="G632" s="18" t="str">
        <f aca="false">IF(COUNT(D632:F632)=0,"",MAX(D632:F632))</f>
        <v/>
      </c>
      <c r="H632" s="18" t="str">
        <f aca="false">IF(COUNT(D632:F632)=0,"",ROUND(AVERAGE(D632:F632),1))</f>
        <v/>
      </c>
      <c r="I632" s="18" t="str">
        <f aca="false">IF(H632="","",IF(J632&lt;설정!$B$7,"",ROUND(AVERAGEIFS($H$2:$H$1001,$B$2:$B$1001,B632,$A$2:$A$1001,"&lt;"&amp;A632,$A$2:$A$1001,"&gt;="&amp;(A632-설정!$B$6)),1)))</f>
        <v/>
      </c>
      <c r="J632" s="18" t="str">
        <f aca="false">IF(H632="","",COUNTIFS($B$2:$B$1001,B632,$A$2:$A$1001,"&lt;"&amp;A632,$A$2:$A$1001,"&gt;="&amp;(A632-설정!$B$6),$H$2:$H$1001,"&gt;=0"))</f>
        <v/>
      </c>
      <c r="K632" s="21" t="str">
        <f aca="false">IF(I632="","",H632/I632-1)</f>
        <v/>
      </c>
      <c r="L632" s="19" t="str">
        <f aca="false">IF(H632="","",IF(J632&lt;설정!$B$7,"baseline 수집 중",IF(K632&lt;=-설정!$B$8,"저하","정상")))</f>
        <v/>
      </c>
      <c r="M632" s="20"/>
    </row>
    <row r="633" customFormat="false" ht="15" hidden="false" customHeight="false" outlineLevel="0" collapsed="false">
      <c r="A633" s="16"/>
      <c r="B633" s="17"/>
      <c r="C633" s="17"/>
      <c r="D633" s="17"/>
      <c r="E633" s="17"/>
      <c r="F633" s="17"/>
      <c r="G633" s="18" t="str">
        <f aca="false">IF(COUNT(D633:F633)=0,"",MAX(D633:F633))</f>
        <v/>
      </c>
      <c r="H633" s="18" t="str">
        <f aca="false">IF(COUNT(D633:F633)=0,"",ROUND(AVERAGE(D633:F633),1))</f>
        <v/>
      </c>
      <c r="I633" s="18" t="str">
        <f aca="false">IF(H633="","",IF(J633&lt;설정!$B$7,"",ROUND(AVERAGEIFS($H$2:$H$1001,$B$2:$B$1001,B633,$A$2:$A$1001,"&lt;"&amp;A633,$A$2:$A$1001,"&gt;="&amp;(A633-설정!$B$6)),1)))</f>
        <v/>
      </c>
      <c r="J633" s="18" t="str">
        <f aca="false">IF(H633="","",COUNTIFS($B$2:$B$1001,B633,$A$2:$A$1001,"&lt;"&amp;A633,$A$2:$A$1001,"&gt;="&amp;(A633-설정!$B$6),$H$2:$H$1001,"&gt;=0"))</f>
        <v/>
      </c>
      <c r="K633" s="21" t="str">
        <f aca="false">IF(I633="","",H633/I633-1)</f>
        <v/>
      </c>
      <c r="L633" s="19" t="str">
        <f aca="false">IF(H633="","",IF(J633&lt;설정!$B$7,"baseline 수집 중",IF(K633&lt;=-설정!$B$8,"저하","정상")))</f>
        <v/>
      </c>
      <c r="M633" s="20"/>
    </row>
    <row r="634" customFormat="false" ht="15" hidden="false" customHeight="false" outlineLevel="0" collapsed="false">
      <c r="A634" s="16"/>
      <c r="B634" s="17"/>
      <c r="C634" s="17"/>
      <c r="D634" s="17"/>
      <c r="E634" s="17"/>
      <c r="F634" s="17"/>
      <c r="G634" s="18" t="str">
        <f aca="false">IF(COUNT(D634:F634)=0,"",MAX(D634:F634))</f>
        <v/>
      </c>
      <c r="H634" s="18" t="str">
        <f aca="false">IF(COUNT(D634:F634)=0,"",ROUND(AVERAGE(D634:F634),1))</f>
        <v/>
      </c>
      <c r="I634" s="18" t="str">
        <f aca="false">IF(H634="","",IF(J634&lt;설정!$B$7,"",ROUND(AVERAGEIFS($H$2:$H$1001,$B$2:$B$1001,B634,$A$2:$A$1001,"&lt;"&amp;A634,$A$2:$A$1001,"&gt;="&amp;(A634-설정!$B$6)),1)))</f>
        <v/>
      </c>
      <c r="J634" s="18" t="str">
        <f aca="false">IF(H634="","",COUNTIFS($B$2:$B$1001,B634,$A$2:$A$1001,"&lt;"&amp;A634,$A$2:$A$1001,"&gt;="&amp;(A634-설정!$B$6),$H$2:$H$1001,"&gt;=0"))</f>
        <v/>
      </c>
      <c r="K634" s="21" t="str">
        <f aca="false">IF(I634="","",H634/I634-1)</f>
        <v/>
      </c>
      <c r="L634" s="19" t="str">
        <f aca="false">IF(H634="","",IF(J634&lt;설정!$B$7,"baseline 수집 중",IF(K634&lt;=-설정!$B$8,"저하","정상")))</f>
        <v/>
      </c>
      <c r="M634" s="20"/>
    </row>
    <row r="635" customFormat="false" ht="15" hidden="false" customHeight="false" outlineLevel="0" collapsed="false">
      <c r="A635" s="16"/>
      <c r="B635" s="17"/>
      <c r="C635" s="17"/>
      <c r="D635" s="17"/>
      <c r="E635" s="17"/>
      <c r="F635" s="17"/>
      <c r="G635" s="18" t="str">
        <f aca="false">IF(COUNT(D635:F635)=0,"",MAX(D635:F635))</f>
        <v/>
      </c>
      <c r="H635" s="18" t="str">
        <f aca="false">IF(COUNT(D635:F635)=0,"",ROUND(AVERAGE(D635:F635),1))</f>
        <v/>
      </c>
      <c r="I635" s="18" t="str">
        <f aca="false">IF(H635="","",IF(J635&lt;설정!$B$7,"",ROUND(AVERAGEIFS($H$2:$H$1001,$B$2:$B$1001,B635,$A$2:$A$1001,"&lt;"&amp;A635,$A$2:$A$1001,"&gt;="&amp;(A635-설정!$B$6)),1)))</f>
        <v/>
      </c>
      <c r="J635" s="18" t="str">
        <f aca="false">IF(H635="","",COUNTIFS($B$2:$B$1001,B635,$A$2:$A$1001,"&lt;"&amp;A635,$A$2:$A$1001,"&gt;="&amp;(A635-설정!$B$6),$H$2:$H$1001,"&gt;=0"))</f>
        <v/>
      </c>
      <c r="K635" s="21" t="str">
        <f aca="false">IF(I635="","",H635/I635-1)</f>
        <v/>
      </c>
      <c r="L635" s="19" t="str">
        <f aca="false">IF(H635="","",IF(J635&lt;설정!$B$7,"baseline 수집 중",IF(K635&lt;=-설정!$B$8,"저하","정상")))</f>
        <v/>
      </c>
      <c r="M635" s="20"/>
    </row>
    <row r="636" customFormat="false" ht="15" hidden="false" customHeight="false" outlineLevel="0" collapsed="false">
      <c r="A636" s="16"/>
      <c r="B636" s="17"/>
      <c r="C636" s="17"/>
      <c r="D636" s="17"/>
      <c r="E636" s="17"/>
      <c r="F636" s="17"/>
      <c r="G636" s="18" t="str">
        <f aca="false">IF(COUNT(D636:F636)=0,"",MAX(D636:F636))</f>
        <v/>
      </c>
      <c r="H636" s="18" t="str">
        <f aca="false">IF(COUNT(D636:F636)=0,"",ROUND(AVERAGE(D636:F636),1))</f>
        <v/>
      </c>
      <c r="I636" s="18" t="str">
        <f aca="false">IF(H636="","",IF(J636&lt;설정!$B$7,"",ROUND(AVERAGEIFS($H$2:$H$1001,$B$2:$B$1001,B636,$A$2:$A$1001,"&lt;"&amp;A636,$A$2:$A$1001,"&gt;="&amp;(A636-설정!$B$6)),1)))</f>
        <v/>
      </c>
      <c r="J636" s="18" t="str">
        <f aca="false">IF(H636="","",COUNTIFS($B$2:$B$1001,B636,$A$2:$A$1001,"&lt;"&amp;A636,$A$2:$A$1001,"&gt;="&amp;(A636-설정!$B$6),$H$2:$H$1001,"&gt;=0"))</f>
        <v/>
      </c>
      <c r="K636" s="21" t="str">
        <f aca="false">IF(I636="","",H636/I636-1)</f>
        <v/>
      </c>
      <c r="L636" s="19" t="str">
        <f aca="false">IF(H636="","",IF(J636&lt;설정!$B$7,"baseline 수집 중",IF(K636&lt;=-설정!$B$8,"저하","정상")))</f>
        <v/>
      </c>
      <c r="M636" s="20"/>
    </row>
    <row r="637" customFormat="false" ht="15" hidden="false" customHeight="false" outlineLevel="0" collapsed="false">
      <c r="A637" s="16"/>
      <c r="B637" s="17"/>
      <c r="C637" s="17"/>
      <c r="D637" s="17"/>
      <c r="E637" s="17"/>
      <c r="F637" s="17"/>
      <c r="G637" s="18" t="str">
        <f aca="false">IF(COUNT(D637:F637)=0,"",MAX(D637:F637))</f>
        <v/>
      </c>
      <c r="H637" s="18" t="str">
        <f aca="false">IF(COUNT(D637:F637)=0,"",ROUND(AVERAGE(D637:F637),1))</f>
        <v/>
      </c>
      <c r="I637" s="18" t="str">
        <f aca="false">IF(H637="","",IF(J637&lt;설정!$B$7,"",ROUND(AVERAGEIFS($H$2:$H$1001,$B$2:$B$1001,B637,$A$2:$A$1001,"&lt;"&amp;A637,$A$2:$A$1001,"&gt;="&amp;(A637-설정!$B$6)),1)))</f>
        <v/>
      </c>
      <c r="J637" s="18" t="str">
        <f aca="false">IF(H637="","",COUNTIFS($B$2:$B$1001,B637,$A$2:$A$1001,"&lt;"&amp;A637,$A$2:$A$1001,"&gt;="&amp;(A637-설정!$B$6),$H$2:$H$1001,"&gt;=0"))</f>
        <v/>
      </c>
      <c r="K637" s="21" t="str">
        <f aca="false">IF(I637="","",H637/I637-1)</f>
        <v/>
      </c>
      <c r="L637" s="19" t="str">
        <f aca="false">IF(H637="","",IF(J637&lt;설정!$B$7,"baseline 수집 중",IF(K637&lt;=-설정!$B$8,"저하","정상")))</f>
        <v/>
      </c>
      <c r="M637" s="20"/>
    </row>
    <row r="638" customFormat="false" ht="15" hidden="false" customHeight="false" outlineLevel="0" collapsed="false">
      <c r="A638" s="16"/>
      <c r="B638" s="17"/>
      <c r="C638" s="17"/>
      <c r="D638" s="17"/>
      <c r="E638" s="17"/>
      <c r="F638" s="17"/>
      <c r="G638" s="18" t="str">
        <f aca="false">IF(COUNT(D638:F638)=0,"",MAX(D638:F638))</f>
        <v/>
      </c>
      <c r="H638" s="18" t="str">
        <f aca="false">IF(COUNT(D638:F638)=0,"",ROUND(AVERAGE(D638:F638),1))</f>
        <v/>
      </c>
      <c r="I638" s="18" t="str">
        <f aca="false">IF(H638="","",IF(J638&lt;설정!$B$7,"",ROUND(AVERAGEIFS($H$2:$H$1001,$B$2:$B$1001,B638,$A$2:$A$1001,"&lt;"&amp;A638,$A$2:$A$1001,"&gt;="&amp;(A638-설정!$B$6)),1)))</f>
        <v/>
      </c>
      <c r="J638" s="18" t="str">
        <f aca="false">IF(H638="","",COUNTIFS($B$2:$B$1001,B638,$A$2:$A$1001,"&lt;"&amp;A638,$A$2:$A$1001,"&gt;="&amp;(A638-설정!$B$6),$H$2:$H$1001,"&gt;=0"))</f>
        <v/>
      </c>
      <c r="K638" s="21" t="str">
        <f aca="false">IF(I638="","",H638/I638-1)</f>
        <v/>
      </c>
      <c r="L638" s="19" t="str">
        <f aca="false">IF(H638="","",IF(J638&lt;설정!$B$7,"baseline 수집 중",IF(K638&lt;=-설정!$B$8,"저하","정상")))</f>
        <v/>
      </c>
      <c r="M638" s="20"/>
    </row>
    <row r="639" customFormat="false" ht="15" hidden="false" customHeight="false" outlineLevel="0" collapsed="false">
      <c r="A639" s="16"/>
      <c r="B639" s="17"/>
      <c r="C639" s="17"/>
      <c r="D639" s="17"/>
      <c r="E639" s="17"/>
      <c r="F639" s="17"/>
      <c r="G639" s="18" t="str">
        <f aca="false">IF(COUNT(D639:F639)=0,"",MAX(D639:F639))</f>
        <v/>
      </c>
      <c r="H639" s="18" t="str">
        <f aca="false">IF(COUNT(D639:F639)=0,"",ROUND(AVERAGE(D639:F639),1))</f>
        <v/>
      </c>
      <c r="I639" s="18" t="str">
        <f aca="false">IF(H639="","",IF(J639&lt;설정!$B$7,"",ROUND(AVERAGEIFS($H$2:$H$1001,$B$2:$B$1001,B639,$A$2:$A$1001,"&lt;"&amp;A639,$A$2:$A$1001,"&gt;="&amp;(A639-설정!$B$6)),1)))</f>
        <v/>
      </c>
      <c r="J639" s="18" t="str">
        <f aca="false">IF(H639="","",COUNTIFS($B$2:$B$1001,B639,$A$2:$A$1001,"&lt;"&amp;A639,$A$2:$A$1001,"&gt;="&amp;(A639-설정!$B$6),$H$2:$H$1001,"&gt;=0"))</f>
        <v/>
      </c>
      <c r="K639" s="21" t="str">
        <f aca="false">IF(I639="","",H639/I639-1)</f>
        <v/>
      </c>
      <c r="L639" s="19" t="str">
        <f aca="false">IF(H639="","",IF(J639&lt;설정!$B$7,"baseline 수집 중",IF(K639&lt;=-설정!$B$8,"저하","정상")))</f>
        <v/>
      </c>
      <c r="M639" s="20"/>
    </row>
    <row r="640" customFormat="false" ht="15" hidden="false" customHeight="false" outlineLevel="0" collapsed="false">
      <c r="A640" s="16"/>
      <c r="B640" s="17"/>
      <c r="C640" s="17"/>
      <c r="D640" s="17"/>
      <c r="E640" s="17"/>
      <c r="F640" s="17"/>
      <c r="G640" s="18" t="str">
        <f aca="false">IF(COUNT(D640:F640)=0,"",MAX(D640:F640))</f>
        <v/>
      </c>
      <c r="H640" s="18" t="str">
        <f aca="false">IF(COUNT(D640:F640)=0,"",ROUND(AVERAGE(D640:F640),1))</f>
        <v/>
      </c>
      <c r="I640" s="18" t="str">
        <f aca="false">IF(H640="","",IF(J640&lt;설정!$B$7,"",ROUND(AVERAGEIFS($H$2:$H$1001,$B$2:$B$1001,B640,$A$2:$A$1001,"&lt;"&amp;A640,$A$2:$A$1001,"&gt;="&amp;(A640-설정!$B$6)),1)))</f>
        <v/>
      </c>
      <c r="J640" s="18" t="str">
        <f aca="false">IF(H640="","",COUNTIFS($B$2:$B$1001,B640,$A$2:$A$1001,"&lt;"&amp;A640,$A$2:$A$1001,"&gt;="&amp;(A640-설정!$B$6),$H$2:$H$1001,"&gt;=0"))</f>
        <v/>
      </c>
      <c r="K640" s="21" t="str">
        <f aca="false">IF(I640="","",H640/I640-1)</f>
        <v/>
      </c>
      <c r="L640" s="19" t="str">
        <f aca="false">IF(H640="","",IF(J640&lt;설정!$B$7,"baseline 수집 중",IF(K640&lt;=-설정!$B$8,"저하","정상")))</f>
        <v/>
      </c>
      <c r="M640" s="20"/>
    </row>
    <row r="641" customFormat="false" ht="15" hidden="false" customHeight="false" outlineLevel="0" collapsed="false">
      <c r="A641" s="16"/>
      <c r="B641" s="17"/>
      <c r="C641" s="17"/>
      <c r="D641" s="17"/>
      <c r="E641" s="17"/>
      <c r="F641" s="17"/>
      <c r="G641" s="18" t="str">
        <f aca="false">IF(COUNT(D641:F641)=0,"",MAX(D641:F641))</f>
        <v/>
      </c>
      <c r="H641" s="18" t="str">
        <f aca="false">IF(COUNT(D641:F641)=0,"",ROUND(AVERAGE(D641:F641),1))</f>
        <v/>
      </c>
      <c r="I641" s="18" t="str">
        <f aca="false">IF(H641="","",IF(J641&lt;설정!$B$7,"",ROUND(AVERAGEIFS($H$2:$H$1001,$B$2:$B$1001,B641,$A$2:$A$1001,"&lt;"&amp;A641,$A$2:$A$1001,"&gt;="&amp;(A641-설정!$B$6)),1)))</f>
        <v/>
      </c>
      <c r="J641" s="18" t="str">
        <f aca="false">IF(H641="","",COUNTIFS($B$2:$B$1001,B641,$A$2:$A$1001,"&lt;"&amp;A641,$A$2:$A$1001,"&gt;="&amp;(A641-설정!$B$6),$H$2:$H$1001,"&gt;=0"))</f>
        <v/>
      </c>
      <c r="K641" s="21" t="str">
        <f aca="false">IF(I641="","",H641/I641-1)</f>
        <v/>
      </c>
      <c r="L641" s="19" t="str">
        <f aca="false">IF(H641="","",IF(J641&lt;설정!$B$7,"baseline 수집 중",IF(K641&lt;=-설정!$B$8,"저하","정상")))</f>
        <v/>
      </c>
      <c r="M641" s="20"/>
    </row>
    <row r="642" customFormat="false" ht="15" hidden="false" customHeight="false" outlineLevel="0" collapsed="false">
      <c r="A642" s="16"/>
      <c r="B642" s="17"/>
      <c r="C642" s="17"/>
      <c r="D642" s="17"/>
      <c r="E642" s="17"/>
      <c r="F642" s="17"/>
      <c r="G642" s="18" t="str">
        <f aca="false">IF(COUNT(D642:F642)=0,"",MAX(D642:F642))</f>
        <v/>
      </c>
      <c r="H642" s="18" t="str">
        <f aca="false">IF(COUNT(D642:F642)=0,"",ROUND(AVERAGE(D642:F642),1))</f>
        <v/>
      </c>
      <c r="I642" s="18" t="str">
        <f aca="false">IF(H642="","",IF(J642&lt;설정!$B$7,"",ROUND(AVERAGEIFS($H$2:$H$1001,$B$2:$B$1001,B642,$A$2:$A$1001,"&lt;"&amp;A642,$A$2:$A$1001,"&gt;="&amp;(A642-설정!$B$6)),1)))</f>
        <v/>
      </c>
      <c r="J642" s="18" t="str">
        <f aca="false">IF(H642="","",COUNTIFS($B$2:$B$1001,B642,$A$2:$A$1001,"&lt;"&amp;A642,$A$2:$A$1001,"&gt;="&amp;(A642-설정!$B$6),$H$2:$H$1001,"&gt;=0"))</f>
        <v/>
      </c>
      <c r="K642" s="21" t="str">
        <f aca="false">IF(I642="","",H642/I642-1)</f>
        <v/>
      </c>
      <c r="L642" s="19" t="str">
        <f aca="false">IF(H642="","",IF(J642&lt;설정!$B$7,"baseline 수집 중",IF(K642&lt;=-설정!$B$8,"저하","정상")))</f>
        <v/>
      </c>
      <c r="M642" s="20"/>
    </row>
    <row r="643" customFormat="false" ht="15" hidden="false" customHeight="false" outlineLevel="0" collapsed="false">
      <c r="A643" s="16"/>
      <c r="B643" s="17"/>
      <c r="C643" s="17"/>
      <c r="D643" s="17"/>
      <c r="E643" s="17"/>
      <c r="F643" s="17"/>
      <c r="G643" s="18" t="str">
        <f aca="false">IF(COUNT(D643:F643)=0,"",MAX(D643:F643))</f>
        <v/>
      </c>
      <c r="H643" s="18" t="str">
        <f aca="false">IF(COUNT(D643:F643)=0,"",ROUND(AVERAGE(D643:F643),1))</f>
        <v/>
      </c>
      <c r="I643" s="18" t="str">
        <f aca="false">IF(H643="","",IF(J643&lt;설정!$B$7,"",ROUND(AVERAGEIFS($H$2:$H$1001,$B$2:$B$1001,B643,$A$2:$A$1001,"&lt;"&amp;A643,$A$2:$A$1001,"&gt;="&amp;(A643-설정!$B$6)),1)))</f>
        <v/>
      </c>
      <c r="J643" s="18" t="str">
        <f aca="false">IF(H643="","",COUNTIFS($B$2:$B$1001,B643,$A$2:$A$1001,"&lt;"&amp;A643,$A$2:$A$1001,"&gt;="&amp;(A643-설정!$B$6),$H$2:$H$1001,"&gt;=0"))</f>
        <v/>
      </c>
      <c r="K643" s="21" t="str">
        <f aca="false">IF(I643="","",H643/I643-1)</f>
        <v/>
      </c>
      <c r="L643" s="19" t="str">
        <f aca="false">IF(H643="","",IF(J643&lt;설정!$B$7,"baseline 수집 중",IF(K643&lt;=-설정!$B$8,"저하","정상")))</f>
        <v/>
      </c>
      <c r="M643" s="20"/>
    </row>
    <row r="644" customFormat="false" ht="15" hidden="false" customHeight="false" outlineLevel="0" collapsed="false">
      <c r="A644" s="16"/>
      <c r="B644" s="17"/>
      <c r="C644" s="17"/>
      <c r="D644" s="17"/>
      <c r="E644" s="17"/>
      <c r="F644" s="17"/>
      <c r="G644" s="18" t="str">
        <f aca="false">IF(COUNT(D644:F644)=0,"",MAX(D644:F644))</f>
        <v/>
      </c>
      <c r="H644" s="18" t="str">
        <f aca="false">IF(COUNT(D644:F644)=0,"",ROUND(AVERAGE(D644:F644),1))</f>
        <v/>
      </c>
      <c r="I644" s="18" t="str">
        <f aca="false">IF(H644="","",IF(J644&lt;설정!$B$7,"",ROUND(AVERAGEIFS($H$2:$H$1001,$B$2:$B$1001,B644,$A$2:$A$1001,"&lt;"&amp;A644,$A$2:$A$1001,"&gt;="&amp;(A644-설정!$B$6)),1)))</f>
        <v/>
      </c>
      <c r="J644" s="18" t="str">
        <f aca="false">IF(H644="","",COUNTIFS($B$2:$B$1001,B644,$A$2:$A$1001,"&lt;"&amp;A644,$A$2:$A$1001,"&gt;="&amp;(A644-설정!$B$6),$H$2:$H$1001,"&gt;=0"))</f>
        <v/>
      </c>
      <c r="K644" s="21" t="str">
        <f aca="false">IF(I644="","",H644/I644-1)</f>
        <v/>
      </c>
      <c r="L644" s="19" t="str">
        <f aca="false">IF(H644="","",IF(J644&lt;설정!$B$7,"baseline 수집 중",IF(K644&lt;=-설정!$B$8,"저하","정상")))</f>
        <v/>
      </c>
      <c r="M644" s="20"/>
    </row>
    <row r="645" customFormat="false" ht="15" hidden="false" customHeight="false" outlineLevel="0" collapsed="false">
      <c r="A645" s="16"/>
      <c r="B645" s="17"/>
      <c r="C645" s="17"/>
      <c r="D645" s="17"/>
      <c r="E645" s="17"/>
      <c r="F645" s="17"/>
      <c r="G645" s="18" t="str">
        <f aca="false">IF(COUNT(D645:F645)=0,"",MAX(D645:F645))</f>
        <v/>
      </c>
      <c r="H645" s="18" t="str">
        <f aca="false">IF(COUNT(D645:F645)=0,"",ROUND(AVERAGE(D645:F645),1))</f>
        <v/>
      </c>
      <c r="I645" s="18" t="str">
        <f aca="false">IF(H645="","",IF(J645&lt;설정!$B$7,"",ROUND(AVERAGEIFS($H$2:$H$1001,$B$2:$B$1001,B645,$A$2:$A$1001,"&lt;"&amp;A645,$A$2:$A$1001,"&gt;="&amp;(A645-설정!$B$6)),1)))</f>
        <v/>
      </c>
      <c r="J645" s="18" t="str">
        <f aca="false">IF(H645="","",COUNTIFS($B$2:$B$1001,B645,$A$2:$A$1001,"&lt;"&amp;A645,$A$2:$A$1001,"&gt;="&amp;(A645-설정!$B$6),$H$2:$H$1001,"&gt;=0"))</f>
        <v/>
      </c>
      <c r="K645" s="21" t="str">
        <f aca="false">IF(I645="","",H645/I645-1)</f>
        <v/>
      </c>
      <c r="L645" s="19" t="str">
        <f aca="false">IF(H645="","",IF(J645&lt;설정!$B$7,"baseline 수집 중",IF(K645&lt;=-설정!$B$8,"저하","정상")))</f>
        <v/>
      </c>
      <c r="M645" s="20"/>
    </row>
    <row r="646" customFormat="false" ht="15" hidden="false" customHeight="false" outlineLevel="0" collapsed="false">
      <c r="A646" s="16"/>
      <c r="B646" s="17"/>
      <c r="C646" s="17"/>
      <c r="D646" s="17"/>
      <c r="E646" s="17"/>
      <c r="F646" s="17"/>
      <c r="G646" s="18" t="str">
        <f aca="false">IF(COUNT(D646:F646)=0,"",MAX(D646:F646))</f>
        <v/>
      </c>
      <c r="H646" s="18" t="str">
        <f aca="false">IF(COUNT(D646:F646)=0,"",ROUND(AVERAGE(D646:F646),1))</f>
        <v/>
      </c>
      <c r="I646" s="18" t="str">
        <f aca="false">IF(H646="","",IF(J646&lt;설정!$B$7,"",ROUND(AVERAGEIFS($H$2:$H$1001,$B$2:$B$1001,B646,$A$2:$A$1001,"&lt;"&amp;A646,$A$2:$A$1001,"&gt;="&amp;(A646-설정!$B$6)),1)))</f>
        <v/>
      </c>
      <c r="J646" s="18" t="str">
        <f aca="false">IF(H646="","",COUNTIFS($B$2:$B$1001,B646,$A$2:$A$1001,"&lt;"&amp;A646,$A$2:$A$1001,"&gt;="&amp;(A646-설정!$B$6),$H$2:$H$1001,"&gt;=0"))</f>
        <v/>
      </c>
      <c r="K646" s="21" t="str">
        <f aca="false">IF(I646="","",H646/I646-1)</f>
        <v/>
      </c>
      <c r="L646" s="19" t="str">
        <f aca="false">IF(H646="","",IF(J646&lt;설정!$B$7,"baseline 수집 중",IF(K646&lt;=-설정!$B$8,"저하","정상")))</f>
        <v/>
      </c>
      <c r="M646" s="20"/>
    </row>
    <row r="647" customFormat="false" ht="15" hidden="false" customHeight="false" outlineLevel="0" collapsed="false">
      <c r="A647" s="16"/>
      <c r="B647" s="17"/>
      <c r="C647" s="17"/>
      <c r="D647" s="17"/>
      <c r="E647" s="17"/>
      <c r="F647" s="17"/>
      <c r="G647" s="18" t="str">
        <f aca="false">IF(COUNT(D647:F647)=0,"",MAX(D647:F647))</f>
        <v/>
      </c>
      <c r="H647" s="18" t="str">
        <f aca="false">IF(COUNT(D647:F647)=0,"",ROUND(AVERAGE(D647:F647),1))</f>
        <v/>
      </c>
      <c r="I647" s="18" t="str">
        <f aca="false">IF(H647="","",IF(J647&lt;설정!$B$7,"",ROUND(AVERAGEIFS($H$2:$H$1001,$B$2:$B$1001,B647,$A$2:$A$1001,"&lt;"&amp;A647,$A$2:$A$1001,"&gt;="&amp;(A647-설정!$B$6)),1)))</f>
        <v/>
      </c>
      <c r="J647" s="18" t="str">
        <f aca="false">IF(H647="","",COUNTIFS($B$2:$B$1001,B647,$A$2:$A$1001,"&lt;"&amp;A647,$A$2:$A$1001,"&gt;="&amp;(A647-설정!$B$6),$H$2:$H$1001,"&gt;=0"))</f>
        <v/>
      </c>
      <c r="K647" s="21" t="str">
        <f aca="false">IF(I647="","",H647/I647-1)</f>
        <v/>
      </c>
      <c r="L647" s="19" t="str">
        <f aca="false">IF(H647="","",IF(J647&lt;설정!$B$7,"baseline 수집 중",IF(K647&lt;=-설정!$B$8,"저하","정상")))</f>
        <v/>
      </c>
      <c r="M647" s="20"/>
    </row>
    <row r="648" customFormat="false" ht="15" hidden="false" customHeight="false" outlineLevel="0" collapsed="false">
      <c r="A648" s="16"/>
      <c r="B648" s="17"/>
      <c r="C648" s="17"/>
      <c r="D648" s="17"/>
      <c r="E648" s="17"/>
      <c r="F648" s="17"/>
      <c r="G648" s="18" t="str">
        <f aca="false">IF(COUNT(D648:F648)=0,"",MAX(D648:F648))</f>
        <v/>
      </c>
      <c r="H648" s="18" t="str">
        <f aca="false">IF(COUNT(D648:F648)=0,"",ROUND(AVERAGE(D648:F648),1))</f>
        <v/>
      </c>
      <c r="I648" s="18" t="str">
        <f aca="false">IF(H648="","",IF(J648&lt;설정!$B$7,"",ROUND(AVERAGEIFS($H$2:$H$1001,$B$2:$B$1001,B648,$A$2:$A$1001,"&lt;"&amp;A648,$A$2:$A$1001,"&gt;="&amp;(A648-설정!$B$6)),1)))</f>
        <v/>
      </c>
      <c r="J648" s="18" t="str">
        <f aca="false">IF(H648="","",COUNTIFS($B$2:$B$1001,B648,$A$2:$A$1001,"&lt;"&amp;A648,$A$2:$A$1001,"&gt;="&amp;(A648-설정!$B$6),$H$2:$H$1001,"&gt;=0"))</f>
        <v/>
      </c>
      <c r="K648" s="21" t="str">
        <f aca="false">IF(I648="","",H648/I648-1)</f>
        <v/>
      </c>
      <c r="L648" s="19" t="str">
        <f aca="false">IF(H648="","",IF(J648&lt;설정!$B$7,"baseline 수집 중",IF(K648&lt;=-설정!$B$8,"저하","정상")))</f>
        <v/>
      </c>
      <c r="M648" s="20"/>
    </row>
    <row r="649" customFormat="false" ht="15" hidden="false" customHeight="false" outlineLevel="0" collapsed="false">
      <c r="A649" s="16"/>
      <c r="B649" s="17"/>
      <c r="C649" s="17"/>
      <c r="D649" s="17"/>
      <c r="E649" s="17"/>
      <c r="F649" s="17"/>
      <c r="G649" s="18" t="str">
        <f aca="false">IF(COUNT(D649:F649)=0,"",MAX(D649:F649))</f>
        <v/>
      </c>
      <c r="H649" s="18" t="str">
        <f aca="false">IF(COUNT(D649:F649)=0,"",ROUND(AVERAGE(D649:F649),1))</f>
        <v/>
      </c>
      <c r="I649" s="18" t="str">
        <f aca="false">IF(H649="","",IF(J649&lt;설정!$B$7,"",ROUND(AVERAGEIFS($H$2:$H$1001,$B$2:$B$1001,B649,$A$2:$A$1001,"&lt;"&amp;A649,$A$2:$A$1001,"&gt;="&amp;(A649-설정!$B$6)),1)))</f>
        <v/>
      </c>
      <c r="J649" s="18" t="str">
        <f aca="false">IF(H649="","",COUNTIFS($B$2:$B$1001,B649,$A$2:$A$1001,"&lt;"&amp;A649,$A$2:$A$1001,"&gt;="&amp;(A649-설정!$B$6),$H$2:$H$1001,"&gt;=0"))</f>
        <v/>
      </c>
      <c r="K649" s="21" t="str">
        <f aca="false">IF(I649="","",H649/I649-1)</f>
        <v/>
      </c>
      <c r="L649" s="19" t="str">
        <f aca="false">IF(H649="","",IF(J649&lt;설정!$B$7,"baseline 수집 중",IF(K649&lt;=-설정!$B$8,"저하","정상")))</f>
        <v/>
      </c>
      <c r="M649" s="20"/>
    </row>
    <row r="650" customFormat="false" ht="15" hidden="false" customHeight="false" outlineLevel="0" collapsed="false">
      <c r="A650" s="16"/>
      <c r="B650" s="17"/>
      <c r="C650" s="17"/>
      <c r="D650" s="17"/>
      <c r="E650" s="17"/>
      <c r="F650" s="17"/>
      <c r="G650" s="18" t="str">
        <f aca="false">IF(COUNT(D650:F650)=0,"",MAX(D650:F650))</f>
        <v/>
      </c>
      <c r="H650" s="18" t="str">
        <f aca="false">IF(COUNT(D650:F650)=0,"",ROUND(AVERAGE(D650:F650),1))</f>
        <v/>
      </c>
      <c r="I650" s="18" t="str">
        <f aca="false">IF(H650="","",IF(J650&lt;설정!$B$7,"",ROUND(AVERAGEIFS($H$2:$H$1001,$B$2:$B$1001,B650,$A$2:$A$1001,"&lt;"&amp;A650,$A$2:$A$1001,"&gt;="&amp;(A650-설정!$B$6)),1)))</f>
        <v/>
      </c>
      <c r="J650" s="18" t="str">
        <f aca="false">IF(H650="","",COUNTIFS($B$2:$B$1001,B650,$A$2:$A$1001,"&lt;"&amp;A650,$A$2:$A$1001,"&gt;="&amp;(A650-설정!$B$6),$H$2:$H$1001,"&gt;=0"))</f>
        <v/>
      </c>
      <c r="K650" s="21" t="str">
        <f aca="false">IF(I650="","",H650/I650-1)</f>
        <v/>
      </c>
      <c r="L650" s="19" t="str">
        <f aca="false">IF(H650="","",IF(J650&lt;설정!$B$7,"baseline 수집 중",IF(K650&lt;=-설정!$B$8,"저하","정상")))</f>
        <v/>
      </c>
      <c r="M650" s="20"/>
    </row>
    <row r="651" customFormat="false" ht="15" hidden="false" customHeight="false" outlineLevel="0" collapsed="false">
      <c r="A651" s="16"/>
      <c r="B651" s="17"/>
      <c r="C651" s="17"/>
      <c r="D651" s="17"/>
      <c r="E651" s="17"/>
      <c r="F651" s="17"/>
      <c r="G651" s="18" t="str">
        <f aca="false">IF(COUNT(D651:F651)=0,"",MAX(D651:F651))</f>
        <v/>
      </c>
      <c r="H651" s="18" t="str">
        <f aca="false">IF(COUNT(D651:F651)=0,"",ROUND(AVERAGE(D651:F651),1))</f>
        <v/>
      </c>
      <c r="I651" s="18" t="str">
        <f aca="false">IF(H651="","",IF(J651&lt;설정!$B$7,"",ROUND(AVERAGEIFS($H$2:$H$1001,$B$2:$B$1001,B651,$A$2:$A$1001,"&lt;"&amp;A651,$A$2:$A$1001,"&gt;="&amp;(A651-설정!$B$6)),1)))</f>
        <v/>
      </c>
      <c r="J651" s="18" t="str">
        <f aca="false">IF(H651="","",COUNTIFS($B$2:$B$1001,B651,$A$2:$A$1001,"&lt;"&amp;A651,$A$2:$A$1001,"&gt;="&amp;(A651-설정!$B$6),$H$2:$H$1001,"&gt;=0"))</f>
        <v/>
      </c>
      <c r="K651" s="21" t="str">
        <f aca="false">IF(I651="","",H651/I651-1)</f>
        <v/>
      </c>
      <c r="L651" s="19" t="str">
        <f aca="false">IF(H651="","",IF(J651&lt;설정!$B$7,"baseline 수집 중",IF(K651&lt;=-설정!$B$8,"저하","정상")))</f>
        <v/>
      </c>
      <c r="M651" s="20"/>
    </row>
    <row r="652" customFormat="false" ht="15" hidden="false" customHeight="false" outlineLevel="0" collapsed="false">
      <c r="A652" s="16"/>
      <c r="B652" s="17"/>
      <c r="C652" s="17"/>
      <c r="D652" s="17"/>
      <c r="E652" s="17"/>
      <c r="F652" s="17"/>
      <c r="G652" s="18" t="str">
        <f aca="false">IF(COUNT(D652:F652)=0,"",MAX(D652:F652))</f>
        <v/>
      </c>
      <c r="H652" s="18" t="str">
        <f aca="false">IF(COUNT(D652:F652)=0,"",ROUND(AVERAGE(D652:F652),1))</f>
        <v/>
      </c>
      <c r="I652" s="18" t="str">
        <f aca="false">IF(H652="","",IF(J652&lt;설정!$B$7,"",ROUND(AVERAGEIFS($H$2:$H$1001,$B$2:$B$1001,B652,$A$2:$A$1001,"&lt;"&amp;A652,$A$2:$A$1001,"&gt;="&amp;(A652-설정!$B$6)),1)))</f>
        <v/>
      </c>
      <c r="J652" s="18" t="str">
        <f aca="false">IF(H652="","",COUNTIFS($B$2:$B$1001,B652,$A$2:$A$1001,"&lt;"&amp;A652,$A$2:$A$1001,"&gt;="&amp;(A652-설정!$B$6),$H$2:$H$1001,"&gt;=0"))</f>
        <v/>
      </c>
      <c r="K652" s="21" t="str">
        <f aca="false">IF(I652="","",H652/I652-1)</f>
        <v/>
      </c>
      <c r="L652" s="19" t="str">
        <f aca="false">IF(H652="","",IF(J652&lt;설정!$B$7,"baseline 수집 중",IF(K652&lt;=-설정!$B$8,"저하","정상")))</f>
        <v/>
      </c>
      <c r="M652" s="20"/>
    </row>
    <row r="653" customFormat="false" ht="15" hidden="false" customHeight="false" outlineLevel="0" collapsed="false">
      <c r="A653" s="16"/>
      <c r="B653" s="17"/>
      <c r="C653" s="17"/>
      <c r="D653" s="17"/>
      <c r="E653" s="17"/>
      <c r="F653" s="17"/>
      <c r="G653" s="18" t="str">
        <f aca="false">IF(COUNT(D653:F653)=0,"",MAX(D653:F653))</f>
        <v/>
      </c>
      <c r="H653" s="18" t="str">
        <f aca="false">IF(COUNT(D653:F653)=0,"",ROUND(AVERAGE(D653:F653),1))</f>
        <v/>
      </c>
      <c r="I653" s="18" t="str">
        <f aca="false">IF(H653="","",IF(J653&lt;설정!$B$7,"",ROUND(AVERAGEIFS($H$2:$H$1001,$B$2:$B$1001,B653,$A$2:$A$1001,"&lt;"&amp;A653,$A$2:$A$1001,"&gt;="&amp;(A653-설정!$B$6)),1)))</f>
        <v/>
      </c>
      <c r="J653" s="18" t="str">
        <f aca="false">IF(H653="","",COUNTIFS($B$2:$B$1001,B653,$A$2:$A$1001,"&lt;"&amp;A653,$A$2:$A$1001,"&gt;="&amp;(A653-설정!$B$6),$H$2:$H$1001,"&gt;=0"))</f>
        <v/>
      </c>
      <c r="K653" s="21" t="str">
        <f aca="false">IF(I653="","",H653/I653-1)</f>
        <v/>
      </c>
      <c r="L653" s="19" t="str">
        <f aca="false">IF(H653="","",IF(J653&lt;설정!$B$7,"baseline 수집 중",IF(K653&lt;=-설정!$B$8,"저하","정상")))</f>
        <v/>
      </c>
      <c r="M653" s="20"/>
    </row>
    <row r="654" customFormat="false" ht="15" hidden="false" customHeight="false" outlineLevel="0" collapsed="false">
      <c r="A654" s="16"/>
      <c r="B654" s="17"/>
      <c r="C654" s="17"/>
      <c r="D654" s="17"/>
      <c r="E654" s="17"/>
      <c r="F654" s="17"/>
      <c r="G654" s="18" t="str">
        <f aca="false">IF(COUNT(D654:F654)=0,"",MAX(D654:F654))</f>
        <v/>
      </c>
      <c r="H654" s="18" t="str">
        <f aca="false">IF(COUNT(D654:F654)=0,"",ROUND(AVERAGE(D654:F654),1))</f>
        <v/>
      </c>
      <c r="I654" s="18" t="str">
        <f aca="false">IF(H654="","",IF(J654&lt;설정!$B$7,"",ROUND(AVERAGEIFS($H$2:$H$1001,$B$2:$B$1001,B654,$A$2:$A$1001,"&lt;"&amp;A654,$A$2:$A$1001,"&gt;="&amp;(A654-설정!$B$6)),1)))</f>
        <v/>
      </c>
      <c r="J654" s="18" t="str">
        <f aca="false">IF(H654="","",COUNTIFS($B$2:$B$1001,B654,$A$2:$A$1001,"&lt;"&amp;A654,$A$2:$A$1001,"&gt;="&amp;(A654-설정!$B$6),$H$2:$H$1001,"&gt;=0"))</f>
        <v/>
      </c>
      <c r="K654" s="21" t="str">
        <f aca="false">IF(I654="","",H654/I654-1)</f>
        <v/>
      </c>
      <c r="L654" s="19" t="str">
        <f aca="false">IF(H654="","",IF(J654&lt;설정!$B$7,"baseline 수집 중",IF(K654&lt;=-설정!$B$8,"저하","정상")))</f>
        <v/>
      </c>
      <c r="M654" s="20"/>
    </row>
    <row r="655" customFormat="false" ht="15" hidden="false" customHeight="false" outlineLevel="0" collapsed="false">
      <c r="A655" s="16"/>
      <c r="B655" s="17"/>
      <c r="C655" s="17"/>
      <c r="D655" s="17"/>
      <c r="E655" s="17"/>
      <c r="F655" s="17"/>
      <c r="G655" s="18" t="str">
        <f aca="false">IF(COUNT(D655:F655)=0,"",MAX(D655:F655))</f>
        <v/>
      </c>
      <c r="H655" s="18" t="str">
        <f aca="false">IF(COUNT(D655:F655)=0,"",ROUND(AVERAGE(D655:F655),1))</f>
        <v/>
      </c>
      <c r="I655" s="18" t="str">
        <f aca="false">IF(H655="","",IF(J655&lt;설정!$B$7,"",ROUND(AVERAGEIFS($H$2:$H$1001,$B$2:$B$1001,B655,$A$2:$A$1001,"&lt;"&amp;A655,$A$2:$A$1001,"&gt;="&amp;(A655-설정!$B$6)),1)))</f>
        <v/>
      </c>
      <c r="J655" s="18" t="str">
        <f aca="false">IF(H655="","",COUNTIFS($B$2:$B$1001,B655,$A$2:$A$1001,"&lt;"&amp;A655,$A$2:$A$1001,"&gt;="&amp;(A655-설정!$B$6),$H$2:$H$1001,"&gt;=0"))</f>
        <v/>
      </c>
      <c r="K655" s="21" t="str">
        <f aca="false">IF(I655="","",H655/I655-1)</f>
        <v/>
      </c>
      <c r="L655" s="19" t="str">
        <f aca="false">IF(H655="","",IF(J655&lt;설정!$B$7,"baseline 수집 중",IF(K655&lt;=-설정!$B$8,"저하","정상")))</f>
        <v/>
      </c>
      <c r="M655" s="20"/>
    </row>
    <row r="656" customFormat="false" ht="15" hidden="false" customHeight="false" outlineLevel="0" collapsed="false">
      <c r="A656" s="16"/>
      <c r="B656" s="17"/>
      <c r="C656" s="17"/>
      <c r="D656" s="17"/>
      <c r="E656" s="17"/>
      <c r="F656" s="17"/>
      <c r="G656" s="18" t="str">
        <f aca="false">IF(COUNT(D656:F656)=0,"",MAX(D656:F656))</f>
        <v/>
      </c>
      <c r="H656" s="18" t="str">
        <f aca="false">IF(COUNT(D656:F656)=0,"",ROUND(AVERAGE(D656:F656),1))</f>
        <v/>
      </c>
      <c r="I656" s="18" t="str">
        <f aca="false">IF(H656="","",IF(J656&lt;설정!$B$7,"",ROUND(AVERAGEIFS($H$2:$H$1001,$B$2:$B$1001,B656,$A$2:$A$1001,"&lt;"&amp;A656,$A$2:$A$1001,"&gt;="&amp;(A656-설정!$B$6)),1)))</f>
        <v/>
      </c>
      <c r="J656" s="18" t="str">
        <f aca="false">IF(H656="","",COUNTIFS($B$2:$B$1001,B656,$A$2:$A$1001,"&lt;"&amp;A656,$A$2:$A$1001,"&gt;="&amp;(A656-설정!$B$6),$H$2:$H$1001,"&gt;=0"))</f>
        <v/>
      </c>
      <c r="K656" s="21" t="str">
        <f aca="false">IF(I656="","",H656/I656-1)</f>
        <v/>
      </c>
      <c r="L656" s="19" t="str">
        <f aca="false">IF(H656="","",IF(J656&lt;설정!$B$7,"baseline 수집 중",IF(K656&lt;=-설정!$B$8,"저하","정상")))</f>
        <v/>
      </c>
      <c r="M656" s="20"/>
    </row>
    <row r="657" customFormat="false" ht="15" hidden="false" customHeight="false" outlineLevel="0" collapsed="false">
      <c r="A657" s="16"/>
      <c r="B657" s="17"/>
      <c r="C657" s="17"/>
      <c r="D657" s="17"/>
      <c r="E657" s="17"/>
      <c r="F657" s="17"/>
      <c r="G657" s="18" t="str">
        <f aca="false">IF(COUNT(D657:F657)=0,"",MAX(D657:F657))</f>
        <v/>
      </c>
      <c r="H657" s="18" t="str">
        <f aca="false">IF(COUNT(D657:F657)=0,"",ROUND(AVERAGE(D657:F657),1))</f>
        <v/>
      </c>
      <c r="I657" s="18" t="str">
        <f aca="false">IF(H657="","",IF(J657&lt;설정!$B$7,"",ROUND(AVERAGEIFS($H$2:$H$1001,$B$2:$B$1001,B657,$A$2:$A$1001,"&lt;"&amp;A657,$A$2:$A$1001,"&gt;="&amp;(A657-설정!$B$6)),1)))</f>
        <v/>
      </c>
      <c r="J657" s="18" t="str">
        <f aca="false">IF(H657="","",COUNTIFS($B$2:$B$1001,B657,$A$2:$A$1001,"&lt;"&amp;A657,$A$2:$A$1001,"&gt;="&amp;(A657-설정!$B$6),$H$2:$H$1001,"&gt;=0"))</f>
        <v/>
      </c>
      <c r="K657" s="21" t="str">
        <f aca="false">IF(I657="","",H657/I657-1)</f>
        <v/>
      </c>
      <c r="L657" s="19" t="str">
        <f aca="false">IF(H657="","",IF(J657&lt;설정!$B$7,"baseline 수집 중",IF(K657&lt;=-설정!$B$8,"저하","정상")))</f>
        <v/>
      </c>
      <c r="M657" s="20"/>
    </row>
    <row r="658" customFormat="false" ht="15" hidden="false" customHeight="false" outlineLevel="0" collapsed="false">
      <c r="A658" s="16"/>
      <c r="B658" s="17"/>
      <c r="C658" s="17"/>
      <c r="D658" s="17"/>
      <c r="E658" s="17"/>
      <c r="F658" s="17"/>
      <c r="G658" s="18" t="str">
        <f aca="false">IF(COUNT(D658:F658)=0,"",MAX(D658:F658))</f>
        <v/>
      </c>
      <c r="H658" s="18" t="str">
        <f aca="false">IF(COUNT(D658:F658)=0,"",ROUND(AVERAGE(D658:F658),1))</f>
        <v/>
      </c>
      <c r="I658" s="18" t="str">
        <f aca="false">IF(H658="","",IF(J658&lt;설정!$B$7,"",ROUND(AVERAGEIFS($H$2:$H$1001,$B$2:$B$1001,B658,$A$2:$A$1001,"&lt;"&amp;A658,$A$2:$A$1001,"&gt;="&amp;(A658-설정!$B$6)),1)))</f>
        <v/>
      </c>
      <c r="J658" s="18" t="str">
        <f aca="false">IF(H658="","",COUNTIFS($B$2:$B$1001,B658,$A$2:$A$1001,"&lt;"&amp;A658,$A$2:$A$1001,"&gt;="&amp;(A658-설정!$B$6),$H$2:$H$1001,"&gt;=0"))</f>
        <v/>
      </c>
      <c r="K658" s="21" t="str">
        <f aca="false">IF(I658="","",H658/I658-1)</f>
        <v/>
      </c>
      <c r="L658" s="19" t="str">
        <f aca="false">IF(H658="","",IF(J658&lt;설정!$B$7,"baseline 수집 중",IF(K658&lt;=-설정!$B$8,"저하","정상")))</f>
        <v/>
      </c>
      <c r="M658" s="20"/>
    </row>
    <row r="659" customFormat="false" ht="15" hidden="false" customHeight="false" outlineLevel="0" collapsed="false">
      <c r="A659" s="16"/>
      <c r="B659" s="17"/>
      <c r="C659" s="17"/>
      <c r="D659" s="17"/>
      <c r="E659" s="17"/>
      <c r="F659" s="17"/>
      <c r="G659" s="18" t="str">
        <f aca="false">IF(COUNT(D659:F659)=0,"",MAX(D659:F659))</f>
        <v/>
      </c>
      <c r="H659" s="18" t="str">
        <f aca="false">IF(COUNT(D659:F659)=0,"",ROUND(AVERAGE(D659:F659),1))</f>
        <v/>
      </c>
      <c r="I659" s="18" t="str">
        <f aca="false">IF(H659="","",IF(J659&lt;설정!$B$7,"",ROUND(AVERAGEIFS($H$2:$H$1001,$B$2:$B$1001,B659,$A$2:$A$1001,"&lt;"&amp;A659,$A$2:$A$1001,"&gt;="&amp;(A659-설정!$B$6)),1)))</f>
        <v/>
      </c>
      <c r="J659" s="18" t="str">
        <f aca="false">IF(H659="","",COUNTIFS($B$2:$B$1001,B659,$A$2:$A$1001,"&lt;"&amp;A659,$A$2:$A$1001,"&gt;="&amp;(A659-설정!$B$6),$H$2:$H$1001,"&gt;=0"))</f>
        <v/>
      </c>
      <c r="K659" s="21" t="str">
        <f aca="false">IF(I659="","",H659/I659-1)</f>
        <v/>
      </c>
      <c r="L659" s="19" t="str">
        <f aca="false">IF(H659="","",IF(J659&lt;설정!$B$7,"baseline 수집 중",IF(K659&lt;=-설정!$B$8,"저하","정상")))</f>
        <v/>
      </c>
      <c r="M659" s="20"/>
    </row>
    <row r="660" customFormat="false" ht="15" hidden="false" customHeight="false" outlineLevel="0" collapsed="false">
      <c r="A660" s="16"/>
      <c r="B660" s="17"/>
      <c r="C660" s="17"/>
      <c r="D660" s="17"/>
      <c r="E660" s="17"/>
      <c r="F660" s="17"/>
      <c r="G660" s="18" t="str">
        <f aca="false">IF(COUNT(D660:F660)=0,"",MAX(D660:F660))</f>
        <v/>
      </c>
      <c r="H660" s="18" t="str">
        <f aca="false">IF(COUNT(D660:F660)=0,"",ROUND(AVERAGE(D660:F660),1))</f>
        <v/>
      </c>
      <c r="I660" s="18" t="str">
        <f aca="false">IF(H660="","",IF(J660&lt;설정!$B$7,"",ROUND(AVERAGEIFS($H$2:$H$1001,$B$2:$B$1001,B660,$A$2:$A$1001,"&lt;"&amp;A660,$A$2:$A$1001,"&gt;="&amp;(A660-설정!$B$6)),1)))</f>
        <v/>
      </c>
      <c r="J660" s="18" t="str">
        <f aca="false">IF(H660="","",COUNTIFS($B$2:$B$1001,B660,$A$2:$A$1001,"&lt;"&amp;A660,$A$2:$A$1001,"&gt;="&amp;(A660-설정!$B$6),$H$2:$H$1001,"&gt;=0"))</f>
        <v/>
      </c>
      <c r="K660" s="21" t="str">
        <f aca="false">IF(I660="","",H660/I660-1)</f>
        <v/>
      </c>
      <c r="L660" s="19" t="str">
        <f aca="false">IF(H660="","",IF(J660&lt;설정!$B$7,"baseline 수집 중",IF(K660&lt;=-설정!$B$8,"저하","정상")))</f>
        <v/>
      </c>
      <c r="M660" s="20"/>
    </row>
    <row r="661" customFormat="false" ht="15" hidden="false" customHeight="false" outlineLevel="0" collapsed="false">
      <c r="A661" s="16"/>
      <c r="B661" s="17"/>
      <c r="C661" s="17"/>
      <c r="D661" s="17"/>
      <c r="E661" s="17"/>
      <c r="F661" s="17"/>
      <c r="G661" s="18" t="str">
        <f aca="false">IF(COUNT(D661:F661)=0,"",MAX(D661:F661))</f>
        <v/>
      </c>
      <c r="H661" s="18" t="str">
        <f aca="false">IF(COUNT(D661:F661)=0,"",ROUND(AVERAGE(D661:F661),1))</f>
        <v/>
      </c>
      <c r="I661" s="18" t="str">
        <f aca="false">IF(H661="","",IF(J661&lt;설정!$B$7,"",ROUND(AVERAGEIFS($H$2:$H$1001,$B$2:$B$1001,B661,$A$2:$A$1001,"&lt;"&amp;A661,$A$2:$A$1001,"&gt;="&amp;(A661-설정!$B$6)),1)))</f>
        <v/>
      </c>
      <c r="J661" s="18" t="str">
        <f aca="false">IF(H661="","",COUNTIFS($B$2:$B$1001,B661,$A$2:$A$1001,"&lt;"&amp;A661,$A$2:$A$1001,"&gt;="&amp;(A661-설정!$B$6),$H$2:$H$1001,"&gt;=0"))</f>
        <v/>
      </c>
      <c r="K661" s="21" t="str">
        <f aca="false">IF(I661="","",H661/I661-1)</f>
        <v/>
      </c>
      <c r="L661" s="19" t="str">
        <f aca="false">IF(H661="","",IF(J661&lt;설정!$B$7,"baseline 수집 중",IF(K661&lt;=-설정!$B$8,"저하","정상")))</f>
        <v/>
      </c>
      <c r="M661" s="20"/>
    </row>
    <row r="662" customFormat="false" ht="15" hidden="false" customHeight="false" outlineLevel="0" collapsed="false">
      <c r="A662" s="16"/>
      <c r="B662" s="17"/>
      <c r="C662" s="17"/>
      <c r="D662" s="17"/>
      <c r="E662" s="17"/>
      <c r="F662" s="17"/>
      <c r="G662" s="18" t="str">
        <f aca="false">IF(COUNT(D662:F662)=0,"",MAX(D662:F662))</f>
        <v/>
      </c>
      <c r="H662" s="18" t="str">
        <f aca="false">IF(COUNT(D662:F662)=0,"",ROUND(AVERAGE(D662:F662),1))</f>
        <v/>
      </c>
      <c r="I662" s="18" t="str">
        <f aca="false">IF(H662="","",IF(J662&lt;설정!$B$7,"",ROUND(AVERAGEIFS($H$2:$H$1001,$B$2:$B$1001,B662,$A$2:$A$1001,"&lt;"&amp;A662,$A$2:$A$1001,"&gt;="&amp;(A662-설정!$B$6)),1)))</f>
        <v/>
      </c>
      <c r="J662" s="18" t="str">
        <f aca="false">IF(H662="","",COUNTIFS($B$2:$B$1001,B662,$A$2:$A$1001,"&lt;"&amp;A662,$A$2:$A$1001,"&gt;="&amp;(A662-설정!$B$6),$H$2:$H$1001,"&gt;=0"))</f>
        <v/>
      </c>
      <c r="K662" s="21" t="str">
        <f aca="false">IF(I662="","",H662/I662-1)</f>
        <v/>
      </c>
      <c r="L662" s="19" t="str">
        <f aca="false">IF(H662="","",IF(J662&lt;설정!$B$7,"baseline 수집 중",IF(K662&lt;=-설정!$B$8,"저하","정상")))</f>
        <v/>
      </c>
      <c r="M662" s="20"/>
    </row>
    <row r="663" customFormat="false" ht="15" hidden="false" customHeight="false" outlineLevel="0" collapsed="false">
      <c r="A663" s="16"/>
      <c r="B663" s="17"/>
      <c r="C663" s="17"/>
      <c r="D663" s="17"/>
      <c r="E663" s="17"/>
      <c r="F663" s="17"/>
      <c r="G663" s="18" t="str">
        <f aca="false">IF(COUNT(D663:F663)=0,"",MAX(D663:F663))</f>
        <v/>
      </c>
      <c r="H663" s="18" t="str">
        <f aca="false">IF(COUNT(D663:F663)=0,"",ROUND(AVERAGE(D663:F663),1))</f>
        <v/>
      </c>
      <c r="I663" s="18" t="str">
        <f aca="false">IF(H663="","",IF(J663&lt;설정!$B$7,"",ROUND(AVERAGEIFS($H$2:$H$1001,$B$2:$B$1001,B663,$A$2:$A$1001,"&lt;"&amp;A663,$A$2:$A$1001,"&gt;="&amp;(A663-설정!$B$6)),1)))</f>
        <v/>
      </c>
      <c r="J663" s="18" t="str">
        <f aca="false">IF(H663="","",COUNTIFS($B$2:$B$1001,B663,$A$2:$A$1001,"&lt;"&amp;A663,$A$2:$A$1001,"&gt;="&amp;(A663-설정!$B$6),$H$2:$H$1001,"&gt;=0"))</f>
        <v/>
      </c>
      <c r="K663" s="21" t="str">
        <f aca="false">IF(I663="","",H663/I663-1)</f>
        <v/>
      </c>
      <c r="L663" s="19" t="str">
        <f aca="false">IF(H663="","",IF(J663&lt;설정!$B$7,"baseline 수집 중",IF(K663&lt;=-설정!$B$8,"저하","정상")))</f>
        <v/>
      </c>
      <c r="M663" s="20"/>
    </row>
    <row r="664" customFormat="false" ht="15" hidden="false" customHeight="false" outlineLevel="0" collapsed="false">
      <c r="A664" s="16"/>
      <c r="B664" s="17"/>
      <c r="C664" s="17"/>
      <c r="D664" s="17"/>
      <c r="E664" s="17"/>
      <c r="F664" s="17"/>
      <c r="G664" s="18" t="str">
        <f aca="false">IF(COUNT(D664:F664)=0,"",MAX(D664:F664))</f>
        <v/>
      </c>
      <c r="H664" s="18" t="str">
        <f aca="false">IF(COUNT(D664:F664)=0,"",ROUND(AVERAGE(D664:F664),1))</f>
        <v/>
      </c>
      <c r="I664" s="18" t="str">
        <f aca="false">IF(H664="","",IF(J664&lt;설정!$B$7,"",ROUND(AVERAGEIFS($H$2:$H$1001,$B$2:$B$1001,B664,$A$2:$A$1001,"&lt;"&amp;A664,$A$2:$A$1001,"&gt;="&amp;(A664-설정!$B$6)),1)))</f>
        <v/>
      </c>
      <c r="J664" s="18" t="str">
        <f aca="false">IF(H664="","",COUNTIFS($B$2:$B$1001,B664,$A$2:$A$1001,"&lt;"&amp;A664,$A$2:$A$1001,"&gt;="&amp;(A664-설정!$B$6),$H$2:$H$1001,"&gt;=0"))</f>
        <v/>
      </c>
      <c r="K664" s="21" t="str">
        <f aca="false">IF(I664="","",H664/I664-1)</f>
        <v/>
      </c>
      <c r="L664" s="19" t="str">
        <f aca="false">IF(H664="","",IF(J664&lt;설정!$B$7,"baseline 수집 중",IF(K664&lt;=-설정!$B$8,"저하","정상")))</f>
        <v/>
      </c>
      <c r="M664" s="20"/>
    </row>
    <row r="665" customFormat="false" ht="15" hidden="false" customHeight="false" outlineLevel="0" collapsed="false">
      <c r="A665" s="16"/>
      <c r="B665" s="17"/>
      <c r="C665" s="17"/>
      <c r="D665" s="17"/>
      <c r="E665" s="17"/>
      <c r="F665" s="17"/>
      <c r="G665" s="18" t="str">
        <f aca="false">IF(COUNT(D665:F665)=0,"",MAX(D665:F665))</f>
        <v/>
      </c>
      <c r="H665" s="18" t="str">
        <f aca="false">IF(COUNT(D665:F665)=0,"",ROUND(AVERAGE(D665:F665),1))</f>
        <v/>
      </c>
      <c r="I665" s="18" t="str">
        <f aca="false">IF(H665="","",IF(J665&lt;설정!$B$7,"",ROUND(AVERAGEIFS($H$2:$H$1001,$B$2:$B$1001,B665,$A$2:$A$1001,"&lt;"&amp;A665,$A$2:$A$1001,"&gt;="&amp;(A665-설정!$B$6)),1)))</f>
        <v/>
      </c>
      <c r="J665" s="18" t="str">
        <f aca="false">IF(H665="","",COUNTIFS($B$2:$B$1001,B665,$A$2:$A$1001,"&lt;"&amp;A665,$A$2:$A$1001,"&gt;="&amp;(A665-설정!$B$6),$H$2:$H$1001,"&gt;=0"))</f>
        <v/>
      </c>
      <c r="K665" s="21" t="str">
        <f aca="false">IF(I665="","",H665/I665-1)</f>
        <v/>
      </c>
      <c r="L665" s="19" t="str">
        <f aca="false">IF(H665="","",IF(J665&lt;설정!$B$7,"baseline 수집 중",IF(K665&lt;=-설정!$B$8,"저하","정상")))</f>
        <v/>
      </c>
      <c r="M665" s="20"/>
    </row>
    <row r="666" customFormat="false" ht="15" hidden="false" customHeight="false" outlineLevel="0" collapsed="false">
      <c r="A666" s="16"/>
      <c r="B666" s="17"/>
      <c r="C666" s="17"/>
      <c r="D666" s="17"/>
      <c r="E666" s="17"/>
      <c r="F666" s="17"/>
      <c r="G666" s="18" t="str">
        <f aca="false">IF(COUNT(D666:F666)=0,"",MAX(D666:F666))</f>
        <v/>
      </c>
      <c r="H666" s="18" t="str">
        <f aca="false">IF(COUNT(D666:F666)=0,"",ROUND(AVERAGE(D666:F666),1))</f>
        <v/>
      </c>
      <c r="I666" s="18" t="str">
        <f aca="false">IF(H666="","",IF(J666&lt;설정!$B$7,"",ROUND(AVERAGEIFS($H$2:$H$1001,$B$2:$B$1001,B666,$A$2:$A$1001,"&lt;"&amp;A666,$A$2:$A$1001,"&gt;="&amp;(A666-설정!$B$6)),1)))</f>
        <v/>
      </c>
      <c r="J666" s="18" t="str">
        <f aca="false">IF(H666="","",COUNTIFS($B$2:$B$1001,B666,$A$2:$A$1001,"&lt;"&amp;A666,$A$2:$A$1001,"&gt;="&amp;(A666-설정!$B$6),$H$2:$H$1001,"&gt;=0"))</f>
        <v/>
      </c>
      <c r="K666" s="21" t="str">
        <f aca="false">IF(I666="","",H666/I666-1)</f>
        <v/>
      </c>
      <c r="L666" s="19" t="str">
        <f aca="false">IF(H666="","",IF(J666&lt;설정!$B$7,"baseline 수집 중",IF(K666&lt;=-설정!$B$8,"저하","정상")))</f>
        <v/>
      </c>
      <c r="M666" s="20"/>
    </row>
    <row r="667" customFormat="false" ht="15" hidden="false" customHeight="false" outlineLevel="0" collapsed="false">
      <c r="A667" s="16"/>
      <c r="B667" s="17"/>
      <c r="C667" s="17"/>
      <c r="D667" s="17"/>
      <c r="E667" s="17"/>
      <c r="F667" s="17"/>
      <c r="G667" s="18" t="str">
        <f aca="false">IF(COUNT(D667:F667)=0,"",MAX(D667:F667))</f>
        <v/>
      </c>
      <c r="H667" s="18" t="str">
        <f aca="false">IF(COUNT(D667:F667)=0,"",ROUND(AVERAGE(D667:F667),1))</f>
        <v/>
      </c>
      <c r="I667" s="18" t="str">
        <f aca="false">IF(H667="","",IF(J667&lt;설정!$B$7,"",ROUND(AVERAGEIFS($H$2:$H$1001,$B$2:$B$1001,B667,$A$2:$A$1001,"&lt;"&amp;A667,$A$2:$A$1001,"&gt;="&amp;(A667-설정!$B$6)),1)))</f>
        <v/>
      </c>
      <c r="J667" s="18" t="str">
        <f aca="false">IF(H667="","",COUNTIFS($B$2:$B$1001,B667,$A$2:$A$1001,"&lt;"&amp;A667,$A$2:$A$1001,"&gt;="&amp;(A667-설정!$B$6),$H$2:$H$1001,"&gt;=0"))</f>
        <v/>
      </c>
      <c r="K667" s="21" t="str">
        <f aca="false">IF(I667="","",H667/I667-1)</f>
        <v/>
      </c>
      <c r="L667" s="19" t="str">
        <f aca="false">IF(H667="","",IF(J667&lt;설정!$B$7,"baseline 수집 중",IF(K667&lt;=-설정!$B$8,"저하","정상")))</f>
        <v/>
      </c>
      <c r="M667" s="20"/>
    </row>
    <row r="668" customFormat="false" ht="15" hidden="false" customHeight="false" outlineLevel="0" collapsed="false">
      <c r="A668" s="16"/>
      <c r="B668" s="17"/>
      <c r="C668" s="17"/>
      <c r="D668" s="17"/>
      <c r="E668" s="17"/>
      <c r="F668" s="17"/>
      <c r="G668" s="18" t="str">
        <f aca="false">IF(COUNT(D668:F668)=0,"",MAX(D668:F668))</f>
        <v/>
      </c>
      <c r="H668" s="18" t="str">
        <f aca="false">IF(COUNT(D668:F668)=0,"",ROUND(AVERAGE(D668:F668),1))</f>
        <v/>
      </c>
      <c r="I668" s="18" t="str">
        <f aca="false">IF(H668="","",IF(J668&lt;설정!$B$7,"",ROUND(AVERAGEIFS($H$2:$H$1001,$B$2:$B$1001,B668,$A$2:$A$1001,"&lt;"&amp;A668,$A$2:$A$1001,"&gt;="&amp;(A668-설정!$B$6)),1)))</f>
        <v/>
      </c>
      <c r="J668" s="18" t="str">
        <f aca="false">IF(H668="","",COUNTIFS($B$2:$B$1001,B668,$A$2:$A$1001,"&lt;"&amp;A668,$A$2:$A$1001,"&gt;="&amp;(A668-설정!$B$6),$H$2:$H$1001,"&gt;=0"))</f>
        <v/>
      </c>
      <c r="K668" s="21" t="str">
        <f aca="false">IF(I668="","",H668/I668-1)</f>
        <v/>
      </c>
      <c r="L668" s="19" t="str">
        <f aca="false">IF(H668="","",IF(J668&lt;설정!$B$7,"baseline 수집 중",IF(K668&lt;=-설정!$B$8,"저하","정상")))</f>
        <v/>
      </c>
      <c r="M668" s="20"/>
    </row>
    <row r="669" customFormat="false" ht="15" hidden="false" customHeight="false" outlineLevel="0" collapsed="false">
      <c r="A669" s="16"/>
      <c r="B669" s="17"/>
      <c r="C669" s="17"/>
      <c r="D669" s="17"/>
      <c r="E669" s="17"/>
      <c r="F669" s="17"/>
      <c r="G669" s="18" t="str">
        <f aca="false">IF(COUNT(D669:F669)=0,"",MAX(D669:F669))</f>
        <v/>
      </c>
      <c r="H669" s="18" t="str">
        <f aca="false">IF(COUNT(D669:F669)=0,"",ROUND(AVERAGE(D669:F669),1))</f>
        <v/>
      </c>
      <c r="I669" s="18" t="str">
        <f aca="false">IF(H669="","",IF(J669&lt;설정!$B$7,"",ROUND(AVERAGEIFS($H$2:$H$1001,$B$2:$B$1001,B669,$A$2:$A$1001,"&lt;"&amp;A669,$A$2:$A$1001,"&gt;="&amp;(A669-설정!$B$6)),1)))</f>
        <v/>
      </c>
      <c r="J669" s="18" t="str">
        <f aca="false">IF(H669="","",COUNTIFS($B$2:$B$1001,B669,$A$2:$A$1001,"&lt;"&amp;A669,$A$2:$A$1001,"&gt;="&amp;(A669-설정!$B$6),$H$2:$H$1001,"&gt;=0"))</f>
        <v/>
      </c>
      <c r="K669" s="21" t="str">
        <f aca="false">IF(I669="","",H669/I669-1)</f>
        <v/>
      </c>
      <c r="L669" s="19" t="str">
        <f aca="false">IF(H669="","",IF(J669&lt;설정!$B$7,"baseline 수집 중",IF(K669&lt;=-설정!$B$8,"저하","정상")))</f>
        <v/>
      </c>
      <c r="M669" s="20"/>
    </row>
    <row r="670" customFormat="false" ht="15" hidden="false" customHeight="false" outlineLevel="0" collapsed="false">
      <c r="A670" s="16"/>
      <c r="B670" s="17"/>
      <c r="C670" s="17"/>
      <c r="D670" s="17"/>
      <c r="E670" s="17"/>
      <c r="F670" s="17"/>
      <c r="G670" s="18" t="str">
        <f aca="false">IF(COUNT(D670:F670)=0,"",MAX(D670:F670))</f>
        <v/>
      </c>
      <c r="H670" s="18" t="str">
        <f aca="false">IF(COUNT(D670:F670)=0,"",ROUND(AVERAGE(D670:F670),1))</f>
        <v/>
      </c>
      <c r="I670" s="18" t="str">
        <f aca="false">IF(H670="","",IF(J670&lt;설정!$B$7,"",ROUND(AVERAGEIFS($H$2:$H$1001,$B$2:$B$1001,B670,$A$2:$A$1001,"&lt;"&amp;A670,$A$2:$A$1001,"&gt;="&amp;(A670-설정!$B$6)),1)))</f>
        <v/>
      </c>
      <c r="J670" s="18" t="str">
        <f aca="false">IF(H670="","",COUNTIFS($B$2:$B$1001,B670,$A$2:$A$1001,"&lt;"&amp;A670,$A$2:$A$1001,"&gt;="&amp;(A670-설정!$B$6),$H$2:$H$1001,"&gt;=0"))</f>
        <v/>
      </c>
      <c r="K670" s="21" t="str">
        <f aca="false">IF(I670="","",H670/I670-1)</f>
        <v/>
      </c>
      <c r="L670" s="19" t="str">
        <f aca="false">IF(H670="","",IF(J670&lt;설정!$B$7,"baseline 수집 중",IF(K670&lt;=-설정!$B$8,"저하","정상")))</f>
        <v/>
      </c>
      <c r="M670" s="20"/>
    </row>
    <row r="671" customFormat="false" ht="15" hidden="false" customHeight="false" outlineLevel="0" collapsed="false">
      <c r="A671" s="16"/>
      <c r="B671" s="17"/>
      <c r="C671" s="17"/>
      <c r="D671" s="17"/>
      <c r="E671" s="17"/>
      <c r="F671" s="17"/>
      <c r="G671" s="18" t="str">
        <f aca="false">IF(COUNT(D671:F671)=0,"",MAX(D671:F671))</f>
        <v/>
      </c>
      <c r="H671" s="18" t="str">
        <f aca="false">IF(COUNT(D671:F671)=0,"",ROUND(AVERAGE(D671:F671),1))</f>
        <v/>
      </c>
      <c r="I671" s="18" t="str">
        <f aca="false">IF(H671="","",IF(J671&lt;설정!$B$7,"",ROUND(AVERAGEIFS($H$2:$H$1001,$B$2:$B$1001,B671,$A$2:$A$1001,"&lt;"&amp;A671,$A$2:$A$1001,"&gt;="&amp;(A671-설정!$B$6)),1)))</f>
        <v/>
      </c>
      <c r="J671" s="18" t="str">
        <f aca="false">IF(H671="","",COUNTIFS($B$2:$B$1001,B671,$A$2:$A$1001,"&lt;"&amp;A671,$A$2:$A$1001,"&gt;="&amp;(A671-설정!$B$6),$H$2:$H$1001,"&gt;=0"))</f>
        <v/>
      </c>
      <c r="K671" s="21" t="str">
        <f aca="false">IF(I671="","",H671/I671-1)</f>
        <v/>
      </c>
      <c r="L671" s="19" t="str">
        <f aca="false">IF(H671="","",IF(J671&lt;설정!$B$7,"baseline 수집 중",IF(K671&lt;=-설정!$B$8,"저하","정상")))</f>
        <v/>
      </c>
      <c r="M671" s="20"/>
    </row>
    <row r="672" customFormat="false" ht="15" hidden="false" customHeight="false" outlineLevel="0" collapsed="false">
      <c r="A672" s="16"/>
      <c r="B672" s="17"/>
      <c r="C672" s="17"/>
      <c r="D672" s="17"/>
      <c r="E672" s="17"/>
      <c r="F672" s="17"/>
      <c r="G672" s="18" t="str">
        <f aca="false">IF(COUNT(D672:F672)=0,"",MAX(D672:F672))</f>
        <v/>
      </c>
      <c r="H672" s="18" t="str">
        <f aca="false">IF(COUNT(D672:F672)=0,"",ROUND(AVERAGE(D672:F672),1))</f>
        <v/>
      </c>
      <c r="I672" s="18" t="str">
        <f aca="false">IF(H672="","",IF(J672&lt;설정!$B$7,"",ROUND(AVERAGEIFS($H$2:$H$1001,$B$2:$B$1001,B672,$A$2:$A$1001,"&lt;"&amp;A672,$A$2:$A$1001,"&gt;="&amp;(A672-설정!$B$6)),1)))</f>
        <v/>
      </c>
      <c r="J672" s="18" t="str">
        <f aca="false">IF(H672="","",COUNTIFS($B$2:$B$1001,B672,$A$2:$A$1001,"&lt;"&amp;A672,$A$2:$A$1001,"&gt;="&amp;(A672-설정!$B$6),$H$2:$H$1001,"&gt;=0"))</f>
        <v/>
      </c>
      <c r="K672" s="21" t="str">
        <f aca="false">IF(I672="","",H672/I672-1)</f>
        <v/>
      </c>
      <c r="L672" s="19" t="str">
        <f aca="false">IF(H672="","",IF(J672&lt;설정!$B$7,"baseline 수집 중",IF(K672&lt;=-설정!$B$8,"저하","정상")))</f>
        <v/>
      </c>
      <c r="M672" s="20"/>
    </row>
    <row r="673" customFormat="false" ht="15" hidden="false" customHeight="false" outlineLevel="0" collapsed="false">
      <c r="A673" s="16"/>
      <c r="B673" s="17"/>
      <c r="C673" s="17"/>
      <c r="D673" s="17"/>
      <c r="E673" s="17"/>
      <c r="F673" s="17"/>
      <c r="G673" s="18" t="str">
        <f aca="false">IF(COUNT(D673:F673)=0,"",MAX(D673:F673))</f>
        <v/>
      </c>
      <c r="H673" s="18" t="str">
        <f aca="false">IF(COUNT(D673:F673)=0,"",ROUND(AVERAGE(D673:F673),1))</f>
        <v/>
      </c>
      <c r="I673" s="18" t="str">
        <f aca="false">IF(H673="","",IF(J673&lt;설정!$B$7,"",ROUND(AVERAGEIFS($H$2:$H$1001,$B$2:$B$1001,B673,$A$2:$A$1001,"&lt;"&amp;A673,$A$2:$A$1001,"&gt;="&amp;(A673-설정!$B$6)),1)))</f>
        <v/>
      </c>
      <c r="J673" s="18" t="str">
        <f aca="false">IF(H673="","",COUNTIFS($B$2:$B$1001,B673,$A$2:$A$1001,"&lt;"&amp;A673,$A$2:$A$1001,"&gt;="&amp;(A673-설정!$B$6),$H$2:$H$1001,"&gt;=0"))</f>
        <v/>
      </c>
      <c r="K673" s="21" t="str">
        <f aca="false">IF(I673="","",H673/I673-1)</f>
        <v/>
      </c>
      <c r="L673" s="19" t="str">
        <f aca="false">IF(H673="","",IF(J673&lt;설정!$B$7,"baseline 수집 중",IF(K673&lt;=-설정!$B$8,"저하","정상")))</f>
        <v/>
      </c>
      <c r="M673" s="20"/>
    </row>
    <row r="674" customFormat="false" ht="15" hidden="false" customHeight="false" outlineLevel="0" collapsed="false">
      <c r="A674" s="16"/>
      <c r="B674" s="17"/>
      <c r="C674" s="17"/>
      <c r="D674" s="17"/>
      <c r="E674" s="17"/>
      <c r="F674" s="17"/>
      <c r="G674" s="18" t="str">
        <f aca="false">IF(COUNT(D674:F674)=0,"",MAX(D674:F674))</f>
        <v/>
      </c>
      <c r="H674" s="18" t="str">
        <f aca="false">IF(COUNT(D674:F674)=0,"",ROUND(AVERAGE(D674:F674),1))</f>
        <v/>
      </c>
      <c r="I674" s="18" t="str">
        <f aca="false">IF(H674="","",IF(J674&lt;설정!$B$7,"",ROUND(AVERAGEIFS($H$2:$H$1001,$B$2:$B$1001,B674,$A$2:$A$1001,"&lt;"&amp;A674,$A$2:$A$1001,"&gt;="&amp;(A674-설정!$B$6)),1)))</f>
        <v/>
      </c>
      <c r="J674" s="18" t="str">
        <f aca="false">IF(H674="","",COUNTIFS($B$2:$B$1001,B674,$A$2:$A$1001,"&lt;"&amp;A674,$A$2:$A$1001,"&gt;="&amp;(A674-설정!$B$6),$H$2:$H$1001,"&gt;=0"))</f>
        <v/>
      </c>
      <c r="K674" s="21" t="str">
        <f aca="false">IF(I674="","",H674/I674-1)</f>
        <v/>
      </c>
      <c r="L674" s="19" t="str">
        <f aca="false">IF(H674="","",IF(J674&lt;설정!$B$7,"baseline 수집 중",IF(K674&lt;=-설정!$B$8,"저하","정상")))</f>
        <v/>
      </c>
      <c r="M674" s="20"/>
    </row>
    <row r="675" customFormat="false" ht="15" hidden="false" customHeight="false" outlineLevel="0" collapsed="false">
      <c r="A675" s="16"/>
      <c r="B675" s="17"/>
      <c r="C675" s="17"/>
      <c r="D675" s="17"/>
      <c r="E675" s="17"/>
      <c r="F675" s="17"/>
      <c r="G675" s="18" t="str">
        <f aca="false">IF(COUNT(D675:F675)=0,"",MAX(D675:F675))</f>
        <v/>
      </c>
      <c r="H675" s="18" t="str">
        <f aca="false">IF(COUNT(D675:F675)=0,"",ROUND(AVERAGE(D675:F675),1))</f>
        <v/>
      </c>
      <c r="I675" s="18" t="str">
        <f aca="false">IF(H675="","",IF(J675&lt;설정!$B$7,"",ROUND(AVERAGEIFS($H$2:$H$1001,$B$2:$B$1001,B675,$A$2:$A$1001,"&lt;"&amp;A675,$A$2:$A$1001,"&gt;="&amp;(A675-설정!$B$6)),1)))</f>
        <v/>
      </c>
      <c r="J675" s="18" t="str">
        <f aca="false">IF(H675="","",COUNTIFS($B$2:$B$1001,B675,$A$2:$A$1001,"&lt;"&amp;A675,$A$2:$A$1001,"&gt;="&amp;(A675-설정!$B$6),$H$2:$H$1001,"&gt;=0"))</f>
        <v/>
      </c>
      <c r="K675" s="21" t="str">
        <f aca="false">IF(I675="","",H675/I675-1)</f>
        <v/>
      </c>
      <c r="L675" s="19" t="str">
        <f aca="false">IF(H675="","",IF(J675&lt;설정!$B$7,"baseline 수집 중",IF(K675&lt;=-설정!$B$8,"저하","정상")))</f>
        <v/>
      </c>
      <c r="M675" s="20"/>
    </row>
    <row r="676" customFormat="false" ht="15" hidden="false" customHeight="false" outlineLevel="0" collapsed="false">
      <c r="A676" s="16"/>
      <c r="B676" s="17"/>
      <c r="C676" s="17"/>
      <c r="D676" s="17"/>
      <c r="E676" s="17"/>
      <c r="F676" s="17"/>
      <c r="G676" s="18" t="str">
        <f aca="false">IF(COUNT(D676:F676)=0,"",MAX(D676:F676))</f>
        <v/>
      </c>
      <c r="H676" s="18" t="str">
        <f aca="false">IF(COUNT(D676:F676)=0,"",ROUND(AVERAGE(D676:F676),1))</f>
        <v/>
      </c>
      <c r="I676" s="18" t="str">
        <f aca="false">IF(H676="","",IF(J676&lt;설정!$B$7,"",ROUND(AVERAGEIFS($H$2:$H$1001,$B$2:$B$1001,B676,$A$2:$A$1001,"&lt;"&amp;A676,$A$2:$A$1001,"&gt;="&amp;(A676-설정!$B$6)),1)))</f>
        <v/>
      </c>
      <c r="J676" s="18" t="str">
        <f aca="false">IF(H676="","",COUNTIFS($B$2:$B$1001,B676,$A$2:$A$1001,"&lt;"&amp;A676,$A$2:$A$1001,"&gt;="&amp;(A676-설정!$B$6),$H$2:$H$1001,"&gt;=0"))</f>
        <v/>
      </c>
      <c r="K676" s="21" t="str">
        <f aca="false">IF(I676="","",H676/I676-1)</f>
        <v/>
      </c>
      <c r="L676" s="19" t="str">
        <f aca="false">IF(H676="","",IF(J676&lt;설정!$B$7,"baseline 수집 중",IF(K676&lt;=-설정!$B$8,"저하","정상")))</f>
        <v/>
      </c>
      <c r="M676" s="20"/>
    </row>
    <row r="677" customFormat="false" ht="15" hidden="false" customHeight="false" outlineLevel="0" collapsed="false">
      <c r="A677" s="16"/>
      <c r="B677" s="17"/>
      <c r="C677" s="17"/>
      <c r="D677" s="17"/>
      <c r="E677" s="17"/>
      <c r="F677" s="17"/>
      <c r="G677" s="18" t="str">
        <f aca="false">IF(COUNT(D677:F677)=0,"",MAX(D677:F677))</f>
        <v/>
      </c>
      <c r="H677" s="18" t="str">
        <f aca="false">IF(COUNT(D677:F677)=0,"",ROUND(AVERAGE(D677:F677),1))</f>
        <v/>
      </c>
      <c r="I677" s="18" t="str">
        <f aca="false">IF(H677="","",IF(J677&lt;설정!$B$7,"",ROUND(AVERAGEIFS($H$2:$H$1001,$B$2:$B$1001,B677,$A$2:$A$1001,"&lt;"&amp;A677,$A$2:$A$1001,"&gt;="&amp;(A677-설정!$B$6)),1)))</f>
        <v/>
      </c>
      <c r="J677" s="18" t="str">
        <f aca="false">IF(H677="","",COUNTIFS($B$2:$B$1001,B677,$A$2:$A$1001,"&lt;"&amp;A677,$A$2:$A$1001,"&gt;="&amp;(A677-설정!$B$6),$H$2:$H$1001,"&gt;=0"))</f>
        <v/>
      </c>
      <c r="K677" s="21" t="str">
        <f aca="false">IF(I677="","",H677/I677-1)</f>
        <v/>
      </c>
      <c r="L677" s="19" t="str">
        <f aca="false">IF(H677="","",IF(J677&lt;설정!$B$7,"baseline 수집 중",IF(K677&lt;=-설정!$B$8,"저하","정상")))</f>
        <v/>
      </c>
      <c r="M677" s="20"/>
    </row>
    <row r="678" customFormat="false" ht="15" hidden="false" customHeight="false" outlineLevel="0" collapsed="false">
      <c r="A678" s="16"/>
      <c r="B678" s="17"/>
      <c r="C678" s="17"/>
      <c r="D678" s="17"/>
      <c r="E678" s="17"/>
      <c r="F678" s="17"/>
      <c r="G678" s="18" t="str">
        <f aca="false">IF(COUNT(D678:F678)=0,"",MAX(D678:F678))</f>
        <v/>
      </c>
      <c r="H678" s="18" t="str">
        <f aca="false">IF(COUNT(D678:F678)=0,"",ROUND(AVERAGE(D678:F678),1))</f>
        <v/>
      </c>
      <c r="I678" s="18" t="str">
        <f aca="false">IF(H678="","",IF(J678&lt;설정!$B$7,"",ROUND(AVERAGEIFS($H$2:$H$1001,$B$2:$B$1001,B678,$A$2:$A$1001,"&lt;"&amp;A678,$A$2:$A$1001,"&gt;="&amp;(A678-설정!$B$6)),1)))</f>
        <v/>
      </c>
      <c r="J678" s="18" t="str">
        <f aca="false">IF(H678="","",COUNTIFS($B$2:$B$1001,B678,$A$2:$A$1001,"&lt;"&amp;A678,$A$2:$A$1001,"&gt;="&amp;(A678-설정!$B$6),$H$2:$H$1001,"&gt;=0"))</f>
        <v/>
      </c>
      <c r="K678" s="21" t="str">
        <f aca="false">IF(I678="","",H678/I678-1)</f>
        <v/>
      </c>
      <c r="L678" s="19" t="str">
        <f aca="false">IF(H678="","",IF(J678&lt;설정!$B$7,"baseline 수집 중",IF(K678&lt;=-설정!$B$8,"저하","정상")))</f>
        <v/>
      </c>
      <c r="M678" s="20"/>
    </row>
    <row r="679" customFormat="false" ht="15" hidden="false" customHeight="false" outlineLevel="0" collapsed="false">
      <c r="A679" s="16"/>
      <c r="B679" s="17"/>
      <c r="C679" s="17"/>
      <c r="D679" s="17"/>
      <c r="E679" s="17"/>
      <c r="F679" s="17"/>
      <c r="G679" s="18" t="str">
        <f aca="false">IF(COUNT(D679:F679)=0,"",MAX(D679:F679))</f>
        <v/>
      </c>
      <c r="H679" s="18" t="str">
        <f aca="false">IF(COUNT(D679:F679)=0,"",ROUND(AVERAGE(D679:F679),1))</f>
        <v/>
      </c>
      <c r="I679" s="18" t="str">
        <f aca="false">IF(H679="","",IF(J679&lt;설정!$B$7,"",ROUND(AVERAGEIFS($H$2:$H$1001,$B$2:$B$1001,B679,$A$2:$A$1001,"&lt;"&amp;A679,$A$2:$A$1001,"&gt;="&amp;(A679-설정!$B$6)),1)))</f>
        <v/>
      </c>
      <c r="J679" s="18" t="str">
        <f aca="false">IF(H679="","",COUNTIFS($B$2:$B$1001,B679,$A$2:$A$1001,"&lt;"&amp;A679,$A$2:$A$1001,"&gt;="&amp;(A679-설정!$B$6),$H$2:$H$1001,"&gt;=0"))</f>
        <v/>
      </c>
      <c r="K679" s="21" t="str">
        <f aca="false">IF(I679="","",H679/I679-1)</f>
        <v/>
      </c>
      <c r="L679" s="19" t="str">
        <f aca="false">IF(H679="","",IF(J679&lt;설정!$B$7,"baseline 수집 중",IF(K679&lt;=-설정!$B$8,"저하","정상")))</f>
        <v/>
      </c>
      <c r="M679" s="20"/>
    </row>
    <row r="680" customFormat="false" ht="15" hidden="false" customHeight="false" outlineLevel="0" collapsed="false">
      <c r="A680" s="16"/>
      <c r="B680" s="17"/>
      <c r="C680" s="17"/>
      <c r="D680" s="17"/>
      <c r="E680" s="17"/>
      <c r="F680" s="17"/>
      <c r="G680" s="18" t="str">
        <f aca="false">IF(COUNT(D680:F680)=0,"",MAX(D680:F680))</f>
        <v/>
      </c>
      <c r="H680" s="18" t="str">
        <f aca="false">IF(COUNT(D680:F680)=0,"",ROUND(AVERAGE(D680:F680),1))</f>
        <v/>
      </c>
      <c r="I680" s="18" t="str">
        <f aca="false">IF(H680="","",IF(J680&lt;설정!$B$7,"",ROUND(AVERAGEIFS($H$2:$H$1001,$B$2:$B$1001,B680,$A$2:$A$1001,"&lt;"&amp;A680,$A$2:$A$1001,"&gt;="&amp;(A680-설정!$B$6)),1)))</f>
        <v/>
      </c>
      <c r="J680" s="18" t="str">
        <f aca="false">IF(H680="","",COUNTIFS($B$2:$B$1001,B680,$A$2:$A$1001,"&lt;"&amp;A680,$A$2:$A$1001,"&gt;="&amp;(A680-설정!$B$6),$H$2:$H$1001,"&gt;=0"))</f>
        <v/>
      </c>
      <c r="K680" s="21" t="str">
        <f aca="false">IF(I680="","",H680/I680-1)</f>
        <v/>
      </c>
      <c r="L680" s="19" t="str">
        <f aca="false">IF(H680="","",IF(J680&lt;설정!$B$7,"baseline 수집 중",IF(K680&lt;=-설정!$B$8,"저하","정상")))</f>
        <v/>
      </c>
      <c r="M680" s="20"/>
    </row>
    <row r="681" customFormat="false" ht="15" hidden="false" customHeight="false" outlineLevel="0" collapsed="false">
      <c r="A681" s="16"/>
      <c r="B681" s="17"/>
      <c r="C681" s="17"/>
      <c r="D681" s="17"/>
      <c r="E681" s="17"/>
      <c r="F681" s="17"/>
      <c r="G681" s="18" t="str">
        <f aca="false">IF(COUNT(D681:F681)=0,"",MAX(D681:F681))</f>
        <v/>
      </c>
      <c r="H681" s="18" t="str">
        <f aca="false">IF(COUNT(D681:F681)=0,"",ROUND(AVERAGE(D681:F681),1))</f>
        <v/>
      </c>
      <c r="I681" s="18" t="str">
        <f aca="false">IF(H681="","",IF(J681&lt;설정!$B$7,"",ROUND(AVERAGEIFS($H$2:$H$1001,$B$2:$B$1001,B681,$A$2:$A$1001,"&lt;"&amp;A681,$A$2:$A$1001,"&gt;="&amp;(A681-설정!$B$6)),1)))</f>
        <v/>
      </c>
      <c r="J681" s="18" t="str">
        <f aca="false">IF(H681="","",COUNTIFS($B$2:$B$1001,B681,$A$2:$A$1001,"&lt;"&amp;A681,$A$2:$A$1001,"&gt;="&amp;(A681-설정!$B$6),$H$2:$H$1001,"&gt;=0"))</f>
        <v/>
      </c>
      <c r="K681" s="21" t="str">
        <f aca="false">IF(I681="","",H681/I681-1)</f>
        <v/>
      </c>
      <c r="L681" s="19" t="str">
        <f aca="false">IF(H681="","",IF(J681&lt;설정!$B$7,"baseline 수집 중",IF(K681&lt;=-설정!$B$8,"저하","정상")))</f>
        <v/>
      </c>
      <c r="M681" s="20"/>
    </row>
    <row r="682" customFormat="false" ht="15" hidden="false" customHeight="false" outlineLevel="0" collapsed="false">
      <c r="A682" s="16"/>
      <c r="B682" s="17"/>
      <c r="C682" s="17"/>
      <c r="D682" s="17"/>
      <c r="E682" s="17"/>
      <c r="F682" s="17"/>
      <c r="G682" s="18" t="str">
        <f aca="false">IF(COUNT(D682:F682)=0,"",MAX(D682:F682))</f>
        <v/>
      </c>
      <c r="H682" s="18" t="str">
        <f aca="false">IF(COUNT(D682:F682)=0,"",ROUND(AVERAGE(D682:F682),1))</f>
        <v/>
      </c>
      <c r="I682" s="18" t="str">
        <f aca="false">IF(H682="","",IF(J682&lt;설정!$B$7,"",ROUND(AVERAGEIFS($H$2:$H$1001,$B$2:$B$1001,B682,$A$2:$A$1001,"&lt;"&amp;A682,$A$2:$A$1001,"&gt;="&amp;(A682-설정!$B$6)),1)))</f>
        <v/>
      </c>
      <c r="J682" s="18" t="str">
        <f aca="false">IF(H682="","",COUNTIFS($B$2:$B$1001,B682,$A$2:$A$1001,"&lt;"&amp;A682,$A$2:$A$1001,"&gt;="&amp;(A682-설정!$B$6),$H$2:$H$1001,"&gt;=0"))</f>
        <v/>
      </c>
      <c r="K682" s="21" t="str">
        <f aca="false">IF(I682="","",H682/I682-1)</f>
        <v/>
      </c>
      <c r="L682" s="19" t="str">
        <f aca="false">IF(H682="","",IF(J682&lt;설정!$B$7,"baseline 수집 중",IF(K682&lt;=-설정!$B$8,"저하","정상")))</f>
        <v/>
      </c>
      <c r="M682" s="20"/>
    </row>
    <row r="683" customFormat="false" ht="15" hidden="false" customHeight="false" outlineLevel="0" collapsed="false">
      <c r="A683" s="16"/>
      <c r="B683" s="17"/>
      <c r="C683" s="17"/>
      <c r="D683" s="17"/>
      <c r="E683" s="17"/>
      <c r="F683" s="17"/>
      <c r="G683" s="18" t="str">
        <f aca="false">IF(COUNT(D683:F683)=0,"",MAX(D683:F683))</f>
        <v/>
      </c>
      <c r="H683" s="18" t="str">
        <f aca="false">IF(COUNT(D683:F683)=0,"",ROUND(AVERAGE(D683:F683),1))</f>
        <v/>
      </c>
      <c r="I683" s="18" t="str">
        <f aca="false">IF(H683="","",IF(J683&lt;설정!$B$7,"",ROUND(AVERAGEIFS($H$2:$H$1001,$B$2:$B$1001,B683,$A$2:$A$1001,"&lt;"&amp;A683,$A$2:$A$1001,"&gt;="&amp;(A683-설정!$B$6)),1)))</f>
        <v/>
      </c>
      <c r="J683" s="18" t="str">
        <f aca="false">IF(H683="","",COUNTIFS($B$2:$B$1001,B683,$A$2:$A$1001,"&lt;"&amp;A683,$A$2:$A$1001,"&gt;="&amp;(A683-설정!$B$6),$H$2:$H$1001,"&gt;=0"))</f>
        <v/>
      </c>
      <c r="K683" s="21" t="str">
        <f aca="false">IF(I683="","",H683/I683-1)</f>
        <v/>
      </c>
      <c r="L683" s="19" t="str">
        <f aca="false">IF(H683="","",IF(J683&lt;설정!$B$7,"baseline 수집 중",IF(K683&lt;=-설정!$B$8,"저하","정상")))</f>
        <v/>
      </c>
      <c r="M683" s="20"/>
    </row>
    <row r="684" customFormat="false" ht="15" hidden="false" customHeight="false" outlineLevel="0" collapsed="false">
      <c r="A684" s="16"/>
      <c r="B684" s="17"/>
      <c r="C684" s="17"/>
      <c r="D684" s="17"/>
      <c r="E684" s="17"/>
      <c r="F684" s="17"/>
      <c r="G684" s="18" t="str">
        <f aca="false">IF(COUNT(D684:F684)=0,"",MAX(D684:F684))</f>
        <v/>
      </c>
      <c r="H684" s="18" t="str">
        <f aca="false">IF(COUNT(D684:F684)=0,"",ROUND(AVERAGE(D684:F684),1))</f>
        <v/>
      </c>
      <c r="I684" s="18" t="str">
        <f aca="false">IF(H684="","",IF(J684&lt;설정!$B$7,"",ROUND(AVERAGEIFS($H$2:$H$1001,$B$2:$B$1001,B684,$A$2:$A$1001,"&lt;"&amp;A684,$A$2:$A$1001,"&gt;="&amp;(A684-설정!$B$6)),1)))</f>
        <v/>
      </c>
      <c r="J684" s="18" t="str">
        <f aca="false">IF(H684="","",COUNTIFS($B$2:$B$1001,B684,$A$2:$A$1001,"&lt;"&amp;A684,$A$2:$A$1001,"&gt;="&amp;(A684-설정!$B$6),$H$2:$H$1001,"&gt;=0"))</f>
        <v/>
      </c>
      <c r="K684" s="21" t="str">
        <f aca="false">IF(I684="","",H684/I684-1)</f>
        <v/>
      </c>
      <c r="L684" s="19" t="str">
        <f aca="false">IF(H684="","",IF(J684&lt;설정!$B$7,"baseline 수집 중",IF(K684&lt;=-설정!$B$8,"저하","정상")))</f>
        <v/>
      </c>
      <c r="M684" s="20"/>
    </row>
    <row r="685" customFormat="false" ht="15" hidden="false" customHeight="false" outlineLevel="0" collapsed="false">
      <c r="A685" s="16"/>
      <c r="B685" s="17"/>
      <c r="C685" s="17"/>
      <c r="D685" s="17"/>
      <c r="E685" s="17"/>
      <c r="F685" s="17"/>
      <c r="G685" s="18" t="str">
        <f aca="false">IF(COUNT(D685:F685)=0,"",MAX(D685:F685))</f>
        <v/>
      </c>
      <c r="H685" s="18" t="str">
        <f aca="false">IF(COUNT(D685:F685)=0,"",ROUND(AVERAGE(D685:F685),1))</f>
        <v/>
      </c>
      <c r="I685" s="18" t="str">
        <f aca="false">IF(H685="","",IF(J685&lt;설정!$B$7,"",ROUND(AVERAGEIFS($H$2:$H$1001,$B$2:$B$1001,B685,$A$2:$A$1001,"&lt;"&amp;A685,$A$2:$A$1001,"&gt;="&amp;(A685-설정!$B$6)),1)))</f>
        <v/>
      </c>
      <c r="J685" s="18" t="str">
        <f aca="false">IF(H685="","",COUNTIFS($B$2:$B$1001,B685,$A$2:$A$1001,"&lt;"&amp;A685,$A$2:$A$1001,"&gt;="&amp;(A685-설정!$B$6),$H$2:$H$1001,"&gt;=0"))</f>
        <v/>
      </c>
      <c r="K685" s="21" t="str">
        <f aca="false">IF(I685="","",H685/I685-1)</f>
        <v/>
      </c>
      <c r="L685" s="19" t="str">
        <f aca="false">IF(H685="","",IF(J685&lt;설정!$B$7,"baseline 수집 중",IF(K685&lt;=-설정!$B$8,"저하","정상")))</f>
        <v/>
      </c>
      <c r="M685" s="20"/>
    </row>
    <row r="686" customFormat="false" ht="15" hidden="false" customHeight="false" outlineLevel="0" collapsed="false">
      <c r="A686" s="16"/>
      <c r="B686" s="17"/>
      <c r="C686" s="17"/>
      <c r="D686" s="17"/>
      <c r="E686" s="17"/>
      <c r="F686" s="17"/>
      <c r="G686" s="18" t="str">
        <f aca="false">IF(COUNT(D686:F686)=0,"",MAX(D686:F686))</f>
        <v/>
      </c>
      <c r="H686" s="18" t="str">
        <f aca="false">IF(COUNT(D686:F686)=0,"",ROUND(AVERAGE(D686:F686),1))</f>
        <v/>
      </c>
      <c r="I686" s="18" t="str">
        <f aca="false">IF(H686="","",IF(J686&lt;설정!$B$7,"",ROUND(AVERAGEIFS($H$2:$H$1001,$B$2:$B$1001,B686,$A$2:$A$1001,"&lt;"&amp;A686,$A$2:$A$1001,"&gt;="&amp;(A686-설정!$B$6)),1)))</f>
        <v/>
      </c>
      <c r="J686" s="18" t="str">
        <f aca="false">IF(H686="","",COUNTIFS($B$2:$B$1001,B686,$A$2:$A$1001,"&lt;"&amp;A686,$A$2:$A$1001,"&gt;="&amp;(A686-설정!$B$6),$H$2:$H$1001,"&gt;=0"))</f>
        <v/>
      </c>
      <c r="K686" s="21" t="str">
        <f aca="false">IF(I686="","",H686/I686-1)</f>
        <v/>
      </c>
      <c r="L686" s="19" t="str">
        <f aca="false">IF(H686="","",IF(J686&lt;설정!$B$7,"baseline 수집 중",IF(K686&lt;=-설정!$B$8,"저하","정상")))</f>
        <v/>
      </c>
      <c r="M686" s="20"/>
    </row>
    <row r="687" customFormat="false" ht="15" hidden="false" customHeight="false" outlineLevel="0" collapsed="false">
      <c r="A687" s="16"/>
      <c r="B687" s="17"/>
      <c r="C687" s="17"/>
      <c r="D687" s="17"/>
      <c r="E687" s="17"/>
      <c r="F687" s="17"/>
      <c r="G687" s="18" t="str">
        <f aca="false">IF(COUNT(D687:F687)=0,"",MAX(D687:F687))</f>
        <v/>
      </c>
      <c r="H687" s="18" t="str">
        <f aca="false">IF(COUNT(D687:F687)=0,"",ROUND(AVERAGE(D687:F687),1))</f>
        <v/>
      </c>
      <c r="I687" s="18" t="str">
        <f aca="false">IF(H687="","",IF(J687&lt;설정!$B$7,"",ROUND(AVERAGEIFS($H$2:$H$1001,$B$2:$B$1001,B687,$A$2:$A$1001,"&lt;"&amp;A687,$A$2:$A$1001,"&gt;="&amp;(A687-설정!$B$6)),1)))</f>
        <v/>
      </c>
      <c r="J687" s="18" t="str">
        <f aca="false">IF(H687="","",COUNTIFS($B$2:$B$1001,B687,$A$2:$A$1001,"&lt;"&amp;A687,$A$2:$A$1001,"&gt;="&amp;(A687-설정!$B$6),$H$2:$H$1001,"&gt;=0"))</f>
        <v/>
      </c>
      <c r="K687" s="21" t="str">
        <f aca="false">IF(I687="","",H687/I687-1)</f>
        <v/>
      </c>
      <c r="L687" s="19" t="str">
        <f aca="false">IF(H687="","",IF(J687&lt;설정!$B$7,"baseline 수집 중",IF(K687&lt;=-설정!$B$8,"저하","정상")))</f>
        <v/>
      </c>
      <c r="M687" s="20"/>
    </row>
    <row r="688" customFormat="false" ht="15" hidden="false" customHeight="false" outlineLevel="0" collapsed="false">
      <c r="A688" s="16"/>
      <c r="B688" s="17"/>
      <c r="C688" s="17"/>
      <c r="D688" s="17"/>
      <c r="E688" s="17"/>
      <c r="F688" s="17"/>
      <c r="G688" s="18" t="str">
        <f aca="false">IF(COUNT(D688:F688)=0,"",MAX(D688:F688))</f>
        <v/>
      </c>
      <c r="H688" s="18" t="str">
        <f aca="false">IF(COUNT(D688:F688)=0,"",ROUND(AVERAGE(D688:F688),1))</f>
        <v/>
      </c>
      <c r="I688" s="18" t="str">
        <f aca="false">IF(H688="","",IF(J688&lt;설정!$B$7,"",ROUND(AVERAGEIFS($H$2:$H$1001,$B$2:$B$1001,B688,$A$2:$A$1001,"&lt;"&amp;A688,$A$2:$A$1001,"&gt;="&amp;(A688-설정!$B$6)),1)))</f>
        <v/>
      </c>
      <c r="J688" s="18" t="str">
        <f aca="false">IF(H688="","",COUNTIFS($B$2:$B$1001,B688,$A$2:$A$1001,"&lt;"&amp;A688,$A$2:$A$1001,"&gt;="&amp;(A688-설정!$B$6),$H$2:$H$1001,"&gt;=0"))</f>
        <v/>
      </c>
      <c r="K688" s="21" t="str">
        <f aca="false">IF(I688="","",H688/I688-1)</f>
        <v/>
      </c>
      <c r="L688" s="19" t="str">
        <f aca="false">IF(H688="","",IF(J688&lt;설정!$B$7,"baseline 수집 중",IF(K688&lt;=-설정!$B$8,"저하","정상")))</f>
        <v/>
      </c>
      <c r="M688" s="20"/>
    </row>
    <row r="689" customFormat="false" ht="15" hidden="false" customHeight="false" outlineLevel="0" collapsed="false">
      <c r="A689" s="16"/>
      <c r="B689" s="17"/>
      <c r="C689" s="17"/>
      <c r="D689" s="17"/>
      <c r="E689" s="17"/>
      <c r="F689" s="17"/>
      <c r="G689" s="18" t="str">
        <f aca="false">IF(COUNT(D689:F689)=0,"",MAX(D689:F689))</f>
        <v/>
      </c>
      <c r="H689" s="18" t="str">
        <f aca="false">IF(COUNT(D689:F689)=0,"",ROUND(AVERAGE(D689:F689),1))</f>
        <v/>
      </c>
      <c r="I689" s="18" t="str">
        <f aca="false">IF(H689="","",IF(J689&lt;설정!$B$7,"",ROUND(AVERAGEIFS($H$2:$H$1001,$B$2:$B$1001,B689,$A$2:$A$1001,"&lt;"&amp;A689,$A$2:$A$1001,"&gt;="&amp;(A689-설정!$B$6)),1)))</f>
        <v/>
      </c>
      <c r="J689" s="18" t="str">
        <f aca="false">IF(H689="","",COUNTIFS($B$2:$B$1001,B689,$A$2:$A$1001,"&lt;"&amp;A689,$A$2:$A$1001,"&gt;="&amp;(A689-설정!$B$6),$H$2:$H$1001,"&gt;=0"))</f>
        <v/>
      </c>
      <c r="K689" s="21" t="str">
        <f aca="false">IF(I689="","",H689/I689-1)</f>
        <v/>
      </c>
      <c r="L689" s="19" t="str">
        <f aca="false">IF(H689="","",IF(J689&lt;설정!$B$7,"baseline 수집 중",IF(K689&lt;=-설정!$B$8,"저하","정상")))</f>
        <v/>
      </c>
      <c r="M689" s="20"/>
    </row>
    <row r="690" customFormat="false" ht="15" hidden="false" customHeight="false" outlineLevel="0" collapsed="false">
      <c r="A690" s="16"/>
      <c r="B690" s="17"/>
      <c r="C690" s="17"/>
      <c r="D690" s="17"/>
      <c r="E690" s="17"/>
      <c r="F690" s="17"/>
      <c r="G690" s="18" t="str">
        <f aca="false">IF(COUNT(D690:F690)=0,"",MAX(D690:F690))</f>
        <v/>
      </c>
      <c r="H690" s="18" t="str">
        <f aca="false">IF(COUNT(D690:F690)=0,"",ROUND(AVERAGE(D690:F690),1))</f>
        <v/>
      </c>
      <c r="I690" s="18" t="str">
        <f aca="false">IF(H690="","",IF(J690&lt;설정!$B$7,"",ROUND(AVERAGEIFS($H$2:$H$1001,$B$2:$B$1001,B690,$A$2:$A$1001,"&lt;"&amp;A690,$A$2:$A$1001,"&gt;="&amp;(A690-설정!$B$6)),1)))</f>
        <v/>
      </c>
      <c r="J690" s="18" t="str">
        <f aca="false">IF(H690="","",COUNTIFS($B$2:$B$1001,B690,$A$2:$A$1001,"&lt;"&amp;A690,$A$2:$A$1001,"&gt;="&amp;(A690-설정!$B$6),$H$2:$H$1001,"&gt;=0"))</f>
        <v/>
      </c>
      <c r="K690" s="21" t="str">
        <f aca="false">IF(I690="","",H690/I690-1)</f>
        <v/>
      </c>
      <c r="L690" s="19" t="str">
        <f aca="false">IF(H690="","",IF(J690&lt;설정!$B$7,"baseline 수집 중",IF(K690&lt;=-설정!$B$8,"저하","정상")))</f>
        <v/>
      </c>
      <c r="M690" s="20"/>
    </row>
    <row r="691" customFormat="false" ht="15" hidden="false" customHeight="false" outlineLevel="0" collapsed="false">
      <c r="A691" s="16"/>
      <c r="B691" s="17"/>
      <c r="C691" s="17"/>
      <c r="D691" s="17"/>
      <c r="E691" s="17"/>
      <c r="F691" s="17"/>
      <c r="G691" s="18" t="str">
        <f aca="false">IF(COUNT(D691:F691)=0,"",MAX(D691:F691))</f>
        <v/>
      </c>
      <c r="H691" s="18" t="str">
        <f aca="false">IF(COUNT(D691:F691)=0,"",ROUND(AVERAGE(D691:F691),1))</f>
        <v/>
      </c>
      <c r="I691" s="18" t="str">
        <f aca="false">IF(H691="","",IF(J691&lt;설정!$B$7,"",ROUND(AVERAGEIFS($H$2:$H$1001,$B$2:$B$1001,B691,$A$2:$A$1001,"&lt;"&amp;A691,$A$2:$A$1001,"&gt;="&amp;(A691-설정!$B$6)),1)))</f>
        <v/>
      </c>
      <c r="J691" s="18" t="str">
        <f aca="false">IF(H691="","",COUNTIFS($B$2:$B$1001,B691,$A$2:$A$1001,"&lt;"&amp;A691,$A$2:$A$1001,"&gt;="&amp;(A691-설정!$B$6),$H$2:$H$1001,"&gt;=0"))</f>
        <v/>
      </c>
      <c r="K691" s="21" t="str">
        <f aca="false">IF(I691="","",H691/I691-1)</f>
        <v/>
      </c>
      <c r="L691" s="19" t="str">
        <f aca="false">IF(H691="","",IF(J691&lt;설정!$B$7,"baseline 수집 중",IF(K691&lt;=-설정!$B$8,"저하","정상")))</f>
        <v/>
      </c>
      <c r="M691" s="20"/>
    </row>
    <row r="692" customFormat="false" ht="15" hidden="false" customHeight="false" outlineLevel="0" collapsed="false">
      <c r="A692" s="16"/>
      <c r="B692" s="17"/>
      <c r="C692" s="17"/>
      <c r="D692" s="17"/>
      <c r="E692" s="17"/>
      <c r="F692" s="17"/>
      <c r="G692" s="18" t="str">
        <f aca="false">IF(COUNT(D692:F692)=0,"",MAX(D692:F692))</f>
        <v/>
      </c>
      <c r="H692" s="18" t="str">
        <f aca="false">IF(COUNT(D692:F692)=0,"",ROUND(AVERAGE(D692:F692),1))</f>
        <v/>
      </c>
      <c r="I692" s="18" t="str">
        <f aca="false">IF(H692="","",IF(J692&lt;설정!$B$7,"",ROUND(AVERAGEIFS($H$2:$H$1001,$B$2:$B$1001,B692,$A$2:$A$1001,"&lt;"&amp;A692,$A$2:$A$1001,"&gt;="&amp;(A692-설정!$B$6)),1)))</f>
        <v/>
      </c>
      <c r="J692" s="18" t="str">
        <f aca="false">IF(H692="","",COUNTIFS($B$2:$B$1001,B692,$A$2:$A$1001,"&lt;"&amp;A692,$A$2:$A$1001,"&gt;="&amp;(A692-설정!$B$6),$H$2:$H$1001,"&gt;=0"))</f>
        <v/>
      </c>
      <c r="K692" s="21" t="str">
        <f aca="false">IF(I692="","",H692/I692-1)</f>
        <v/>
      </c>
      <c r="L692" s="19" t="str">
        <f aca="false">IF(H692="","",IF(J692&lt;설정!$B$7,"baseline 수집 중",IF(K692&lt;=-설정!$B$8,"저하","정상")))</f>
        <v/>
      </c>
      <c r="M692" s="20"/>
    </row>
    <row r="693" customFormat="false" ht="15" hidden="false" customHeight="false" outlineLevel="0" collapsed="false">
      <c r="A693" s="16"/>
      <c r="B693" s="17"/>
      <c r="C693" s="17"/>
      <c r="D693" s="17"/>
      <c r="E693" s="17"/>
      <c r="F693" s="17"/>
      <c r="G693" s="18" t="str">
        <f aca="false">IF(COUNT(D693:F693)=0,"",MAX(D693:F693))</f>
        <v/>
      </c>
      <c r="H693" s="18" t="str">
        <f aca="false">IF(COUNT(D693:F693)=0,"",ROUND(AVERAGE(D693:F693),1))</f>
        <v/>
      </c>
      <c r="I693" s="18" t="str">
        <f aca="false">IF(H693="","",IF(J693&lt;설정!$B$7,"",ROUND(AVERAGEIFS($H$2:$H$1001,$B$2:$B$1001,B693,$A$2:$A$1001,"&lt;"&amp;A693,$A$2:$A$1001,"&gt;="&amp;(A693-설정!$B$6)),1)))</f>
        <v/>
      </c>
      <c r="J693" s="18" t="str">
        <f aca="false">IF(H693="","",COUNTIFS($B$2:$B$1001,B693,$A$2:$A$1001,"&lt;"&amp;A693,$A$2:$A$1001,"&gt;="&amp;(A693-설정!$B$6),$H$2:$H$1001,"&gt;=0"))</f>
        <v/>
      </c>
      <c r="K693" s="21" t="str">
        <f aca="false">IF(I693="","",H693/I693-1)</f>
        <v/>
      </c>
      <c r="L693" s="19" t="str">
        <f aca="false">IF(H693="","",IF(J693&lt;설정!$B$7,"baseline 수집 중",IF(K693&lt;=-설정!$B$8,"저하","정상")))</f>
        <v/>
      </c>
      <c r="M693" s="20"/>
    </row>
    <row r="694" customFormat="false" ht="15" hidden="false" customHeight="false" outlineLevel="0" collapsed="false">
      <c r="A694" s="16"/>
      <c r="B694" s="17"/>
      <c r="C694" s="17"/>
      <c r="D694" s="17"/>
      <c r="E694" s="17"/>
      <c r="F694" s="17"/>
      <c r="G694" s="18" t="str">
        <f aca="false">IF(COUNT(D694:F694)=0,"",MAX(D694:F694))</f>
        <v/>
      </c>
      <c r="H694" s="18" t="str">
        <f aca="false">IF(COUNT(D694:F694)=0,"",ROUND(AVERAGE(D694:F694),1))</f>
        <v/>
      </c>
      <c r="I694" s="18" t="str">
        <f aca="false">IF(H694="","",IF(J694&lt;설정!$B$7,"",ROUND(AVERAGEIFS($H$2:$H$1001,$B$2:$B$1001,B694,$A$2:$A$1001,"&lt;"&amp;A694,$A$2:$A$1001,"&gt;="&amp;(A694-설정!$B$6)),1)))</f>
        <v/>
      </c>
      <c r="J694" s="18" t="str">
        <f aca="false">IF(H694="","",COUNTIFS($B$2:$B$1001,B694,$A$2:$A$1001,"&lt;"&amp;A694,$A$2:$A$1001,"&gt;="&amp;(A694-설정!$B$6),$H$2:$H$1001,"&gt;=0"))</f>
        <v/>
      </c>
      <c r="K694" s="21" t="str">
        <f aca="false">IF(I694="","",H694/I694-1)</f>
        <v/>
      </c>
      <c r="L694" s="19" t="str">
        <f aca="false">IF(H694="","",IF(J694&lt;설정!$B$7,"baseline 수집 중",IF(K694&lt;=-설정!$B$8,"저하","정상")))</f>
        <v/>
      </c>
      <c r="M694" s="20"/>
    </row>
    <row r="695" customFormat="false" ht="15" hidden="false" customHeight="false" outlineLevel="0" collapsed="false">
      <c r="A695" s="16"/>
      <c r="B695" s="17"/>
      <c r="C695" s="17"/>
      <c r="D695" s="17"/>
      <c r="E695" s="17"/>
      <c r="F695" s="17"/>
      <c r="G695" s="18" t="str">
        <f aca="false">IF(COUNT(D695:F695)=0,"",MAX(D695:F695))</f>
        <v/>
      </c>
      <c r="H695" s="18" t="str">
        <f aca="false">IF(COUNT(D695:F695)=0,"",ROUND(AVERAGE(D695:F695),1))</f>
        <v/>
      </c>
      <c r="I695" s="18" t="str">
        <f aca="false">IF(H695="","",IF(J695&lt;설정!$B$7,"",ROUND(AVERAGEIFS($H$2:$H$1001,$B$2:$B$1001,B695,$A$2:$A$1001,"&lt;"&amp;A695,$A$2:$A$1001,"&gt;="&amp;(A695-설정!$B$6)),1)))</f>
        <v/>
      </c>
      <c r="J695" s="18" t="str">
        <f aca="false">IF(H695="","",COUNTIFS($B$2:$B$1001,B695,$A$2:$A$1001,"&lt;"&amp;A695,$A$2:$A$1001,"&gt;="&amp;(A695-설정!$B$6),$H$2:$H$1001,"&gt;=0"))</f>
        <v/>
      </c>
      <c r="K695" s="21" t="str">
        <f aca="false">IF(I695="","",H695/I695-1)</f>
        <v/>
      </c>
      <c r="L695" s="19" t="str">
        <f aca="false">IF(H695="","",IF(J695&lt;설정!$B$7,"baseline 수집 중",IF(K695&lt;=-설정!$B$8,"저하","정상")))</f>
        <v/>
      </c>
      <c r="M695" s="20"/>
    </row>
    <row r="696" customFormat="false" ht="15" hidden="false" customHeight="false" outlineLevel="0" collapsed="false">
      <c r="A696" s="16"/>
      <c r="B696" s="17"/>
      <c r="C696" s="17"/>
      <c r="D696" s="17"/>
      <c r="E696" s="17"/>
      <c r="F696" s="17"/>
      <c r="G696" s="18" t="str">
        <f aca="false">IF(COUNT(D696:F696)=0,"",MAX(D696:F696))</f>
        <v/>
      </c>
      <c r="H696" s="18" t="str">
        <f aca="false">IF(COUNT(D696:F696)=0,"",ROUND(AVERAGE(D696:F696),1))</f>
        <v/>
      </c>
      <c r="I696" s="18" t="str">
        <f aca="false">IF(H696="","",IF(J696&lt;설정!$B$7,"",ROUND(AVERAGEIFS($H$2:$H$1001,$B$2:$B$1001,B696,$A$2:$A$1001,"&lt;"&amp;A696,$A$2:$A$1001,"&gt;="&amp;(A696-설정!$B$6)),1)))</f>
        <v/>
      </c>
      <c r="J696" s="18" t="str">
        <f aca="false">IF(H696="","",COUNTIFS($B$2:$B$1001,B696,$A$2:$A$1001,"&lt;"&amp;A696,$A$2:$A$1001,"&gt;="&amp;(A696-설정!$B$6),$H$2:$H$1001,"&gt;=0"))</f>
        <v/>
      </c>
      <c r="K696" s="21" t="str">
        <f aca="false">IF(I696="","",H696/I696-1)</f>
        <v/>
      </c>
      <c r="L696" s="19" t="str">
        <f aca="false">IF(H696="","",IF(J696&lt;설정!$B$7,"baseline 수집 중",IF(K696&lt;=-설정!$B$8,"저하","정상")))</f>
        <v/>
      </c>
      <c r="M696" s="20"/>
    </row>
    <row r="697" customFormat="false" ht="15" hidden="false" customHeight="false" outlineLevel="0" collapsed="false">
      <c r="A697" s="16"/>
      <c r="B697" s="17"/>
      <c r="C697" s="17"/>
      <c r="D697" s="17"/>
      <c r="E697" s="17"/>
      <c r="F697" s="17"/>
      <c r="G697" s="18" t="str">
        <f aca="false">IF(COUNT(D697:F697)=0,"",MAX(D697:F697))</f>
        <v/>
      </c>
      <c r="H697" s="18" t="str">
        <f aca="false">IF(COUNT(D697:F697)=0,"",ROUND(AVERAGE(D697:F697),1))</f>
        <v/>
      </c>
      <c r="I697" s="18" t="str">
        <f aca="false">IF(H697="","",IF(J697&lt;설정!$B$7,"",ROUND(AVERAGEIFS($H$2:$H$1001,$B$2:$B$1001,B697,$A$2:$A$1001,"&lt;"&amp;A697,$A$2:$A$1001,"&gt;="&amp;(A697-설정!$B$6)),1)))</f>
        <v/>
      </c>
      <c r="J697" s="18" t="str">
        <f aca="false">IF(H697="","",COUNTIFS($B$2:$B$1001,B697,$A$2:$A$1001,"&lt;"&amp;A697,$A$2:$A$1001,"&gt;="&amp;(A697-설정!$B$6),$H$2:$H$1001,"&gt;=0"))</f>
        <v/>
      </c>
      <c r="K697" s="21" t="str">
        <f aca="false">IF(I697="","",H697/I697-1)</f>
        <v/>
      </c>
      <c r="L697" s="19" t="str">
        <f aca="false">IF(H697="","",IF(J697&lt;설정!$B$7,"baseline 수집 중",IF(K697&lt;=-설정!$B$8,"저하","정상")))</f>
        <v/>
      </c>
      <c r="M697" s="20"/>
    </row>
    <row r="698" customFormat="false" ht="15" hidden="false" customHeight="false" outlineLevel="0" collapsed="false">
      <c r="A698" s="16"/>
      <c r="B698" s="17"/>
      <c r="C698" s="17"/>
      <c r="D698" s="17"/>
      <c r="E698" s="17"/>
      <c r="F698" s="17"/>
      <c r="G698" s="18" t="str">
        <f aca="false">IF(COUNT(D698:F698)=0,"",MAX(D698:F698))</f>
        <v/>
      </c>
      <c r="H698" s="18" t="str">
        <f aca="false">IF(COUNT(D698:F698)=0,"",ROUND(AVERAGE(D698:F698),1))</f>
        <v/>
      </c>
      <c r="I698" s="18" t="str">
        <f aca="false">IF(H698="","",IF(J698&lt;설정!$B$7,"",ROUND(AVERAGEIFS($H$2:$H$1001,$B$2:$B$1001,B698,$A$2:$A$1001,"&lt;"&amp;A698,$A$2:$A$1001,"&gt;="&amp;(A698-설정!$B$6)),1)))</f>
        <v/>
      </c>
      <c r="J698" s="18" t="str">
        <f aca="false">IF(H698="","",COUNTIFS($B$2:$B$1001,B698,$A$2:$A$1001,"&lt;"&amp;A698,$A$2:$A$1001,"&gt;="&amp;(A698-설정!$B$6),$H$2:$H$1001,"&gt;=0"))</f>
        <v/>
      </c>
      <c r="K698" s="21" t="str">
        <f aca="false">IF(I698="","",H698/I698-1)</f>
        <v/>
      </c>
      <c r="L698" s="19" t="str">
        <f aca="false">IF(H698="","",IF(J698&lt;설정!$B$7,"baseline 수집 중",IF(K698&lt;=-설정!$B$8,"저하","정상")))</f>
        <v/>
      </c>
      <c r="M698" s="20"/>
    </row>
    <row r="699" customFormat="false" ht="15" hidden="false" customHeight="false" outlineLevel="0" collapsed="false">
      <c r="A699" s="16"/>
      <c r="B699" s="17"/>
      <c r="C699" s="17"/>
      <c r="D699" s="17"/>
      <c r="E699" s="17"/>
      <c r="F699" s="17"/>
      <c r="G699" s="18" t="str">
        <f aca="false">IF(COUNT(D699:F699)=0,"",MAX(D699:F699))</f>
        <v/>
      </c>
      <c r="H699" s="18" t="str">
        <f aca="false">IF(COUNT(D699:F699)=0,"",ROUND(AVERAGE(D699:F699),1))</f>
        <v/>
      </c>
      <c r="I699" s="18" t="str">
        <f aca="false">IF(H699="","",IF(J699&lt;설정!$B$7,"",ROUND(AVERAGEIFS($H$2:$H$1001,$B$2:$B$1001,B699,$A$2:$A$1001,"&lt;"&amp;A699,$A$2:$A$1001,"&gt;="&amp;(A699-설정!$B$6)),1)))</f>
        <v/>
      </c>
      <c r="J699" s="18" t="str">
        <f aca="false">IF(H699="","",COUNTIFS($B$2:$B$1001,B699,$A$2:$A$1001,"&lt;"&amp;A699,$A$2:$A$1001,"&gt;="&amp;(A699-설정!$B$6),$H$2:$H$1001,"&gt;=0"))</f>
        <v/>
      </c>
      <c r="K699" s="21" t="str">
        <f aca="false">IF(I699="","",H699/I699-1)</f>
        <v/>
      </c>
      <c r="L699" s="19" t="str">
        <f aca="false">IF(H699="","",IF(J699&lt;설정!$B$7,"baseline 수집 중",IF(K699&lt;=-설정!$B$8,"저하","정상")))</f>
        <v/>
      </c>
      <c r="M699" s="20"/>
    </row>
    <row r="700" customFormat="false" ht="15" hidden="false" customHeight="false" outlineLevel="0" collapsed="false">
      <c r="A700" s="16"/>
      <c r="B700" s="17"/>
      <c r="C700" s="17"/>
      <c r="D700" s="17"/>
      <c r="E700" s="17"/>
      <c r="F700" s="17"/>
      <c r="G700" s="18" t="str">
        <f aca="false">IF(COUNT(D700:F700)=0,"",MAX(D700:F700))</f>
        <v/>
      </c>
      <c r="H700" s="18" t="str">
        <f aca="false">IF(COUNT(D700:F700)=0,"",ROUND(AVERAGE(D700:F700),1))</f>
        <v/>
      </c>
      <c r="I700" s="18" t="str">
        <f aca="false">IF(H700="","",IF(J700&lt;설정!$B$7,"",ROUND(AVERAGEIFS($H$2:$H$1001,$B$2:$B$1001,B700,$A$2:$A$1001,"&lt;"&amp;A700,$A$2:$A$1001,"&gt;="&amp;(A700-설정!$B$6)),1)))</f>
        <v/>
      </c>
      <c r="J700" s="18" t="str">
        <f aca="false">IF(H700="","",COUNTIFS($B$2:$B$1001,B700,$A$2:$A$1001,"&lt;"&amp;A700,$A$2:$A$1001,"&gt;="&amp;(A700-설정!$B$6),$H$2:$H$1001,"&gt;=0"))</f>
        <v/>
      </c>
      <c r="K700" s="21" t="str">
        <f aca="false">IF(I700="","",H700/I700-1)</f>
        <v/>
      </c>
      <c r="L700" s="19" t="str">
        <f aca="false">IF(H700="","",IF(J700&lt;설정!$B$7,"baseline 수집 중",IF(K700&lt;=-설정!$B$8,"저하","정상")))</f>
        <v/>
      </c>
      <c r="M700" s="20"/>
    </row>
    <row r="701" customFormat="false" ht="15" hidden="false" customHeight="false" outlineLevel="0" collapsed="false">
      <c r="A701" s="16"/>
      <c r="B701" s="17"/>
      <c r="C701" s="17"/>
      <c r="D701" s="17"/>
      <c r="E701" s="17"/>
      <c r="F701" s="17"/>
      <c r="G701" s="18" t="str">
        <f aca="false">IF(COUNT(D701:F701)=0,"",MAX(D701:F701))</f>
        <v/>
      </c>
      <c r="H701" s="18" t="str">
        <f aca="false">IF(COUNT(D701:F701)=0,"",ROUND(AVERAGE(D701:F701),1))</f>
        <v/>
      </c>
      <c r="I701" s="18" t="str">
        <f aca="false">IF(H701="","",IF(J701&lt;설정!$B$7,"",ROUND(AVERAGEIFS($H$2:$H$1001,$B$2:$B$1001,B701,$A$2:$A$1001,"&lt;"&amp;A701,$A$2:$A$1001,"&gt;="&amp;(A701-설정!$B$6)),1)))</f>
        <v/>
      </c>
      <c r="J701" s="18" t="str">
        <f aca="false">IF(H701="","",COUNTIFS($B$2:$B$1001,B701,$A$2:$A$1001,"&lt;"&amp;A701,$A$2:$A$1001,"&gt;="&amp;(A701-설정!$B$6),$H$2:$H$1001,"&gt;=0"))</f>
        <v/>
      </c>
      <c r="K701" s="21" t="str">
        <f aca="false">IF(I701="","",H701/I701-1)</f>
        <v/>
      </c>
      <c r="L701" s="19" t="str">
        <f aca="false">IF(H701="","",IF(J701&lt;설정!$B$7,"baseline 수집 중",IF(K701&lt;=-설정!$B$8,"저하","정상")))</f>
        <v/>
      </c>
      <c r="M701" s="20"/>
    </row>
    <row r="702" customFormat="false" ht="15" hidden="false" customHeight="false" outlineLevel="0" collapsed="false">
      <c r="A702" s="16"/>
      <c r="B702" s="17"/>
      <c r="C702" s="17"/>
      <c r="D702" s="17"/>
      <c r="E702" s="17"/>
      <c r="F702" s="17"/>
      <c r="G702" s="18" t="str">
        <f aca="false">IF(COUNT(D702:F702)=0,"",MAX(D702:F702))</f>
        <v/>
      </c>
      <c r="H702" s="18" t="str">
        <f aca="false">IF(COUNT(D702:F702)=0,"",ROUND(AVERAGE(D702:F702),1))</f>
        <v/>
      </c>
      <c r="I702" s="18" t="str">
        <f aca="false">IF(H702="","",IF(J702&lt;설정!$B$7,"",ROUND(AVERAGEIFS($H$2:$H$1001,$B$2:$B$1001,B702,$A$2:$A$1001,"&lt;"&amp;A702,$A$2:$A$1001,"&gt;="&amp;(A702-설정!$B$6)),1)))</f>
        <v/>
      </c>
      <c r="J702" s="18" t="str">
        <f aca="false">IF(H702="","",COUNTIFS($B$2:$B$1001,B702,$A$2:$A$1001,"&lt;"&amp;A702,$A$2:$A$1001,"&gt;="&amp;(A702-설정!$B$6),$H$2:$H$1001,"&gt;=0"))</f>
        <v/>
      </c>
      <c r="K702" s="21" t="str">
        <f aca="false">IF(I702="","",H702/I702-1)</f>
        <v/>
      </c>
      <c r="L702" s="19" t="str">
        <f aca="false">IF(H702="","",IF(J702&lt;설정!$B$7,"baseline 수집 중",IF(K702&lt;=-설정!$B$8,"저하","정상")))</f>
        <v/>
      </c>
      <c r="M702" s="20"/>
    </row>
    <row r="703" customFormat="false" ht="15" hidden="false" customHeight="false" outlineLevel="0" collapsed="false">
      <c r="A703" s="16"/>
      <c r="B703" s="17"/>
      <c r="C703" s="17"/>
      <c r="D703" s="17"/>
      <c r="E703" s="17"/>
      <c r="F703" s="17"/>
      <c r="G703" s="18" t="str">
        <f aca="false">IF(COUNT(D703:F703)=0,"",MAX(D703:F703))</f>
        <v/>
      </c>
      <c r="H703" s="18" t="str">
        <f aca="false">IF(COUNT(D703:F703)=0,"",ROUND(AVERAGE(D703:F703),1))</f>
        <v/>
      </c>
      <c r="I703" s="18" t="str">
        <f aca="false">IF(H703="","",IF(J703&lt;설정!$B$7,"",ROUND(AVERAGEIFS($H$2:$H$1001,$B$2:$B$1001,B703,$A$2:$A$1001,"&lt;"&amp;A703,$A$2:$A$1001,"&gt;="&amp;(A703-설정!$B$6)),1)))</f>
        <v/>
      </c>
      <c r="J703" s="18" t="str">
        <f aca="false">IF(H703="","",COUNTIFS($B$2:$B$1001,B703,$A$2:$A$1001,"&lt;"&amp;A703,$A$2:$A$1001,"&gt;="&amp;(A703-설정!$B$6),$H$2:$H$1001,"&gt;=0"))</f>
        <v/>
      </c>
      <c r="K703" s="21" t="str">
        <f aca="false">IF(I703="","",H703/I703-1)</f>
        <v/>
      </c>
      <c r="L703" s="19" t="str">
        <f aca="false">IF(H703="","",IF(J703&lt;설정!$B$7,"baseline 수집 중",IF(K703&lt;=-설정!$B$8,"저하","정상")))</f>
        <v/>
      </c>
      <c r="M703" s="20"/>
    </row>
    <row r="704" customFormat="false" ht="15" hidden="false" customHeight="false" outlineLevel="0" collapsed="false">
      <c r="A704" s="16"/>
      <c r="B704" s="17"/>
      <c r="C704" s="17"/>
      <c r="D704" s="17"/>
      <c r="E704" s="17"/>
      <c r="F704" s="17"/>
      <c r="G704" s="18" t="str">
        <f aca="false">IF(COUNT(D704:F704)=0,"",MAX(D704:F704))</f>
        <v/>
      </c>
      <c r="H704" s="18" t="str">
        <f aca="false">IF(COUNT(D704:F704)=0,"",ROUND(AVERAGE(D704:F704),1))</f>
        <v/>
      </c>
      <c r="I704" s="18" t="str">
        <f aca="false">IF(H704="","",IF(J704&lt;설정!$B$7,"",ROUND(AVERAGEIFS($H$2:$H$1001,$B$2:$B$1001,B704,$A$2:$A$1001,"&lt;"&amp;A704,$A$2:$A$1001,"&gt;="&amp;(A704-설정!$B$6)),1)))</f>
        <v/>
      </c>
      <c r="J704" s="18" t="str">
        <f aca="false">IF(H704="","",COUNTIFS($B$2:$B$1001,B704,$A$2:$A$1001,"&lt;"&amp;A704,$A$2:$A$1001,"&gt;="&amp;(A704-설정!$B$6),$H$2:$H$1001,"&gt;=0"))</f>
        <v/>
      </c>
      <c r="K704" s="21" t="str">
        <f aca="false">IF(I704="","",H704/I704-1)</f>
        <v/>
      </c>
      <c r="L704" s="19" t="str">
        <f aca="false">IF(H704="","",IF(J704&lt;설정!$B$7,"baseline 수집 중",IF(K704&lt;=-설정!$B$8,"저하","정상")))</f>
        <v/>
      </c>
      <c r="M704" s="20"/>
    </row>
    <row r="705" customFormat="false" ht="15" hidden="false" customHeight="false" outlineLevel="0" collapsed="false">
      <c r="A705" s="16"/>
      <c r="B705" s="17"/>
      <c r="C705" s="17"/>
      <c r="D705" s="17"/>
      <c r="E705" s="17"/>
      <c r="F705" s="17"/>
      <c r="G705" s="18" t="str">
        <f aca="false">IF(COUNT(D705:F705)=0,"",MAX(D705:F705))</f>
        <v/>
      </c>
      <c r="H705" s="18" t="str">
        <f aca="false">IF(COUNT(D705:F705)=0,"",ROUND(AVERAGE(D705:F705),1))</f>
        <v/>
      </c>
      <c r="I705" s="18" t="str">
        <f aca="false">IF(H705="","",IF(J705&lt;설정!$B$7,"",ROUND(AVERAGEIFS($H$2:$H$1001,$B$2:$B$1001,B705,$A$2:$A$1001,"&lt;"&amp;A705,$A$2:$A$1001,"&gt;="&amp;(A705-설정!$B$6)),1)))</f>
        <v/>
      </c>
      <c r="J705" s="18" t="str">
        <f aca="false">IF(H705="","",COUNTIFS($B$2:$B$1001,B705,$A$2:$A$1001,"&lt;"&amp;A705,$A$2:$A$1001,"&gt;="&amp;(A705-설정!$B$6),$H$2:$H$1001,"&gt;=0"))</f>
        <v/>
      </c>
      <c r="K705" s="21" t="str">
        <f aca="false">IF(I705="","",H705/I705-1)</f>
        <v/>
      </c>
      <c r="L705" s="19" t="str">
        <f aca="false">IF(H705="","",IF(J705&lt;설정!$B$7,"baseline 수집 중",IF(K705&lt;=-설정!$B$8,"저하","정상")))</f>
        <v/>
      </c>
      <c r="M705" s="20"/>
    </row>
    <row r="706" customFormat="false" ht="15" hidden="false" customHeight="false" outlineLevel="0" collapsed="false">
      <c r="A706" s="16"/>
      <c r="B706" s="17"/>
      <c r="C706" s="17"/>
      <c r="D706" s="17"/>
      <c r="E706" s="17"/>
      <c r="F706" s="17"/>
      <c r="G706" s="18" t="str">
        <f aca="false">IF(COUNT(D706:F706)=0,"",MAX(D706:F706))</f>
        <v/>
      </c>
      <c r="H706" s="18" t="str">
        <f aca="false">IF(COUNT(D706:F706)=0,"",ROUND(AVERAGE(D706:F706),1))</f>
        <v/>
      </c>
      <c r="I706" s="18" t="str">
        <f aca="false">IF(H706="","",IF(J706&lt;설정!$B$7,"",ROUND(AVERAGEIFS($H$2:$H$1001,$B$2:$B$1001,B706,$A$2:$A$1001,"&lt;"&amp;A706,$A$2:$A$1001,"&gt;="&amp;(A706-설정!$B$6)),1)))</f>
        <v/>
      </c>
      <c r="J706" s="18" t="str">
        <f aca="false">IF(H706="","",COUNTIFS($B$2:$B$1001,B706,$A$2:$A$1001,"&lt;"&amp;A706,$A$2:$A$1001,"&gt;="&amp;(A706-설정!$B$6),$H$2:$H$1001,"&gt;=0"))</f>
        <v/>
      </c>
      <c r="K706" s="21" t="str">
        <f aca="false">IF(I706="","",H706/I706-1)</f>
        <v/>
      </c>
      <c r="L706" s="19" t="str">
        <f aca="false">IF(H706="","",IF(J706&lt;설정!$B$7,"baseline 수집 중",IF(K706&lt;=-설정!$B$8,"저하","정상")))</f>
        <v/>
      </c>
      <c r="M706" s="20"/>
    </row>
    <row r="707" customFormat="false" ht="15" hidden="false" customHeight="false" outlineLevel="0" collapsed="false">
      <c r="A707" s="16"/>
      <c r="B707" s="17"/>
      <c r="C707" s="17"/>
      <c r="D707" s="17"/>
      <c r="E707" s="17"/>
      <c r="F707" s="17"/>
      <c r="G707" s="18" t="str">
        <f aca="false">IF(COUNT(D707:F707)=0,"",MAX(D707:F707))</f>
        <v/>
      </c>
      <c r="H707" s="18" t="str">
        <f aca="false">IF(COUNT(D707:F707)=0,"",ROUND(AVERAGE(D707:F707),1))</f>
        <v/>
      </c>
      <c r="I707" s="18" t="str">
        <f aca="false">IF(H707="","",IF(J707&lt;설정!$B$7,"",ROUND(AVERAGEIFS($H$2:$H$1001,$B$2:$B$1001,B707,$A$2:$A$1001,"&lt;"&amp;A707,$A$2:$A$1001,"&gt;="&amp;(A707-설정!$B$6)),1)))</f>
        <v/>
      </c>
      <c r="J707" s="18" t="str">
        <f aca="false">IF(H707="","",COUNTIFS($B$2:$B$1001,B707,$A$2:$A$1001,"&lt;"&amp;A707,$A$2:$A$1001,"&gt;="&amp;(A707-설정!$B$6),$H$2:$H$1001,"&gt;=0"))</f>
        <v/>
      </c>
      <c r="K707" s="21" t="str">
        <f aca="false">IF(I707="","",H707/I707-1)</f>
        <v/>
      </c>
      <c r="L707" s="19" t="str">
        <f aca="false">IF(H707="","",IF(J707&lt;설정!$B$7,"baseline 수집 중",IF(K707&lt;=-설정!$B$8,"저하","정상")))</f>
        <v/>
      </c>
      <c r="M707" s="20"/>
    </row>
    <row r="708" customFormat="false" ht="15" hidden="false" customHeight="false" outlineLevel="0" collapsed="false">
      <c r="A708" s="16"/>
      <c r="B708" s="17"/>
      <c r="C708" s="17"/>
      <c r="D708" s="17"/>
      <c r="E708" s="17"/>
      <c r="F708" s="17"/>
      <c r="G708" s="18" t="str">
        <f aca="false">IF(COUNT(D708:F708)=0,"",MAX(D708:F708))</f>
        <v/>
      </c>
      <c r="H708" s="18" t="str">
        <f aca="false">IF(COUNT(D708:F708)=0,"",ROUND(AVERAGE(D708:F708),1))</f>
        <v/>
      </c>
      <c r="I708" s="18" t="str">
        <f aca="false">IF(H708="","",IF(J708&lt;설정!$B$7,"",ROUND(AVERAGEIFS($H$2:$H$1001,$B$2:$B$1001,B708,$A$2:$A$1001,"&lt;"&amp;A708,$A$2:$A$1001,"&gt;="&amp;(A708-설정!$B$6)),1)))</f>
        <v/>
      </c>
      <c r="J708" s="18" t="str">
        <f aca="false">IF(H708="","",COUNTIFS($B$2:$B$1001,B708,$A$2:$A$1001,"&lt;"&amp;A708,$A$2:$A$1001,"&gt;="&amp;(A708-설정!$B$6),$H$2:$H$1001,"&gt;=0"))</f>
        <v/>
      </c>
      <c r="K708" s="21" t="str">
        <f aca="false">IF(I708="","",H708/I708-1)</f>
        <v/>
      </c>
      <c r="L708" s="19" t="str">
        <f aca="false">IF(H708="","",IF(J708&lt;설정!$B$7,"baseline 수집 중",IF(K708&lt;=-설정!$B$8,"저하","정상")))</f>
        <v/>
      </c>
      <c r="M708" s="20"/>
    </row>
    <row r="709" customFormat="false" ht="15" hidden="false" customHeight="false" outlineLevel="0" collapsed="false">
      <c r="A709" s="16"/>
      <c r="B709" s="17"/>
      <c r="C709" s="17"/>
      <c r="D709" s="17"/>
      <c r="E709" s="17"/>
      <c r="F709" s="17"/>
      <c r="G709" s="18" t="str">
        <f aca="false">IF(COUNT(D709:F709)=0,"",MAX(D709:F709))</f>
        <v/>
      </c>
      <c r="H709" s="18" t="str">
        <f aca="false">IF(COUNT(D709:F709)=0,"",ROUND(AVERAGE(D709:F709),1))</f>
        <v/>
      </c>
      <c r="I709" s="18" t="str">
        <f aca="false">IF(H709="","",IF(J709&lt;설정!$B$7,"",ROUND(AVERAGEIFS($H$2:$H$1001,$B$2:$B$1001,B709,$A$2:$A$1001,"&lt;"&amp;A709,$A$2:$A$1001,"&gt;="&amp;(A709-설정!$B$6)),1)))</f>
        <v/>
      </c>
      <c r="J709" s="18" t="str">
        <f aca="false">IF(H709="","",COUNTIFS($B$2:$B$1001,B709,$A$2:$A$1001,"&lt;"&amp;A709,$A$2:$A$1001,"&gt;="&amp;(A709-설정!$B$6),$H$2:$H$1001,"&gt;=0"))</f>
        <v/>
      </c>
      <c r="K709" s="21" t="str">
        <f aca="false">IF(I709="","",H709/I709-1)</f>
        <v/>
      </c>
      <c r="L709" s="19" t="str">
        <f aca="false">IF(H709="","",IF(J709&lt;설정!$B$7,"baseline 수집 중",IF(K709&lt;=-설정!$B$8,"저하","정상")))</f>
        <v/>
      </c>
      <c r="M709" s="20"/>
    </row>
    <row r="710" customFormat="false" ht="15" hidden="false" customHeight="false" outlineLevel="0" collapsed="false">
      <c r="A710" s="16"/>
      <c r="B710" s="17"/>
      <c r="C710" s="17"/>
      <c r="D710" s="17"/>
      <c r="E710" s="17"/>
      <c r="F710" s="17"/>
      <c r="G710" s="18" t="str">
        <f aca="false">IF(COUNT(D710:F710)=0,"",MAX(D710:F710))</f>
        <v/>
      </c>
      <c r="H710" s="18" t="str">
        <f aca="false">IF(COUNT(D710:F710)=0,"",ROUND(AVERAGE(D710:F710),1))</f>
        <v/>
      </c>
      <c r="I710" s="18" t="str">
        <f aca="false">IF(H710="","",IF(J710&lt;설정!$B$7,"",ROUND(AVERAGEIFS($H$2:$H$1001,$B$2:$B$1001,B710,$A$2:$A$1001,"&lt;"&amp;A710,$A$2:$A$1001,"&gt;="&amp;(A710-설정!$B$6)),1)))</f>
        <v/>
      </c>
      <c r="J710" s="18" t="str">
        <f aca="false">IF(H710="","",COUNTIFS($B$2:$B$1001,B710,$A$2:$A$1001,"&lt;"&amp;A710,$A$2:$A$1001,"&gt;="&amp;(A710-설정!$B$6),$H$2:$H$1001,"&gt;=0"))</f>
        <v/>
      </c>
      <c r="K710" s="21" t="str">
        <f aca="false">IF(I710="","",H710/I710-1)</f>
        <v/>
      </c>
      <c r="L710" s="19" t="str">
        <f aca="false">IF(H710="","",IF(J710&lt;설정!$B$7,"baseline 수집 중",IF(K710&lt;=-설정!$B$8,"저하","정상")))</f>
        <v/>
      </c>
      <c r="M710" s="20"/>
    </row>
    <row r="711" customFormat="false" ht="15" hidden="false" customHeight="false" outlineLevel="0" collapsed="false">
      <c r="A711" s="16"/>
      <c r="B711" s="17"/>
      <c r="C711" s="17"/>
      <c r="D711" s="17"/>
      <c r="E711" s="17"/>
      <c r="F711" s="17"/>
      <c r="G711" s="18" t="str">
        <f aca="false">IF(COUNT(D711:F711)=0,"",MAX(D711:F711))</f>
        <v/>
      </c>
      <c r="H711" s="18" t="str">
        <f aca="false">IF(COUNT(D711:F711)=0,"",ROUND(AVERAGE(D711:F711),1))</f>
        <v/>
      </c>
      <c r="I711" s="18" t="str">
        <f aca="false">IF(H711="","",IF(J711&lt;설정!$B$7,"",ROUND(AVERAGEIFS($H$2:$H$1001,$B$2:$B$1001,B711,$A$2:$A$1001,"&lt;"&amp;A711,$A$2:$A$1001,"&gt;="&amp;(A711-설정!$B$6)),1)))</f>
        <v/>
      </c>
      <c r="J711" s="18" t="str">
        <f aca="false">IF(H711="","",COUNTIFS($B$2:$B$1001,B711,$A$2:$A$1001,"&lt;"&amp;A711,$A$2:$A$1001,"&gt;="&amp;(A711-설정!$B$6),$H$2:$H$1001,"&gt;=0"))</f>
        <v/>
      </c>
      <c r="K711" s="21" t="str">
        <f aca="false">IF(I711="","",H711/I711-1)</f>
        <v/>
      </c>
      <c r="L711" s="19" t="str">
        <f aca="false">IF(H711="","",IF(J711&lt;설정!$B$7,"baseline 수집 중",IF(K711&lt;=-설정!$B$8,"저하","정상")))</f>
        <v/>
      </c>
      <c r="M711" s="20"/>
    </row>
    <row r="712" customFormat="false" ht="15" hidden="false" customHeight="false" outlineLevel="0" collapsed="false">
      <c r="A712" s="16"/>
      <c r="B712" s="17"/>
      <c r="C712" s="17"/>
      <c r="D712" s="17"/>
      <c r="E712" s="17"/>
      <c r="F712" s="17"/>
      <c r="G712" s="18" t="str">
        <f aca="false">IF(COUNT(D712:F712)=0,"",MAX(D712:F712))</f>
        <v/>
      </c>
      <c r="H712" s="18" t="str">
        <f aca="false">IF(COUNT(D712:F712)=0,"",ROUND(AVERAGE(D712:F712),1))</f>
        <v/>
      </c>
      <c r="I712" s="18" t="str">
        <f aca="false">IF(H712="","",IF(J712&lt;설정!$B$7,"",ROUND(AVERAGEIFS($H$2:$H$1001,$B$2:$B$1001,B712,$A$2:$A$1001,"&lt;"&amp;A712,$A$2:$A$1001,"&gt;="&amp;(A712-설정!$B$6)),1)))</f>
        <v/>
      </c>
      <c r="J712" s="18" t="str">
        <f aca="false">IF(H712="","",COUNTIFS($B$2:$B$1001,B712,$A$2:$A$1001,"&lt;"&amp;A712,$A$2:$A$1001,"&gt;="&amp;(A712-설정!$B$6),$H$2:$H$1001,"&gt;=0"))</f>
        <v/>
      </c>
      <c r="K712" s="21" t="str">
        <f aca="false">IF(I712="","",H712/I712-1)</f>
        <v/>
      </c>
      <c r="L712" s="19" t="str">
        <f aca="false">IF(H712="","",IF(J712&lt;설정!$B$7,"baseline 수집 중",IF(K712&lt;=-설정!$B$8,"저하","정상")))</f>
        <v/>
      </c>
      <c r="M712" s="20"/>
    </row>
    <row r="713" customFormat="false" ht="15" hidden="false" customHeight="false" outlineLevel="0" collapsed="false">
      <c r="A713" s="16"/>
      <c r="B713" s="17"/>
      <c r="C713" s="17"/>
      <c r="D713" s="17"/>
      <c r="E713" s="17"/>
      <c r="F713" s="17"/>
      <c r="G713" s="18" t="str">
        <f aca="false">IF(COUNT(D713:F713)=0,"",MAX(D713:F713))</f>
        <v/>
      </c>
      <c r="H713" s="18" t="str">
        <f aca="false">IF(COUNT(D713:F713)=0,"",ROUND(AVERAGE(D713:F713),1))</f>
        <v/>
      </c>
      <c r="I713" s="18" t="str">
        <f aca="false">IF(H713="","",IF(J713&lt;설정!$B$7,"",ROUND(AVERAGEIFS($H$2:$H$1001,$B$2:$B$1001,B713,$A$2:$A$1001,"&lt;"&amp;A713,$A$2:$A$1001,"&gt;="&amp;(A713-설정!$B$6)),1)))</f>
        <v/>
      </c>
      <c r="J713" s="18" t="str">
        <f aca="false">IF(H713="","",COUNTIFS($B$2:$B$1001,B713,$A$2:$A$1001,"&lt;"&amp;A713,$A$2:$A$1001,"&gt;="&amp;(A713-설정!$B$6),$H$2:$H$1001,"&gt;=0"))</f>
        <v/>
      </c>
      <c r="K713" s="21" t="str">
        <f aca="false">IF(I713="","",H713/I713-1)</f>
        <v/>
      </c>
      <c r="L713" s="19" t="str">
        <f aca="false">IF(H713="","",IF(J713&lt;설정!$B$7,"baseline 수집 중",IF(K713&lt;=-설정!$B$8,"저하","정상")))</f>
        <v/>
      </c>
      <c r="M713" s="20"/>
    </row>
    <row r="714" customFormat="false" ht="15" hidden="false" customHeight="false" outlineLevel="0" collapsed="false">
      <c r="A714" s="16"/>
      <c r="B714" s="17"/>
      <c r="C714" s="17"/>
      <c r="D714" s="17"/>
      <c r="E714" s="17"/>
      <c r="F714" s="17"/>
      <c r="G714" s="18" t="str">
        <f aca="false">IF(COUNT(D714:F714)=0,"",MAX(D714:F714))</f>
        <v/>
      </c>
      <c r="H714" s="18" t="str">
        <f aca="false">IF(COUNT(D714:F714)=0,"",ROUND(AVERAGE(D714:F714),1))</f>
        <v/>
      </c>
      <c r="I714" s="18" t="str">
        <f aca="false">IF(H714="","",IF(J714&lt;설정!$B$7,"",ROUND(AVERAGEIFS($H$2:$H$1001,$B$2:$B$1001,B714,$A$2:$A$1001,"&lt;"&amp;A714,$A$2:$A$1001,"&gt;="&amp;(A714-설정!$B$6)),1)))</f>
        <v/>
      </c>
      <c r="J714" s="18" t="str">
        <f aca="false">IF(H714="","",COUNTIFS($B$2:$B$1001,B714,$A$2:$A$1001,"&lt;"&amp;A714,$A$2:$A$1001,"&gt;="&amp;(A714-설정!$B$6),$H$2:$H$1001,"&gt;=0"))</f>
        <v/>
      </c>
      <c r="K714" s="21" t="str">
        <f aca="false">IF(I714="","",H714/I714-1)</f>
        <v/>
      </c>
      <c r="L714" s="19" t="str">
        <f aca="false">IF(H714="","",IF(J714&lt;설정!$B$7,"baseline 수집 중",IF(K714&lt;=-설정!$B$8,"저하","정상")))</f>
        <v/>
      </c>
      <c r="M714" s="20"/>
    </row>
    <row r="715" customFormat="false" ht="15" hidden="false" customHeight="false" outlineLevel="0" collapsed="false">
      <c r="A715" s="16"/>
      <c r="B715" s="17"/>
      <c r="C715" s="17"/>
      <c r="D715" s="17"/>
      <c r="E715" s="17"/>
      <c r="F715" s="17"/>
      <c r="G715" s="18" t="str">
        <f aca="false">IF(COUNT(D715:F715)=0,"",MAX(D715:F715))</f>
        <v/>
      </c>
      <c r="H715" s="18" t="str">
        <f aca="false">IF(COUNT(D715:F715)=0,"",ROUND(AVERAGE(D715:F715),1))</f>
        <v/>
      </c>
      <c r="I715" s="18" t="str">
        <f aca="false">IF(H715="","",IF(J715&lt;설정!$B$7,"",ROUND(AVERAGEIFS($H$2:$H$1001,$B$2:$B$1001,B715,$A$2:$A$1001,"&lt;"&amp;A715,$A$2:$A$1001,"&gt;="&amp;(A715-설정!$B$6)),1)))</f>
        <v/>
      </c>
      <c r="J715" s="18" t="str">
        <f aca="false">IF(H715="","",COUNTIFS($B$2:$B$1001,B715,$A$2:$A$1001,"&lt;"&amp;A715,$A$2:$A$1001,"&gt;="&amp;(A715-설정!$B$6),$H$2:$H$1001,"&gt;=0"))</f>
        <v/>
      </c>
      <c r="K715" s="21" t="str">
        <f aca="false">IF(I715="","",H715/I715-1)</f>
        <v/>
      </c>
      <c r="L715" s="19" t="str">
        <f aca="false">IF(H715="","",IF(J715&lt;설정!$B$7,"baseline 수집 중",IF(K715&lt;=-설정!$B$8,"저하","정상")))</f>
        <v/>
      </c>
      <c r="M715" s="20"/>
    </row>
    <row r="716" customFormat="false" ht="15" hidden="false" customHeight="false" outlineLevel="0" collapsed="false">
      <c r="A716" s="16"/>
      <c r="B716" s="17"/>
      <c r="C716" s="17"/>
      <c r="D716" s="17"/>
      <c r="E716" s="17"/>
      <c r="F716" s="17"/>
      <c r="G716" s="18" t="str">
        <f aca="false">IF(COUNT(D716:F716)=0,"",MAX(D716:F716))</f>
        <v/>
      </c>
      <c r="H716" s="18" t="str">
        <f aca="false">IF(COUNT(D716:F716)=0,"",ROUND(AVERAGE(D716:F716),1))</f>
        <v/>
      </c>
      <c r="I716" s="18" t="str">
        <f aca="false">IF(H716="","",IF(J716&lt;설정!$B$7,"",ROUND(AVERAGEIFS($H$2:$H$1001,$B$2:$B$1001,B716,$A$2:$A$1001,"&lt;"&amp;A716,$A$2:$A$1001,"&gt;="&amp;(A716-설정!$B$6)),1)))</f>
        <v/>
      </c>
      <c r="J716" s="18" t="str">
        <f aca="false">IF(H716="","",COUNTIFS($B$2:$B$1001,B716,$A$2:$A$1001,"&lt;"&amp;A716,$A$2:$A$1001,"&gt;="&amp;(A716-설정!$B$6),$H$2:$H$1001,"&gt;=0"))</f>
        <v/>
      </c>
      <c r="K716" s="21" t="str">
        <f aca="false">IF(I716="","",H716/I716-1)</f>
        <v/>
      </c>
      <c r="L716" s="19" t="str">
        <f aca="false">IF(H716="","",IF(J716&lt;설정!$B$7,"baseline 수집 중",IF(K716&lt;=-설정!$B$8,"저하","정상")))</f>
        <v/>
      </c>
      <c r="M716" s="20"/>
    </row>
    <row r="717" customFormat="false" ht="15" hidden="false" customHeight="false" outlineLevel="0" collapsed="false">
      <c r="A717" s="16"/>
      <c r="B717" s="17"/>
      <c r="C717" s="17"/>
      <c r="D717" s="17"/>
      <c r="E717" s="17"/>
      <c r="F717" s="17"/>
      <c r="G717" s="18" t="str">
        <f aca="false">IF(COUNT(D717:F717)=0,"",MAX(D717:F717))</f>
        <v/>
      </c>
      <c r="H717" s="18" t="str">
        <f aca="false">IF(COUNT(D717:F717)=0,"",ROUND(AVERAGE(D717:F717),1))</f>
        <v/>
      </c>
      <c r="I717" s="18" t="str">
        <f aca="false">IF(H717="","",IF(J717&lt;설정!$B$7,"",ROUND(AVERAGEIFS($H$2:$H$1001,$B$2:$B$1001,B717,$A$2:$A$1001,"&lt;"&amp;A717,$A$2:$A$1001,"&gt;="&amp;(A717-설정!$B$6)),1)))</f>
        <v/>
      </c>
      <c r="J717" s="18" t="str">
        <f aca="false">IF(H717="","",COUNTIFS($B$2:$B$1001,B717,$A$2:$A$1001,"&lt;"&amp;A717,$A$2:$A$1001,"&gt;="&amp;(A717-설정!$B$6),$H$2:$H$1001,"&gt;=0"))</f>
        <v/>
      </c>
      <c r="K717" s="21" t="str">
        <f aca="false">IF(I717="","",H717/I717-1)</f>
        <v/>
      </c>
      <c r="L717" s="19" t="str">
        <f aca="false">IF(H717="","",IF(J717&lt;설정!$B$7,"baseline 수집 중",IF(K717&lt;=-설정!$B$8,"저하","정상")))</f>
        <v/>
      </c>
      <c r="M717" s="20"/>
    </row>
    <row r="718" customFormat="false" ht="15" hidden="false" customHeight="false" outlineLevel="0" collapsed="false">
      <c r="A718" s="16"/>
      <c r="B718" s="17"/>
      <c r="C718" s="17"/>
      <c r="D718" s="17"/>
      <c r="E718" s="17"/>
      <c r="F718" s="17"/>
      <c r="G718" s="18" t="str">
        <f aca="false">IF(COUNT(D718:F718)=0,"",MAX(D718:F718))</f>
        <v/>
      </c>
      <c r="H718" s="18" t="str">
        <f aca="false">IF(COUNT(D718:F718)=0,"",ROUND(AVERAGE(D718:F718),1))</f>
        <v/>
      </c>
      <c r="I718" s="18" t="str">
        <f aca="false">IF(H718="","",IF(J718&lt;설정!$B$7,"",ROUND(AVERAGEIFS($H$2:$H$1001,$B$2:$B$1001,B718,$A$2:$A$1001,"&lt;"&amp;A718,$A$2:$A$1001,"&gt;="&amp;(A718-설정!$B$6)),1)))</f>
        <v/>
      </c>
      <c r="J718" s="18" t="str">
        <f aca="false">IF(H718="","",COUNTIFS($B$2:$B$1001,B718,$A$2:$A$1001,"&lt;"&amp;A718,$A$2:$A$1001,"&gt;="&amp;(A718-설정!$B$6),$H$2:$H$1001,"&gt;=0"))</f>
        <v/>
      </c>
      <c r="K718" s="21" t="str">
        <f aca="false">IF(I718="","",H718/I718-1)</f>
        <v/>
      </c>
      <c r="L718" s="19" t="str">
        <f aca="false">IF(H718="","",IF(J718&lt;설정!$B$7,"baseline 수집 중",IF(K718&lt;=-설정!$B$8,"저하","정상")))</f>
        <v/>
      </c>
      <c r="M718" s="20"/>
    </row>
    <row r="719" customFormat="false" ht="15" hidden="false" customHeight="false" outlineLevel="0" collapsed="false">
      <c r="A719" s="16"/>
      <c r="B719" s="17"/>
      <c r="C719" s="17"/>
      <c r="D719" s="17"/>
      <c r="E719" s="17"/>
      <c r="F719" s="17"/>
      <c r="G719" s="18" t="str">
        <f aca="false">IF(COUNT(D719:F719)=0,"",MAX(D719:F719))</f>
        <v/>
      </c>
      <c r="H719" s="18" t="str">
        <f aca="false">IF(COUNT(D719:F719)=0,"",ROUND(AVERAGE(D719:F719),1))</f>
        <v/>
      </c>
      <c r="I719" s="18" t="str">
        <f aca="false">IF(H719="","",IF(J719&lt;설정!$B$7,"",ROUND(AVERAGEIFS($H$2:$H$1001,$B$2:$B$1001,B719,$A$2:$A$1001,"&lt;"&amp;A719,$A$2:$A$1001,"&gt;="&amp;(A719-설정!$B$6)),1)))</f>
        <v/>
      </c>
      <c r="J719" s="18" t="str">
        <f aca="false">IF(H719="","",COUNTIFS($B$2:$B$1001,B719,$A$2:$A$1001,"&lt;"&amp;A719,$A$2:$A$1001,"&gt;="&amp;(A719-설정!$B$6),$H$2:$H$1001,"&gt;=0"))</f>
        <v/>
      </c>
      <c r="K719" s="21" t="str">
        <f aca="false">IF(I719="","",H719/I719-1)</f>
        <v/>
      </c>
      <c r="L719" s="19" t="str">
        <f aca="false">IF(H719="","",IF(J719&lt;설정!$B$7,"baseline 수집 중",IF(K719&lt;=-설정!$B$8,"저하","정상")))</f>
        <v/>
      </c>
      <c r="M719" s="20"/>
    </row>
    <row r="720" customFormat="false" ht="15" hidden="false" customHeight="false" outlineLevel="0" collapsed="false">
      <c r="A720" s="16"/>
      <c r="B720" s="17"/>
      <c r="C720" s="17"/>
      <c r="D720" s="17"/>
      <c r="E720" s="17"/>
      <c r="F720" s="17"/>
      <c r="G720" s="18" t="str">
        <f aca="false">IF(COUNT(D720:F720)=0,"",MAX(D720:F720))</f>
        <v/>
      </c>
      <c r="H720" s="18" t="str">
        <f aca="false">IF(COUNT(D720:F720)=0,"",ROUND(AVERAGE(D720:F720),1))</f>
        <v/>
      </c>
      <c r="I720" s="18" t="str">
        <f aca="false">IF(H720="","",IF(J720&lt;설정!$B$7,"",ROUND(AVERAGEIFS($H$2:$H$1001,$B$2:$B$1001,B720,$A$2:$A$1001,"&lt;"&amp;A720,$A$2:$A$1001,"&gt;="&amp;(A720-설정!$B$6)),1)))</f>
        <v/>
      </c>
      <c r="J720" s="18" t="str">
        <f aca="false">IF(H720="","",COUNTIFS($B$2:$B$1001,B720,$A$2:$A$1001,"&lt;"&amp;A720,$A$2:$A$1001,"&gt;="&amp;(A720-설정!$B$6),$H$2:$H$1001,"&gt;=0"))</f>
        <v/>
      </c>
      <c r="K720" s="21" t="str">
        <f aca="false">IF(I720="","",H720/I720-1)</f>
        <v/>
      </c>
      <c r="L720" s="19" t="str">
        <f aca="false">IF(H720="","",IF(J720&lt;설정!$B$7,"baseline 수집 중",IF(K720&lt;=-설정!$B$8,"저하","정상")))</f>
        <v/>
      </c>
      <c r="M720" s="20"/>
    </row>
    <row r="721" customFormat="false" ht="15" hidden="false" customHeight="false" outlineLevel="0" collapsed="false">
      <c r="A721" s="16"/>
      <c r="B721" s="17"/>
      <c r="C721" s="17"/>
      <c r="D721" s="17"/>
      <c r="E721" s="17"/>
      <c r="F721" s="17"/>
      <c r="G721" s="18" t="str">
        <f aca="false">IF(COUNT(D721:F721)=0,"",MAX(D721:F721))</f>
        <v/>
      </c>
      <c r="H721" s="18" t="str">
        <f aca="false">IF(COUNT(D721:F721)=0,"",ROUND(AVERAGE(D721:F721),1))</f>
        <v/>
      </c>
      <c r="I721" s="18" t="str">
        <f aca="false">IF(H721="","",IF(J721&lt;설정!$B$7,"",ROUND(AVERAGEIFS($H$2:$H$1001,$B$2:$B$1001,B721,$A$2:$A$1001,"&lt;"&amp;A721,$A$2:$A$1001,"&gt;="&amp;(A721-설정!$B$6)),1)))</f>
        <v/>
      </c>
      <c r="J721" s="18" t="str">
        <f aca="false">IF(H721="","",COUNTIFS($B$2:$B$1001,B721,$A$2:$A$1001,"&lt;"&amp;A721,$A$2:$A$1001,"&gt;="&amp;(A721-설정!$B$6),$H$2:$H$1001,"&gt;=0"))</f>
        <v/>
      </c>
      <c r="K721" s="21" t="str">
        <f aca="false">IF(I721="","",H721/I721-1)</f>
        <v/>
      </c>
      <c r="L721" s="19" t="str">
        <f aca="false">IF(H721="","",IF(J721&lt;설정!$B$7,"baseline 수집 중",IF(K721&lt;=-설정!$B$8,"저하","정상")))</f>
        <v/>
      </c>
      <c r="M721" s="20"/>
    </row>
    <row r="722" customFormat="false" ht="15" hidden="false" customHeight="false" outlineLevel="0" collapsed="false">
      <c r="A722" s="16"/>
      <c r="B722" s="17"/>
      <c r="C722" s="17"/>
      <c r="D722" s="17"/>
      <c r="E722" s="17"/>
      <c r="F722" s="17"/>
      <c r="G722" s="18" t="str">
        <f aca="false">IF(COUNT(D722:F722)=0,"",MAX(D722:F722))</f>
        <v/>
      </c>
      <c r="H722" s="18" t="str">
        <f aca="false">IF(COUNT(D722:F722)=0,"",ROUND(AVERAGE(D722:F722),1))</f>
        <v/>
      </c>
      <c r="I722" s="18" t="str">
        <f aca="false">IF(H722="","",IF(J722&lt;설정!$B$7,"",ROUND(AVERAGEIFS($H$2:$H$1001,$B$2:$B$1001,B722,$A$2:$A$1001,"&lt;"&amp;A722,$A$2:$A$1001,"&gt;="&amp;(A722-설정!$B$6)),1)))</f>
        <v/>
      </c>
      <c r="J722" s="18" t="str">
        <f aca="false">IF(H722="","",COUNTIFS($B$2:$B$1001,B722,$A$2:$A$1001,"&lt;"&amp;A722,$A$2:$A$1001,"&gt;="&amp;(A722-설정!$B$6),$H$2:$H$1001,"&gt;=0"))</f>
        <v/>
      </c>
      <c r="K722" s="21" t="str">
        <f aca="false">IF(I722="","",H722/I722-1)</f>
        <v/>
      </c>
      <c r="L722" s="19" t="str">
        <f aca="false">IF(H722="","",IF(J722&lt;설정!$B$7,"baseline 수집 중",IF(K722&lt;=-설정!$B$8,"저하","정상")))</f>
        <v/>
      </c>
      <c r="M722" s="20"/>
    </row>
    <row r="723" customFormat="false" ht="15" hidden="false" customHeight="false" outlineLevel="0" collapsed="false">
      <c r="A723" s="16"/>
      <c r="B723" s="17"/>
      <c r="C723" s="17"/>
      <c r="D723" s="17"/>
      <c r="E723" s="17"/>
      <c r="F723" s="17"/>
      <c r="G723" s="18" t="str">
        <f aca="false">IF(COUNT(D723:F723)=0,"",MAX(D723:F723))</f>
        <v/>
      </c>
      <c r="H723" s="18" t="str">
        <f aca="false">IF(COUNT(D723:F723)=0,"",ROUND(AVERAGE(D723:F723),1))</f>
        <v/>
      </c>
      <c r="I723" s="18" t="str">
        <f aca="false">IF(H723="","",IF(J723&lt;설정!$B$7,"",ROUND(AVERAGEIFS($H$2:$H$1001,$B$2:$B$1001,B723,$A$2:$A$1001,"&lt;"&amp;A723,$A$2:$A$1001,"&gt;="&amp;(A723-설정!$B$6)),1)))</f>
        <v/>
      </c>
      <c r="J723" s="18" t="str">
        <f aca="false">IF(H723="","",COUNTIFS($B$2:$B$1001,B723,$A$2:$A$1001,"&lt;"&amp;A723,$A$2:$A$1001,"&gt;="&amp;(A723-설정!$B$6),$H$2:$H$1001,"&gt;=0"))</f>
        <v/>
      </c>
      <c r="K723" s="21" t="str">
        <f aca="false">IF(I723="","",H723/I723-1)</f>
        <v/>
      </c>
      <c r="L723" s="19" t="str">
        <f aca="false">IF(H723="","",IF(J723&lt;설정!$B$7,"baseline 수집 중",IF(K723&lt;=-설정!$B$8,"저하","정상")))</f>
        <v/>
      </c>
      <c r="M723" s="20"/>
    </row>
    <row r="724" customFormat="false" ht="15" hidden="false" customHeight="false" outlineLevel="0" collapsed="false">
      <c r="A724" s="16"/>
      <c r="B724" s="17"/>
      <c r="C724" s="17"/>
      <c r="D724" s="17"/>
      <c r="E724" s="17"/>
      <c r="F724" s="17"/>
      <c r="G724" s="18" t="str">
        <f aca="false">IF(COUNT(D724:F724)=0,"",MAX(D724:F724))</f>
        <v/>
      </c>
      <c r="H724" s="18" t="str">
        <f aca="false">IF(COUNT(D724:F724)=0,"",ROUND(AVERAGE(D724:F724),1))</f>
        <v/>
      </c>
      <c r="I724" s="18" t="str">
        <f aca="false">IF(H724="","",IF(J724&lt;설정!$B$7,"",ROUND(AVERAGEIFS($H$2:$H$1001,$B$2:$B$1001,B724,$A$2:$A$1001,"&lt;"&amp;A724,$A$2:$A$1001,"&gt;="&amp;(A724-설정!$B$6)),1)))</f>
        <v/>
      </c>
      <c r="J724" s="18" t="str">
        <f aca="false">IF(H724="","",COUNTIFS($B$2:$B$1001,B724,$A$2:$A$1001,"&lt;"&amp;A724,$A$2:$A$1001,"&gt;="&amp;(A724-설정!$B$6),$H$2:$H$1001,"&gt;=0"))</f>
        <v/>
      </c>
      <c r="K724" s="21" t="str">
        <f aca="false">IF(I724="","",H724/I724-1)</f>
        <v/>
      </c>
      <c r="L724" s="19" t="str">
        <f aca="false">IF(H724="","",IF(J724&lt;설정!$B$7,"baseline 수집 중",IF(K724&lt;=-설정!$B$8,"저하","정상")))</f>
        <v/>
      </c>
      <c r="M724" s="20"/>
    </row>
    <row r="725" customFormat="false" ht="15" hidden="false" customHeight="false" outlineLevel="0" collapsed="false">
      <c r="A725" s="16"/>
      <c r="B725" s="17"/>
      <c r="C725" s="17"/>
      <c r="D725" s="17"/>
      <c r="E725" s="17"/>
      <c r="F725" s="17"/>
      <c r="G725" s="18" t="str">
        <f aca="false">IF(COUNT(D725:F725)=0,"",MAX(D725:F725))</f>
        <v/>
      </c>
      <c r="H725" s="18" t="str">
        <f aca="false">IF(COUNT(D725:F725)=0,"",ROUND(AVERAGE(D725:F725),1))</f>
        <v/>
      </c>
      <c r="I725" s="18" t="str">
        <f aca="false">IF(H725="","",IF(J725&lt;설정!$B$7,"",ROUND(AVERAGEIFS($H$2:$H$1001,$B$2:$B$1001,B725,$A$2:$A$1001,"&lt;"&amp;A725,$A$2:$A$1001,"&gt;="&amp;(A725-설정!$B$6)),1)))</f>
        <v/>
      </c>
      <c r="J725" s="18" t="str">
        <f aca="false">IF(H725="","",COUNTIFS($B$2:$B$1001,B725,$A$2:$A$1001,"&lt;"&amp;A725,$A$2:$A$1001,"&gt;="&amp;(A725-설정!$B$6),$H$2:$H$1001,"&gt;=0"))</f>
        <v/>
      </c>
      <c r="K725" s="21" t="str">
        <f aca="false">IF(I725="","",H725/I725-1)</f>
        <v/>
      </c>
      <c r="L725" s="19" t="str">
        <f aca="false">IF(H725="","",IF(J725&lt;설정!$B$7,"baseline 수집 중",IF(K725&lt;=-설정!$B$8,"저하","정상")))</f>
        <v/>
      </c>
      <c r="M725" s="20"/>
    </row>
    <row r="726" customFormat="false" ht="15" hidden="false" customHeight="false" outlineLevel="0" collapsed="false">
      <c r="A726" s="16"/>
      <c r="B726" s="17"/>
      <c r="C726" s="17"/>
      <c r="D726" s="17"/>
      <c r="E726" s="17"/>
      <c r="F726" s="17"/>
      <c r="G726" s="18" t="str">
        <f aca="false">IF(COUNT(D726:F726)=0,"",MAX(D726:F726))</f>
        <v/>
      </c>
      <c r="H726" s="18" t="str">
        <f aca="false">IF(COUNT(D726:F726)=0,"",ROUND(AVERAGE(D726:F726),1))</f>
        <v/>
      </c>
      <c r="I726" s="18" t="str">
        <f aca="false">IF(H726="","",IF(J726&lt;설정!$B$7,"",ROUND(AVERAGEIFS($H$2:$H$1001,$B$2:$B$1001,B726,$A$2:$A$1001,"&lt;"&amp;A726,$A$2:$A$1001,"&gt;="&amp;(A726-설정!$B$6)),1)))</f>
        <v/>
      </c>
      <c r="J726" s="18" t="str">
        <f aca="false">IF(H726="","",COUNTIFS($B$2:$B$1001,B726,$A$2:$A$1001,"&lt;"&amp;A726,$A$2:$A$1001,"&gt;="&amp;(A726-설정!$B$6),$H$2:$H$1001,"&gt;=0"))</f>
        <v/>
      </c>
      <c r="K726" s="21" t="str">
        <f aca="false">IF(I726="","",H726/I726-1)</f>
        <v/>
      </c>
      <c r="L726" s="19" t="str">
        <f aca="false">IF(H726="","",IF(J726&lt;설정!$B$7,"baseline 수집 중",IF(K726&lt;=-설정!$B$8,"저하","정상")))</f>
        <v/>
      </c>
      <c r="M726" s="20"/>
    </row>
    <row r="727" customFormat="false" ht="15" hidden="false" customHeight="false" outlineLevel="0" collapsed="false">
      <c r="A727" s="16"/>
      <c r="B727" s="17"/>
      <c r="C727" s="17"/>
      <c r="D727" s="17"/>
      <c r="E727" s="17"/>
      <c r="F727" s="17"/>
      <c r="G727" s="18" t="str">
        <f aca="false">IF(COUNT(D727:F727)=0,"",MAX(D727:F727))</f>
        <v/>
      </c>
      <c r="H727" s="18" t="str">
        <f aca="false">IF(COUNT(D727:F727)=0,"",ROUND(AVERAGE(D727:F727),1))</f>
        <v/>
      </c>
      <c r="I727" s="18" t="str">
        <f aca="false">IF(H727="","",IF(J727&lt;설정!$B$7,"",ROUND(AVERAGEIFS($H$2:$H$1001,$B$2:$B$1001,B727,$A$2:$A$1001,"&lt;"&amp;A727,$A$2:$A$1001,"&gt;="&amp;(A727-설정!$B$6)),1)))</f>
        <v/>
      </c>
      <c r="J727" s="18" t="str">
        <f aca="false">IF(H727="","",COUNTIFS($B$2:$B$1001,B727,$A$2:$A$1001,"&lt;"&amp;A727,$A$2:$A$1001,"&gt;="&amp;(A727-설정!$B$6),$H$2:$H$1001,"&gt;=0"))</f>
        <v/>
      </c>
      <c r="K727" s="21" t="str">
        <f aca="false">IF(I727="","",H727/I727-1)</f>
        <v/>
      </c>
      <c r="L727" s="19" t="str">
        <f aca="false">IF(H727="","",IF(J727&lt;설정!$B$7,"baseline 수집 중",IF(K727&lt;=-설정!$B$8,"저하","정상")))</f>
        <v/>
      </c>
      <c r="M727" s="20"/>
    </row>
    <row r="728" customFormat="false" ht="15" hidden="false" customHeight="false" outlineLevel="0" collapsed="false">
      <c r="A728" s="16"/>
      <c r="B728" s="17"/>
      <c r="C728" s="17"/>
      <c r="D728" s="17"/>
      <c r="E728" s="17"/>
      <c r="F728" s="17"/>
      <c r="G728" s="18" t="str">
        <f aca="false">IF(COUNT(D728:F728)=0,"",MAX(D728:F728))</f>
        <v/>
      </c>
      <c r="H728" s="18" t="str">
        <f aca="false">IF(COUNT(D728:F728)=0,"",ROUND(AVERAGE(D728:F728),1))</f>
        <v/>
      </c>
      <c r="I728" s="18" t="str">
        <f aca="false">IF(H728="","",IF(J728&lt;설정!$B$7,"",ROUND(AVERAGEIFS($H$2:$H$1001,$B$2:$B$1001,B728,$A$2:$A$1001,"&lt;"&amp;A728,$A$2:$A$1001,"&gt;="&amp;(A728-설정!$B$6)),1)))</f>
        <v/>
      </c>
      <c r="J728" s="18" t="str">
        <f aca="false">IF(H728="","",COUNTIFS($B$2:$B$1001,B728,$A$2:$A$1001,"&lt;"&amp;A728,$A$2:$A$1001,"&gt;="&amp;(A728-설정!$B$6),$H$2:$H$1001,"&gt;=0"))</f>
        <v/>
      </c>
      <c r="K728" s="21" t="str">
        <f aca="false">IF(I728="","",H728/I728-1)</f>
        <v/>
      </c>
      <c r="L728" s="19" t="str">
        <f aca="false">IF(H728="","",IF(J728&lt;설정!$B$7,"baseline 수집 중",IF(K728&lt;=-설정!$B$8,"저하","정상")))</f>
        <v/>
      </c>
      <c r="M728" s="20"/>
    </row>
    <row r="729" customFormat="false" ht="15" hidden="false" customHeight="false" outlineLevel="0" collapsed="false">
      <c r="A729" s="16"/>
      <c r="B729" s="17"/>
      <c r="C729" s="17"/>
      <c r="D729" s="17"/>
      <c r="E729" s="17"/>
      <c r="F729" s="17"/>
      <c r="G729" s="18" t="str">
        <f aca="false">IF(COUNT(D729:F729)=0,"",MAX(D729:F729))</f>
        <v/>
      </c>
      <c r="H729" s="18" t="str">
        <f aca="false">IF(COUNT(D729:F729)=0,"",ROUND(AVERAGE(D729:F729),1))</f>
        <v/>
      </c>
      <c r="I729" s="18" t="str">
        <f aca="false">IF(H729="","",IF(J729&lt;설정!$B$7,"",ROUND(AVERAGEIFS($H$2:$H$1001,$B$2:$B$1001,B729,$A$2:$A$1001,"&lt;"&amp;A729,$A$2:$A$1001,"&gt;="&amp;(A729-설정!$B$6)),1)))</f>
        <v/>
      </c>
      <c r="J729" s="18" t="str">
        <f aca="false">IF(H729="","",COUNTIFS($B$2:$B$1001,B729,$A$2:$A$1001,"&lt;"&amp;A729,$A$2:$A$1001,"&gt;="&amp;(A729-설정!$B$6),$H$2:$H$1001,"&gt;=0"))</f>
        <v/>
      </c>
      <c r="K729" s="21" t="str">
        <f aca="false">IF(I729="","",H729/I729-1)</f>
        <v/>
      </c>
      <c r="L729" s="19" t="str">
        <f aca="false">IF(H729="","",IF(J729&lt;설정!$B$7,"baseline 수집 중",IF(K729&lt;=-설정!$B$8,"저하","정상")))</f>
        <v/>
      </c>
      <c r="M729" s="20"/>
    </row>
    <row r="730" customFormat="false" ht="15" hidden="false" customHeight="false" outlineLevel="0" collapsed="false">
      <c r="A730" s="16"/>
      <c r="B730" s="17"/>
      <c r="C730" s="17"/>
      <c r="D730" s="17"/>
      <c r="E730" s="17"/>
      <c r="F730" s="17"/>
      <c r="G730" s="18" t="str">
        <f aca="false">IF(COUNT(D730:F730)=0,"",MAX(D730:F730))</f>
        <v/>
      </c>
      <c r="H730" s="18" t="str">
        <f aca="false">IF(COUNT(D730:F730)=0,"",ROUND(AVERAGE(D730:F730),1))</f>
        <v/>
      </c>
      <c r="I730" s="18" t="str">
        <f aca="false">IF(H730="","",IF(J730&lt;설정!$B$7,"",ROUND(AVERAGEIFS($H$2:$H$1001,$B$2:$B$1001,B730,$A$2:$A$1001,"&lt;"&amp;A730,$A$2:$A$1001,"&gt;="&amp;(A730-설정!$B$6)),1)))</f>
        <v/>
      </c>
      <c r="J730" s="18" t="str">
        <f aca="false">IF(H730="","",COUNTIFS($B$2:$B$1001,B730,$A$2:$A$1001,"&lt;"&amp;A730,$A$2:$A$1001,"&gt;="&amp;(A730-설정!$B$6),$H$2:$H$1001,"&gt;=0"))</f>
        <v/>
      </c>
      <c r="K730" s="21" t="str">
        <f aca="false">IF(I730="","",H730/I730-1)</f>
        <v/>
      </c>
      <c r="L730" s="19" t="str">
        <f aca="false">IF(H730="","",IF(J730&lt;설정!$B$7,"baseline 수집 중",IF(K730&lt;=-설정!$B$8,"저하","정상")))</f>
        <v/>
      </c>
      <c r="M730" s="20"/>
    </row>
    <row r="731" customFormat="false" ht="15" hidden="false" customHeight="false" outlineLevel="0" collapsed="false">
      <c r="A731" s="16"/>
      <c r="B731" s="17"/>
      <c r="C731" s="17"/>
      <c r="D731" s="17"/>
      <c r="E731" s="17"/>
      <c r="F731" s="17"/>
      <c r="G731" s="18" t="str">
        <f aca="false">IF(COUNT(D731:F731)=0,"",MAX(D731:F731))</f>
        <v/>
      </c>
      <c r="H731" s="18" t="str">
        <f aca="false">IF(COUNT(D731:F731)=0,"",ROUND(AVERAGE(D731:F731),1))</f>
        <v/>
      </c>
      <c r="I731" s="18" t="str">
        <f aca="false">IF(H731="","",IF(J731&lt;설정!$B$7,"",ROUND(AVERAGEIFS($H$2:$H$1001,$B$2:$B$1001,B731,$A$2:$A$1001,"&lt;"&amp;A731,$A$2:$A$1001,"&gt;="&amp;(A731-설정!$B$6)),1)))</f>
        <v/>
      </c>
      <c r="J731" s="18" t="str">
        <f aca="false">IF(H731="","",COUNTIFS($B$2:$B$1001,B731,$A$2:$A$1001,"&lt;"&amp;A731,$A$2:$A$1001,"&gt;="&amp;(A731-설정!$B$6),$H$2:$H$1001,"&gt;=0"))</f>
        <v/>
      </c>
      <c r="K731" s="21" t="str">
        <f aca="false">IF(I731="","",H731/I731-1)</f>
        <v/>
      </c>
      <c r="L731" s="19" t="str">
        <f aca="false">IF(H731="","",IF(J731&lt;설정!$B$7,"baseline 수집 중",IF(K731&lt;=-설정!$B$8,"저하","정상")))</f>
        <v/>
      </c>
      <c r="M731" s="20"/>
    </row>
    <row r="732" customFormat="false" ht="15" hidden="false" customHeight="false" outlineLevel="0" collapsed="false">
      <c r="A732" s="16"/>
      <c r="B732" s="17"/>
      <c r="C732" s="17"/>
      <c r="D732" s="17"/>
      <c r="E732" s="17"/>
      <c r="F732" s="17"/>
      <c r="G732" s="18" t="str">
        <f aca="false">IF(COUNT(D732:F732)=0,"",MAX(D732:F732))</f>
        <v/>
      </c>
      <c r="H732" s="18" t="str">
        <f aca="false">IF(COUNT(D732:F732)=0,"",ROUND(AVERAGE(D732:F732),1))</f>
        <v/>
      </c>
      <c r="I732" s="18" t="str">
        <f aca="false">IF(H732="","",IF(J732&lt;설정!$B$7,"",ROUND(AVERAGEIFS($H$2:$H$1001,$B$2:$B$1001,B732,$A$2:$A$1001,"&lt;"&amp;A732,$A$2:$A$1001,"&gt;="&amp;(A732-설정!$B$6)),1)))</f>
        <v/>
      </c>
      <c r="J732" s="18" t="str">
        <f aca="false">IF(H732="","",COUNTIFS($B$2:$B$1001,B732,$A$2:$A$1001,"&lt;"&amp;A732,$A$2:$A$1001,"&gt;="&amp;(A732-설정!$B$6),$H$2:$H$1001,"&gt;=0"))</f>
        <v/>
      </c>
      <c r="K732" s="21" t="str">
        <f aca="false">IF(I732="","",H732/I732-1)</f>
        <v/>
      </c>
      <c r="L732" s="19" t="str">
        <f aca="false">IF(H732="","",IF(J732&lt;설정!$B$7,"baseline 수집 중",IF(K732&lt;=-설정!$B$8,"저하","정상")))</f>
        <v/>
      </c>
      <c r="M732" s="20"/>
    </row>
    <row r="733" customFormat="false" ht="15" hidden="false" customHeight="false" outlineLevel="0" collapsed="false">
      <c r="A733" s="16"/>
      <c r="B733" s="17"/>
      <c r="C733" s="17"/>
      <c r="D733" s="17"/>
      <c r="E733" s="17"/>
      <c r="F733" s="17"/>
      <c r="G733" s="18" t="str">
        <f aca="false">IF(COUNT(D733:F733)=0,"",MAX(D733:F733))</f>
        <v/>
      </c>
      <c r="H733" s="18" t="str">
        <f aca="false">IF(COUNT(D733:F733)=0,"",ROUND(AVERAGE(D733:F733),1))</f>
        <v/>
      </c>
      <c r="I733" s="18" t="str">
        <f aca="false">IF(H733="","",IF(J733&lt;설정!$B$7,"",ROUND(AVERAGEIFS($H$2:$H$1001,$B$2:$B$1001,B733,$A$2:$A$1001,"&lt;"&amp;A733,$A$2:$A$1001,"&gt;="&amp;(A733-설정!$B$6)),1)))</f>
        <v/>
      </c>
      <c r="J733" s="18" t="str">
        <f aca="false">IF(H733="","",COUNTIFS($B$2:$B$1001,B733,$A$2:$A$1001,"&lt;"&amp;A733,$A$2:$A$1001,"&gt;="&amp;(A733-설정!$B$6),$H$2:$H$1001,"&gt;=0"))</f>
        <v/>
      </c>
      <c r="K733" s="21" t="str">
        <f aca="false">IF(I733="","",H733/I733-1)</f>
        <v/>
      </c>
      <c r="L733" s="19" t="str">
        <f aca="false">IF(H733="","",IF(J733&lt;설정!$B$7,"baseline 수집 중",IF(K733&lt;=-설정!$B$8,"저하","정상")))</f>
        <v/>
      </c>
      <c r="M733" s="20"/>
    </row>
    <row r="734" customFormat="false" ht="15" hidden="false" customHeight="false" outlineLevel="0" collapsed="false">
      <c r="A734" s="16"/>
      <c r="B734" s="17"/>
      <c r="C734" s="17"/>
      <c r="D734" s="17"/>
      <c r="E734" s="17"/>
      <c r="F734" s="17"/>
      <c r="G734" s="18" t="str">
        <f aca="false">IF(COUNT(D734:F734)=0,"",MAX(D734:F734))</f>
        <v/>
      </c>
      <c r="H734" s="18" t="str">
        <f aca="false">IF(COUNT(D734:F734)=0,"",ROUND(AVERAGE(D734:F734),1))</f>
        <v/>
      </c>
      <c r="I734" s="18" t="str">
        <f aca="false">IF(H734="","",IF(J734&lt;설정!$B$7,"",ROUND(AVERAGEIFS($H$2:$H$1001,$B$2:$B$1001,B734,$A$2:$A$1001,"&lt;"&amp;A734,$A$2:$A$1001,"&gt;="&amp;(A734-설정!$B$6)),1)))</f>
        <v/>
      </c>
      <c r="J734" s="18" t="str">
        <f aca="false">IF(H734="","",COUNTIFS($B$2:$B$1001,B734,$A$2:$A$1001,"&lt;"&amp;A734,$A$2:$A$1001,"&gt;="&amp;(A734-설정!$B$6),$H$2:$H$1001,"&gt;=0"))</f>
        <v/>
      </c>
      <c r="K734" s="21" t="str">
        <f aca="false">IF(I734="","",H734/I734-1)</f>
        <v/>
      </c>
      <c r="L734" s="19" t="str">
        <f aca="false">IF(H734="","",IF(J734&lt;설정!$B$7,"baseline 수집 중",IF(K734&lt;=-설정!$B$8,"저하","정상")))</f>
        <v/>
      </c>
      <c r="M734" s="20"/>
    </row>
    <row r="735" customFormat="false" ht="15" hidden="false" customHeight="false" outlineLevel="0" collapsed="false">
      <c r="A735" s="16"/>
      <c r="B735" s="17"/>
      <c r="C735" s="17"/>
      <c r="D735" s="17"/>
      <c r="E735" s="17"/>
      <c r="F735" s="17"/>
      <c r="G735" s="18" t="str">
        <f aca="false">IF(COUNT(D735:F735)=0,"",MAX(D735:F735))</f>
        <v/>
      </c>
      <c r="H735" s="18" t="str">
        <f aca="false">IF(COUNT(D735:F735)=0,"",ROUND(AVERAGE(D735:F735),1))</f>
        <v/>
      </c>
      <c r="I735" s="18" t="str">
        <f aca="false">IF(H735="","",IF(J735&lt;설정!$B$7,"",ROUND(AVERAGEIFS($H$2:$H$1001,$B$2:$B$1001,B735,$A$2:$A$1001,"&lt;"&amp;A735,$A$2:$A$1001,"&gt;="&amp;(A735-설정!$B$6)),1)))</f>
        <v/>
      </c>
      <c r="J735" s="18" t="str">
        <f aca="false">IF(H735="","",COUNTIFS($B$2:$B$1001,B735,$A$2:$A$1001,"&lt;"&amp;A735,$A$2:$A$1001,"&gt;="&amp;(A735-설정!$B$6),$H$2:$H$1001,"&gt;=0"))</f>
        <v/>
      </c>
      <c r="K735" s="21" t="str">
        <f aca="false">IF(I735="","",H735/I735-1)</f>
        <v/>
      </c>
      <c r="L735" s="19" t="str">
        <f aca="false">IF(H735="","",IF(J735&lt;설정!$B$7,"baseline 수집 중",IF(K735&lt;=-설정!$B$8,"저하","정상")))</f>
        <v/>
      </c>
      <c r="M735" s="20"/>
    </row>
    <row r="736" customFormat="false" ht="15" hidden="false" customHeight="false" outlineLevel="0" collapsed="false">
      <c r="A736" s="16"/>
      <c r="B736" s="17"/>
      <c r="C736" s="17"/>
      <c r="D736" s="17"/>
      <c r="E736" s="17"/>
      <c r="F736" s="17"/>
      <c r="G736" s="18" t="str">
        <f aca="false">IF(COUNT(D736:F736)=0,"",MAX(D736:F736))</f>
        <v/>
      </c>
      <c r="H736" s="18" t="str">
        <f aca="false">IF(COUNT(D736:F736)=0,"",ROUND(AVERAGE(D736:F736),1))</f>
        <v/>
      </c>
      <c r="I736" s="18" t="str">
        <f aca="false">IF(H736="","",IF(J736&lt;설정!$B$7,"",ROUND(AVERAGEIFS($H$2:$H$1001,$B$2:$B$1001,B736,$A$2:$A$1001,"&lt;"&amp;A736,$A$2:$A$1001,"&gt;="&amp;(A736-설정!$B$6)),1)))</f>
        <v/>
      </c>
      <c r="J736" s="18" t="str">
        <f aca="false">IF(H736="","",COUNTIFS($B$2:$B$1001,B736,$A$2:$A$1001,"&lt;"&amp;A736,$A$2:$A$1001,"&gt;="&amp;(A736-설정!$B$6),$H$2:$H$1001,"&gt;=0"))</f>
        <v/>
      </c>
      <c r="K736" s="21" t="str">
        <f aca="false">IF(I736="","",H736/I736-1)</f>
        <v/>
      </c>
      <c r="L736" s="19" t="str">
        <f aca="false">IF(H736="","",IF(J736&lt;설정!$B$7,"baseline 수집 중",IF(K736&lt;=-설정!$B$8,"저하","정상")))</f>
        <v/>
      </c>
      <c r="M736" s="20"/>
    </row>
    <row r="737" customFormat="false" ht="15" hidden="false" customHeight="false" outlineLevel="0" collapsed="false">
      <c r="A737" s="16"/>
      <c r="B737" s="17"/>
      <c r="C737" s="17"/>
      <c r="D737" s="17"/>
      <c r="E737" s="17"/>
      <c r="F737" s="17"/>
      <c r="G737" s="18" t="str">
        <f aca="false">IF(COUNT(D737:F737)=0,"",MAX(D737:F737))</f>
        <v/>
      </c>
      <c r="H737" s="18" t="str">
        <f aca="false">IF(COUNT(D737:F737)=0,"",ROUND(AVERAGE(D737:F737),1))</f>
        <v/>
      </c>
      <c r="I737" s="18" t="str">
        <f aca="false">IF(H737="","",IF(J737&lt;설정!$B$7,"",ROUND(AVERAGEIFS($H$2:$H$1001,$B$2:$B$1001,B737,$A$2:$A$1001,"&lt;"&amp;A737,$A$2:$A$1001,"&gt;="&amp;(A737-설정!$B$6)),1)))</f>
        <v/>
      </c>
      <c r="J737" s="18" t="str">
        <f aca="false">IF(H737="","",COUNTIFS($B$2:$B$1001,B737,$A$2:$A$1001,"&lt;"&amp;A737,$A$2:$A$1001,"&gt;="&amp;(A737-설정!$B$6),$H$2:$H$1001,"&gt;=0"))</f>
        <v/>
      </c>
      <c r="K737" s="21" t="str">
        <f aca="false">IF(I737="","",H737/I737-1)</f>
        <v/>
      </c>
      <c r="L737" s="19" t="str">
        <f aca="false">IF(H737="","",IF(J737&lt;설정!$B$7,"baseline 수집 중",IF(K737&lt;=-설정!$B$8,"저하","정상")))</f>
        <v/>
      </c>
      <c r="M737" s="20"/>
    </row>
    <row r="738" customFormat="false" ht="15" hidden="false" customHeight="false" outlineLevel="0" collapsed="false">
      <c r="A738" s="16"/>
      <c r="B738" s="17"/>
      <c r="C738" s="17"/>
      <c r="D738" s="17"/>
      <c r="E738" s="17"/>
      <c r="F738" s="17"/>
      <c r="G738" s="18" t="str">
        <f aca="false">IF(COUNT(D738:F738)=0,"",MAX(D738:F738))</f>
        <v/>
      </c>
      <c r="H738" s="18" t="str">
        <f aca="false">IF(COUNT(D738:F738)=0,"",ROUND(AVERAGE(D738:F738),1))</f>
        <v/>
      </c>
      <c r="I738" s="18" t="str">
        <f aca="false">IF(H738="","",IF(J738&lt;설정!$B$7,"",ROUND(AVERAGEIFS($H$2:$H$1001,$B$2:$B$1001,B738,$A$2:$A$1001,"&lt;"&amp;A738,$A$2:$A$1001,"&gt;="&amp;(A738-설정!$B$6)),1)))</f>
        <v/>
      </c>
      <c r="J738" s="18" t="str">
        <f aca="false">IF(H738="","",COUNTIFS($B$2:$B$1001,B738,$A$2:$A$1001,"&lt;"&amp;A738,$A$2:$A$1001,"&gt;="&amp;(A738-설정!$B$6),$H$2:$H$1001,"&gt;=0"))</f>
        <v/>
      </c>
      <c r="K738" s="21" t="str">
        <f aca="false">IF(I738="","",H738/I738-1)</f>
        <v/>
      </c>
      <c r="L738" s="19" t="str">
        <f aca="false">IF(H738="","",IF(J738&lt;설정!$B$7,"baseline 수집 중",IF(K738&lt;=-설정!$B$8,"저하","정상")))</f>
        <v/>
      </c>
      <c r="M738" s="20"/>
    </row>
    <row r="739" customFormat="false" ht="15" hidden="false" customHeight="false" outlineLevel="0" collapsed="false">
      <c r="A739" s="16"/>
      <c r="B739" s="17"/>
      <c r="C739" s="17"/>
      <c r="D739" s="17"/>
      <c r="E739" s="17"/>
      <c r="F739" s="17"/>
      <c r="G739" s="18" t="str">
        <f aca="false">IF(COUNT(D739:F739)=0,"",MAX(D739:F739))</f>
        <v/>
      </c>
      <c r="H739" s="18" t="str">
        <f aca="false">IF(COUNT(D739:F739)=0,"",ROUND(AVERAGE(D739:F739),1))</f>
        <v/>
      </c>
      <c r="I739" s="18" t="str">
        <f aca="false">IF(H739="","",IF(J739&lt;설정!$B$7,"",ROUND(AVERAGEIFS($H$2:$H$1001,$B$2:$B$1001,B739,$A$2:$A$1001,"&lt;"&amp;A739,$A$2:$A$1001,"&gt;="&amp;(A739-설정!$B$6)),1)))</f>
        <v/>
      </c>
      <c r="J739" s="18" t="str">
        <f aca="false">IF(H739="","",COUNTIFS($B$2:$B$1001,B739,$A$2:$A$1001,"&lt;"&amp;A739,$A$2:$A$1001,"&gt;="&amp;(A739-설정!$B$6),$H$2:$H$1001,"&gt;=0"))</f>
        <v/>
      </c>
      <c r="K739" s="21" t="str">
        <f aca="false">IF(I739="","",H739/I739-1)</f>
        <v/>
      </c>
      <c r="L739" s="19" t="str">
        <f aca="false">IF(H739="","",IF(J739&lt;설정!$B$7,"baseline 수집 중",IF(K739&lt;=-설정!$B$8,"저하","정상")))</f>
        <v/>
      </c>
      <c r="M739" s="20"/>
    </row>
    <row r="740" customFormat="false" ht="15" hidden="false" customHeight="false" outlineLevel="0" collapsed="false">
      <c r="A740" s="16"/>
      <c r="B740" s="17"/>
      <c r="C740" s="17"/>
      <c r="D740" s="17"/>
      <c r="E740" s="17"/>
      <c r="F740" s="17"/>
      <c r="G740" s="18" t="str">
        <f aca="false">IF(COUNT(D740:F740)=0,"",MAX(D740:F740))</f>
        <v/>
      </c>
      <c r="H740" s="18" t="str">
        <f aca="false">IF(COUNT(D740:F740)=0,"",ROUND(AVERAGE(D740:F740),1))</f>
        <v/>
      </c>
      <c r="I740" s="18" t="str">
        <f aca="false">IF(H740="","",IF(J740&lt;설정!$B$7,"",ROUND(AVERAGEIFS($H$2:$H$1001,$B$2:$B$1001,B740,$A$2:$A$1001,"&lt;"&amp;A740,$A$2:$A$1001,"&gt;="&amp;(A740-설정!$B$6)),1)))</f>
        <v/>
      </c>
      <c r="J740" s="18" t="str">
        <f aca="false">IF(H740="","",COUNTIFS($B$2:$B$1001,B740,$A$2:$A$1001,"&lt;"&amp;A740,$A$2:$A$1001,"&gt;="&amp;(A740-설정!$B$6),$H$2:$H$1001,"&gt;=0"))</f>
        <v/>
      </c>
      <c r="K740" s="21" t="str">
        <f aca="false">IF(I740="","",H740/I740-1)</f>
        <v/>
      </c>
      <c r="L740" s="19" t="str">
        <f aca="false">IF(H740="","",IF(J740&lt;설정!$B$7,"baseline 수집 중",IF(K740&lt;=-설정!$B$8,"저하","정상")))</f>
        <v/>
      </c>
      <c r="M740" s="20"/>
    </row>
    <row r="741" customFormat="false" ht="15" hidden="false" customHeight="false" outlineLevel="0" collapsed="false">
      <c r="A741" s="16"/>
      <c r="B741" s="17"/>
      <c r="C741" s="17"/>
      <c r="D741" s="17"/>
      <c r="E741" s="17"/>
      <c r="F741" s="17"/>
      <c r="G741" s="18" t="str">
        <f aca="false">IF(COUNT(D741:F741)=0,"",MAX(D741:F741))</f>
        <v/>
      </c>
      <c r="H741" s="18" t="str">
        <f aca="false">IF(COUNT(D741:F741)=0,"",ROUND(AVERAGE(D741:F741),1))</f>
        <v/>
      </c>
      <c r="I741" s="18" t="str">
        <f aca="false">IF(H741="","",IF(J741&lt;설정!$B$7,"",ROUND(AVERAGEIFS($H$2:$H$1001,$B$2:$B$1001,B741,$A$2:$A$1001,"&lt;"&amp;A741,$A$2:$A$1001,"&gt;="&amp;(A741-설정!$B$6)),1)))</f>
        <v/>
      </c>
      <c r="J741" s="18" t="str">
        <f aca="false">IF(H741="","",COUNTIFS($B$2:$B$1001,B741,$A$2:$A$1001,"&lt;"&amp;A741,$A$2:$A$1001,"&gt;="&amp;(A741-설정!$B$6),$H$2:$H$1001,"&gt;=0"))</f>
        <v/>
      </c>
      <c r="K741" s="21" t="str">
        <f aca="false">IF(I741="","",H741/I741-1)</f>
        <v/>
      </c>
      <c r="L741" s="19" t="str">
        <f aca="false">IF(H741="","",IF(J741&lt;설정!$B$7,"baseline 수집 중",IF(K741&lt;=-설정!$B$8,"저하","정상")))</f>
        <v/>
      </c>
      <c r="M741" s="20"/>
    </row>
    <row r="742" customFormat="false" ht="15" hidden="false" customHeight="false" outlineLevel="0" collapsed="false">
      <c r="A742" s="16"/>
      <c r="B742" s="17"/>
      <c r="C742" s="17"/>
      <c r="D742" s="17"/>
      <c r="E742" s="17"/>
      <c r="F742" s="17"/>
      <c r="G742" s="18" t="str">
        <f aca="false">IF(COUNT(D742:F742)=0,"",MAX(D742:F742))</f>
        <v/>
      </c>
      <c r="H742" s="18" t="str">
        <f aca="false">IF(COUNT(D742:F742)=0,"",ROUND(AVERAGE(D742:F742),1))</f>
        <v/>
      </c>
      <c r="I742" s="18" t="str">
        <f aca="false">IF(H742="","",IF(J742&lt;설정!$B$7,"",ROUND(AVERAGEIFS($H$2:$H$1001,$B$2:$B$1001,B742,$A$2:$A$1001,"&lt;"&amp;A742,$A$2:$A$1001,"&gt;="&amp;(A742-설정!$B$6)),1)))</f>
        <v/>
      </c>
      <c r="J742" s="18" t="str">
        <f aca="false">IF(H742="","",COUNTIFS($B$2:$B$1001,B742,$A$2:$A$1001,"&lt;"&amp;A742,$A$2:$A$1001,"&gt;="&amp;(A742-설정!$B$6),$H$2:$H$1001,"&gt;=0"))</f>
        <v/>
      </c>
      <c r="K742" s="21" t="str">
        <f aca="false">IF(I742="","",H742/I742-1)</f>
        <v/>
      </c>
      <c r="L742" s="19" t="str">
        <f aca="false">IF(H742="","",IF(J742&lt;설정!$B$7,"baseline 수집 중",IF(K742&lt;=-설정!$B$8,"저하","정상")))</f>
        <v/>
      </c>
      <c r="M742" s="20"/>
    </row>
    <row r="743" customFormat="false" ht="15" hidden="false" customHeight="false" outlineLevel="0" collapsed="false">
      <c r="A743" s="16"/>
      <c r="B743" s="17"/>
      <c r="C743" s="17"/>
      <c r="D743" s="17"/>
      <c r="E743" s="17"/>
      <c r="F743" s="17"/>
      <c r="G743" s="18" t="str">
        <f aca="false">IF(COUNT(D743:F743)=0,"",MAX(D743:F743))</f>
        <v/>
      </c>
      <c r="H743" s="18" t="str">
        <f aca="false">IF(COUNT(D743:F743)=0,"",ROUND(AVERAGE(D743:F743),1))</f>
        <v/>
      </c>
      <c r="I743" s="18" t="str">
        <f aca="false">IF(H743="","",IF(J743&lt;설정!$B$7,"",ROUND(AVERAGEIFS($H$2:$H$1001,$B$2:$B$1001,B743,$A$2:$A$1001,"&lt;"&amp;A743,$A$2:$A$1001,"&gt;="&amp;(A743-설정!$B$6)),1)))</f>
        <v/>
      </c>
      <c r="J743" s="18" t="str">
        <f aca="false">IF(H743="","",COUNTIFS($B$2:$B$1001,B743,$A$2:$A$1001,"&lt;"&amp;A743,$A$2:$A$1001,"&gt;="&amp;(A743-설정!$B$6),$H$2:$H$1001,"&gt;=0"))</f>
        <v/>
      </c>
      <c r="K743" s="21" t="str">
        <f aca="false">IF(I743="","",H743/I743-1)</f>
        <v/>
      </c>
      <c r="L743" s="19" t="str">
        <f aca="false">IF(H743="","",IF(J743&lt;설정!$B$7,"baseline 수집 중",IF(K743&lt;=-설정!$B$8,"저하","정상")))</f>
        <v/>
      </c>
      <c r="M743" s="20"/>
    </row>
    <row r="744" customFormat="false" ht="15" hidden="false" customHeight="false" outlineLevel="0" collapsed="false">
      <c r="A744" s="16"/>
      <c r="B744" s="17"/>
      <c r="C744" s="17"/>
      <c r="D744" s="17"/>
      <c r="E744" s="17"/>
      <c r="F744" s="17"/>
      <c r="G744" s="18" t="str">
        <f aca="false">IF(COUNT(D744:F744)=0,"",MAX(D744:F744))</f>
        <v/>
      </c>
      <c r="H744" s="18" t="str">
        <f aca="false">IF(COUNT(D744:F744)=0,"",ROUND(AVERAGE(D744:F744),1))</f>
        <v/>
      </c>
      <c r="I744" s="18" t="str">
        <f aca="false">IF(H744="","",IF(J744&lt;설정!$B$7,"",ROUND(AVERAGEIFS($H$2:$H$1001,$B$2:$B$1001,B744,$A$2:$A$1001,"&lt;"&amp;A744,$A$2:$A$1001,"&gt;="&amp;(A744-설정!$B$6)),1)))</f>
        <v/>
      </c>
      <c r="J744" s="18" t="str">
        <f aca="false">IF(H744="","",COUNTIFS($B$2:$B$1001,B744,$A$2:$A$1001,"&lt;"&amp;A744,$A$2:$A$1001,"&gt;="&amp;(A744-설정!$B$6),$H$2:$H$1001,"&gt;=0"))</f>
        <v/>
      </c>
      <c r="K744" s="21" t="str">
        <f aca="false">IF(I744="","",H744/I744-1)</f>
        <v/>
      </c>
      <c r="L744" s="19" t="str">
        <f aca="false">IF(H744="","",IF(J744&lt;설정!$B$7,"baseline 수집 중",IF(K744&lt;=-설정!$B$8,"저하","정상")))</f>
        <v/>
      </c>
      <c r="M744" s="20"/>
    </row>
    <row r="745" customFormat="false" ht="15" hidden="false" customHeight="false" outlineLevel="0" collapsed="false">
      <c r="A745" s="16"/>
      <c r="B745" s="17"/>
      <c r="C745" s="17"/>
      <c r="D745" s="17"/>
      <c r="E745" s="17"/>
      <c r="F745" s="17"/>
      <c r="G745" s="18" t="str">
        <f aca="false">IF(COUNT(D745:F745)=0,"",MAX(D745:F745))</f>
        <v/>
      </c>
      <c r="H745" s="18" t="str">
        <f aca="false">IF(COUNT(D745:F745)=0,"",ROUND(AVERAGE(D745:F745),1))</f>
        <v/>
      </c>
      <c r="I745" s="18" t="str">
        <f aca="false">IF(H745="","",IF(J745&lt;설정!$B$7,"",ROUND(AVERAGEIFS($H$2:$H$1001,$B$2:$B$1001,B745,$A$2:$A$1001,"&lt;"&amp;A745,$A$2:$A$1001,"&gt;="&amp;(A745-설정!$B$6)),1)))</f>
        <v/>
      </c>
      <c r="J745" s="18" t="str">
        <f aca="false">IF(H745="","",COUNTIFS($B$2:$B$1001,B745,$A$2:$A$1001,"&lt;"&amp;A745,$A$2:$A$1001,"&gt;="&amp;(A745-설정!$B$6),$H$2:$H$1001,"&gt;=0"))</f>
        <v/>
      </c>
      <c r="K745" s="21" t="str">
        <f aca="false">IF(I745="","",H745/I745-1)</f>
        <v/>
      </c>
      <c r="L745" s="19" t="str">
        <f aca="false">IF(H745="","",IF(J745&lt;설정!$B$7,"baseline 수집 중",IF(K745&lt;=-설정!$B$8,"저하","정상")))</f>
        <v/>
      </c>
      <c r="M745" s="20"/>
    </row>
    <row r="746" customFormat="false" ht="15" hidden="false" customHeight="false" outlineLevel="0" collapsed="false">
      <c r="A746" s="16"/>
      <c r="B746" s="17"/>
      <c r="C746" s="17"/>
      <c r="D746" s="17"/>
      <c r="E746" s="17"/>
      <c r="F746" s="17"/>
      <c r="G746" s="18" t="str">
        <f aca="false">IF(COUNT(D746:F746)=0,"",MAX(D746:F746))</f>
        <v/>
      </c>
      <c r="H746" s="18" t="str">
        <f aca="false">IF(COUNT(D746:F746)=0,"",ROUND(AVERAGE(D746:F746),1))</f>
        <v/>
      </c>
      <c r="I746" s="18" t="str">
        <f aca="false">IF(H746="","",IF(J746&lt;설정!$B$7,"",ROUND(AVERAGEIFS($H$2:$H$1001,$B$2:$B$1001,B746,$A$2:$A$1001,"&lt;"&amp;A746,$A$2:$A$1001,"&gt;="&amp;(A746-설정!$B$6)),1)))</f>
        <v/>
      </c>
      <c r="J746" s="18" t="str">
        <f aca="false">IF(H746="","",COUNTIFS($B$2:$B$1001,B746,$A$2:$A$1001,"&lt;"&amp;A746,$A$2:$A$1001,"&gt;="&amp;(A746-설정!$B$6),$H$2:$H$1001,"&gt;=0"))</f>
        <v/>
      </c>
      <c r="K746" s="21" t="str">
        <f aca="false">IF(I746="","",H746/I746-1)</f>
        <v/>
      </c>
      <c r="L746" s="19" t="str">
        <f aca="false">IF(H746="","",IF(J746&lt;설정!$B$7,"baseline 수집 중",IF(K746&lt;=-설정!$B$8,"저하","정상")))</f>
        <v/>
      </c>
      <c r="M746" s="20"/>
    </row>
    <row r="747" customFormat="false" ht="15" hidden="false" customHeight="false" outlineLevel="0" collapsed="false">
      <c r="A747" s="16"/>
      <c r="B747" s="17"/>
      <c r="C747" s="17"/>
      <c r="D747" s="17"/>
      <c r="E747" s="17"/>
      <c r="F747" s="17"/>
      <c r="G747" s="18" t="str">
        <f aca="false">IF(COUNT(D747:F747)=0,"",MAX(D747:F747))</f>
        <v/>
      </c>
      <c r="H747" s="18" t="str">
        <f aca="false">IF(COUNT(D747:F747)=0,"",ROUND(AVERAGE(D747:F747),1))</f>
        <v/>
      </c>
      <c r="I747" s="18" t="str">
        <f aca="false">IF(H747="","",IF(J747&lt;설정!$B$7,"",ROUND(AVERAGEIFS($H$2:$H$1001,$B$2:$B$1001,B747,$A$2:$A$1001,"&lt;"&amp;A747,$A$2:$A$1001,"&gt;="&amp;(A747-설정!$B$6)),1)))</f>
        <v/>
      </c>
      <c r="J747" s="18" t="str">
        <f aca="false">IF(H747="","",COUNTIFS($B$2:$B$1001,B747,$A$2:$A$1001,"&lt;"&amp;A747,$A$2:$A$1001,"&gt;="&amp;(A747-설정!$B$6),$H$2:$H$1001,"&gt;=0"))</f>
        <v/>
      </c>
      <c r="K747" s="21" t="str">
        <f aca="false">IF(I747="","",H747/I747-1)</f>
        <v/>
      </c>
      <c r="L747" s="19" t="str">
        <f aca="false">IF(H747="","",IF(J747&lt;설정!$B$7,"baseline 수집 중",IF(K747&lt;=-설정!$B$8,"저하","정상")))</f>
        <v/>
      </c>
      <c r="M747" s="20"/>
    </row>
    <row r="748" customFormat="false" ht="15" hidden="false" customHeight="false" outlineLevel="0" collapsed="false">
      <c r="A748" s="16"/>
      <c r="B748" s="17"/>
      <c r="C748" s="17"/>
      <c r="D748" s="17"/>
      <c r="E748" s="17"/>
      <c r="F748" s="17"/>
      <c r="G748" s="18" t="str">
        <f aca="false">IF(COUNT(D748:F748)=0,"",MAX(D748:F748))</f>
        <v/>
      </c>
      <c r="H748" s="18" t="str">
        <f aca="false">IF(COUNT(D748:F748)=0,"",ROUND(AVERAGE(D748:F748),1))</f>
        <v/>
      </c>
      <c r="I748" s="18" t="str">
        <f aca="false">IF(H748="","",IF(J748&lt;설정!$B$7,"",ROUND(AVERAGEIFS($H$2:$H$1001,$B$2:$B$1001,B748,$A$2:$A$1001,"&lt;"&amp;A748,$A$2:$A$1001,"&gt;="&amp;(A748-설정!$B$6)),1)))</f>
        <v/>
      </c>
      <c r="J748" s="18" t="str">
        <f aca="false">IF(H748="","",COUNTIFS($B$2:$B$1001,B748,$A$2:$A$1001,"&lt;"&amp;A748,$A$2:$A$1001,"&gt;="&amp;(A748-설정!$B$6),$H$2:$H$1001,"&gt;=0"))</f>
        <v/>
      </c>
      <c r="K748" s="21" t="str">
        <f aca="false">IF(I748="","",H748/I748-1)</f>
        <v/>
      </c>
      <c r="L748" s="19" t="str">
        <f aca="false">IF(H748="","",IF(J748&lt;설정!$B$7,"baseline 수집 중",IF(K748&lt;=-설정!$B$8,"저하","정상")))</f>
        <v/>
      </c>
      <c r="M748" s="20"/>
    </row>
    <row r="749" customFormat="false" ht="15" hidden="false" customHeight="false" outlineLevel="0" collapsed="false">
      <c r="A749" s="16"/>
      <c r="B749" s="17"/>
      <c r="C749" s="17"/>
      <c r="D749" s="17"/>
      <c r="E749" s="17"/>
      <c r="F749" s="17"/>
      <c r="G749" s="18" t="str">
        <f aca="false">IF(COUNT(D749:F749)=0,"",MAX(D749:F749))</f>
        <v/>
      </c>
      <c r="H749" s="18" t="str">
        <f aca="false">IF(COUNT(D749:F749)=0,"",ROUND(AVERAGE(D749:F749),1))</f>
        <v/>
      </c>
      <c r="I749" s="18" t="str">
        <f aca="false">IF(H749="","",IF(J749&lt;설정!$B$7,"",ROUND(AVERAGEIFS($H$2:$H$1001,$B$2:$B$1001,B749,$A$2:$A$1001,"&lt;"&amp;A749,$A$2:$A$1001,"&gt;="&amp;(A749-설정!$B$6)),1)))</f>
        <v/>
      </c>
      <c r="J749" s="18" t="str">
        <f aca="false">IF(H749="","",COUNTIFS($B$2:$B$1001,B749,$A$2:$A$1001,"&lt;"&amp;A749,$A$2:$A$1001,"&gt;="&amp;(A749-설정!$B$6),$H$2:$H$1001,"&gt;=0"))</f>
        <v/>
      </c>
      <c r="K749" s="21" t="str">
        <f aca="false">IF(I749="","",H749/I749-1)</f>
        <v/>
      </c>
      <c r="L749" s="19" t="str">
        <f aca="false">IF(H749="","",IF(J749&lt;설정!$B$7,"baseline 수집 중",IF(K749&lt;=-설정!$B$8,"저하","정상")))</f>
        <v/>
      </c>
      <c r="M749" s="20"/>
    </row>
    <row r="750" customFormat="false" ht="15" hidden="false" customHeight="false" outlineLevel="0" collapsed="false">
      <c r="A750" s="16"/>
      <c r="B750" s="17"/>
      <c r="C750" s="17"/>
      <c r="D750" s="17"/>
      <c r="E750" s="17"/>
      <c r="F750" s="17"/>
      <c r="G750" s="18" t="str">
        <f aca="false">IF(COUNT(D750:F750)=0,"",MAX(D750:F750))</f>
        <v/>
      </c>
      <c r="H750" s="18" t="str">
        <f aca="false">IF(COUNT(D750:F750)=0,"",ROUND(AVERAGE(D750:F750),1))</f>
        <v/>
      </c>
      <c r="I750" s="18" t="str">
        <f aca="false">IF(H750="","",IF(J750&lt;설정!$B$7,"",ROUND(AVERAGEIFS($H$2:$H$1001,$B$2:$B$1001,B750,$A$2:$A$1001,"&lt;"&amp;A750,$A$2:$A$1001,"&gt;="&amp;(A750-설정!$B$6)),1)))</f>
        <v/>
      </c>
      <c r="J750" s="18" t="str">
        <f aca="false">IF(H750="","",COUNTIFS($B$2:$B$1001,B750,$A$2:$A$1001,"&lt;"&amp;A750,$A$2:$A$1001,"&gt;="&amp;(A750-설정!$B$6),$H$2:$H$1001,"&gt;=0"))</f>
        <v/>
      </c>
      <c r="K750" s="21" t="str">
        <f aca="false">IF(I750="","",H750/I750-1)</f>
        <v/>
      </c>
      <c r="L750" s="19" t="str">
        <f aca="false">IF(H750="","",IF(J750&lt;설정!$B$7,"baseline 수집 중",IF(K750&lt;=-설정!$B$8,"저하","정상")))</f>
        <v/>
      </c>
      <c r="M750" s="20"/>
    </row>
    <row r="751" customFormat="false" ht="15" hidden="false" customHeight="false" outlineLevel="0" collapsed="false">
      <c r="A751" s="16"/>
      <c r="B751" s="17"/>
      <c r="C751" s="17"/>
      <c r="D751" s="17"/>
      <c r="E751" s="17"/>
      <c r="F751" s="17"/>
      <c r="G751" s="18" t="str">
        <f aca="false">IF(COUNT(D751:F751)=0,"",MAX(D751:F751))</f>
        <v/>
      </c>
      <c r="H751" s="18" t="str">
        <f aca="false">IF(COUNT(D751:F751)=0,"",ROUND(AVERAGE(D751:F751),1))</f>
        <v/>
      </c>
      <c r="I751" s="18" t="str">
        <f aca="false">IF(H751="","",IF(J751&lt;설정!$B$7,"",ROUND(AVERAGEIFS($H$2:$H$1001,$B$2:$B$1001,B751,$A$2:$A$1001,"&lt;"&amp;A751,$A$2:$A$1001,"&gt;="&amp;(A751-설정!$B$6)),1)))</f>
        <v/>
      </c>
      <c r="J751" s="18" t="str">
        <f aca="false">IF(H751="","",COUNTIFS($B$2:$B$1001,B751,$A$2:$A$1001,"&lt;"&amp;A751,$A$2:$A$1001,"&gt;="&amp;(A751-설정!$B$6),$H$2:$H$1001,"&gt;=0"))</f>
        <v/>
      </c>
      <c r="K751" s="21" t="str">
        <f aca="false">IF(I751="","",H751/I751-1)</f>
        <v/>
      </c>
      <c r="L751" s="19" t="str">
        <f aca="false">IF(H751="","",IF(J751&lt;설정!$B$7,"baseline 수집 중",IF(K751&lt;=-설정!$B$8,"저하","정상")))</f>
        <v/>
      </c>
      <c r="M751" s="20"/>
    </row>
    <row r="752" customFormat="false" ht="15" hidden="false" customHeight="false" outlineLevel="0" collapsed="false">
      <c r="A752" s="16"/>
      <c r="B752" s="17"/>
      <c r="C752" s="17"/>
      <c r="D752" s="17"/>
      <c r="E752" s="17"/>
      <c r="F752" s="17"/>
      <c r="G752" s="18" t="str">
        <f aca="false">IF(COUNT(D752:F752)=0,"",MAX(D752:F752))</f>
        <v/>
      </c>
      <c r="H752" s="18" t="str">
        <f aca="false">IF(COUNT(D752:F752)=0,"",ROUND(AVERAGE(D752:F752),1))</f>
        <v/>
      </c>
      <c r="I752" s="18" t="str">
        <f aca="false">IF(H752="","",IF(J752&lt;설정!$B$7,"",ROUND(AVERAGEIFS($H$2:$H$1001,$B$2:$B$1001,B752,$A$2:$A$1001,"&lt;"&amp;A752,$A$2:$A$1001,"&gt;="&amp;(A752-설정!$B$6)),1)))</f>
        <v/>
      </c>
      <c r="J752" s="18" t="str">
        <f aca="false">IF(H752="","",COUNTIFS($B$2:$B$1001,B752,$A$2:$A$1001,"&lt;"&amp;A752,$A$2:$A$1001,"&gt;="&amp;(A752-설정!$B$6),$H$2:$H$1001,"&gt;=0"))</f>
        <v/>
      </c>
      <c r="K752" s="21" t="str">
        <f aca="false">IF(I752="","",H752/I752-1)</f>
        <v/>
      </c>
      <c r="L752" s="19" t="str">
        <f aca="false">IF(H752="","",IF(J752&lt;설정!$B$7,"baseline 수집 중",IF(K752&lt;=-설정!$B$8,"저하","정상")))</f>
        <v/>
      </c>
      <c r="M752" s="20"/>
    </row>
    <row r="753" customFormat="false" ht="15" hidden="false" customHeight="false" outlineLevel="0" collapsed="false">
      <c r="A753" s="16"/>
      <c r="B753" s="17"/>
      <c r="C753" s="17"/>
      <c r="D753" s="17"/>
      <c r="E753" s="17"/>
      <c r="F753" s="17"/>
      <c r="G753" s="18" t="str">
        <f aca="false">IF(COUNT(D753:F753)=0,"",MAX(D753:F753))</f>
        <v/>
      </c>
      <c r="H753" s="18" t="str">
        <f aca="false">IF(COUNT(D753:F753)=0,"",ROUND(AVERAGE(D753:F753),1))</f>
        <v/>
      </c>
      <c r="I753" s="18" t="str">
        <f aca="false">IF(H753="","",IF(J753&lt;설정!$B$7,"",ROUND(AVERAGEIFS($H$2:$H$1001,$B$2:$B$1001,B753,$A$2:$A$1001,"&lt;"&amp;A753,$A$2:$A$1001,"&gt;="&amp;(A753-설정!$B$6)),1)))</f>
        <v/>
      </c>
      <c r="J753" s="18" t="str">
        <f aca="false">IF(H753="","",COUNTIFS($B$2:$B$1001,B753,$A$2:$A$1001,"&lt;"&amp;A753,$A$2:$A$1001,"&gt;="&amp;(A753-설정!$B$6),$H$2:$H$1001,"&gt;=0"))</f>
        <v/>
      </c>
      <c r="K753" s="21" t="str">
        <f aca="false">IF(I753="","",H753/I753-1)</f>
        <v/>
      </c>
      <c r="L753" s="19" t="str">
        <f aca="false">IF(H753="","",IF(J753&lt;설정!$B$7,"baseline 수집 중",IF(K753&lt;=-설정!$B$8,"저하","정상")))</f>
        <v/>
      </c>
      <c r="M753" s="20"/>
    </row>
    <row r="754" customFormat="false" ht="15" hidden="false" customHeight="false" outlineLevel="0" collapsed="false">
      <c r="A754" s="16"/>
      <c r="B754" s="17"/>
      <c r="C754" s="17"/>
      <c r="D754" s="17"/>
      <c r="E754" s="17"/>
      <c r="F754" s="17"/>
      <c r="G754" s="18" t="str">
        <f aca="false">IF(COUNT(D754:F754)=0,"",MAX(D754:F754))</f>
        <v/>
      </c>
      <c r="H754" s="18" t="str">
        <f aca="false">IF(COUNT(D754:F754)=0,"",ROUND(AVERAGE(D754:F754),1))</f>
        <v/>
      </c>
      <c r="I754" s="18" t="str">
        <f aca="false">IF(H754="","",IF(J754&lt;설정!$B$7,"",ROUND(AVERAGEIFS($H$2:$H$1001,$B$2:$B$1001,B754,$A$2:$A$1001,"&lt;"&amp;A754,$A$2:$A$1001,"&gt;="&amp;(A754-설정!$B$6)),1)))</f>
        <v/>
      </c>
      <c r="J754" s="18" t="str">
        <f aca="false">IF(H754="","",COUNTIFS($B$2:$B$1001,B754,$A$2:$A$1001,"&lt;"&amp;A754,$A$2:$A$1001,"&gt;="&amp;(A754-설정!$B$6),$H$2:$H$1001,"&gt;=0"))</f>
        <v/>
      </c>
      <c r="K754" s="21" t="str">
        <f aca="false">IF(I754="","",H754/I754-1)</f>
        <v/>
      </c>
      <c r="L754" s="19" t="str">
        <f aca="false">IF(H754="","",IF(J754&lt;설정!$B$7,"baseline 수집 중",IF(K754&lt;=-설정!$B$8,"저하","정상")))</f>
        <v/>
      </c>
      <c r="M754" s="20"/>
    </row>
    <row r="755" customFormat="false" ht="15" hidden="false" customHeight="false" outlineLevel="0" collapsed="false">
      <c r="A755" s="16"/>
      <c r="B755" s="17"/>
      <c r="C755" s="17"/>
      <c r="D755" s="17"/>
      <c r="E755" s="17"/>
      <c r="F755" s="17"/>
      <c r="G755" s="18" t="str">
        <f aca="false">IF(COUNT(D755:F755)=0,"",MAX(D755:F755))</f>
        <v/>
      </c>
      <c r="H755" s="18" t="str">
        <f aca="false">IF(COUNT(D755:F755)=0,"",ROUND(AVERAGE(D755:F755),1))</f>
        <v/>
      </c>
      <c r="I755" s="18" t="str">
        <f aca="false">IF(H755="","",IF(J755&lt;설정!$B$7,"",ROUND(AVERAGEIFS($H$2:$H$1001,$B$2:$B$1001,B755,$A$2:$A$1001,"&lt;"&amp;A755,$A$2:$A$1001,"&gt;="&amp;(A755-설정!$B$6)),1)))</f>
        <v/>
      </c>
      <c r="J755" s="18" t="str">
        <f aca="false">IF(H755="","",COUNTIFS($B$2:$B$1001,B755,$A$2:$A$1001,"&lt;"&amp;A755,$A$2:$A$1001,"&gt;="&amp;(A755-설정!$B$6),$H$2:$H$1001,"&gt;=0"))</f>
        <v/>
      </c>
      <c r="K755" s="21" t="str">
        <f aca="false">IF(I755="","",H755/I755-1)</f>
        <v/>
      </c>
      <c r="L755" s="19" t="str">
        <f aca="false">IF(H755="","",IF(J755&lt;설정!$B$7,"baseline 수집 중",IF(K755&lt;=-설정!$B$8,"저하","정상")))</f>
        <v/>
      </c>
      <c r="M755" s="20"/>
    </row>
    <row r="756" customFormat="false" ht="15" hidden="false" customHeight="false" outlineLevel="0" collapsed="false">
      <c r="A756" s="16"/>
      <c r="B756" s="17"/>
      <c r="C756" s="17"/>
      <c r="D756" s="17"/>
      <c r="E756" s="17"/>
      <c r="F756" s="17"/>
      <c r="G756" s="18" t="str">
        <f aca="false">IF(COUNT(D756:F756)=0,"",MAX(D756:F756))</f>
        <v/>
      </c>
      <c r="H756" s="18" t="str">
        <f aca="false">IF(COUNT(D756:F756)=0,"",ROUND(AVERAGE(D756:F756),1))</f>
        <v/>
      </c>
      <c r="I756" s="18" t="str">
        <f aca="false">IF(H756="","",IF(J756&lt;설정!$B$7,"",ROUND(AVERAGEIFS($H$2:$H$1001,$B$2:$B$1001,B756,$A$2:$A$1001,"&lt;"&amp;A756,$A$2:$A$1001,"&gt;="&amp;(A756-설정!$B$6)),1)))</f>
        <v/>
      </c>
      <c r="J756" s="18" t="str">
        <f aca="false">IF(H756="","",COUNTIFS($B$2:$B$1001,B756,$A$2:$A$1001,"&lt;"&amp;A756,$A$2:$A$1001,"&gt;="&amp;(A756-설정!$B$6),$H$2:$H$1001,"&gt;=0"))</f>
        <v/>
      </c>
      <c r="K756" s="21" t="str">
        <f aca="false">IF(I756="","",H756/I756-1)</f>
        <v/>
      </c>
      <c r="L756" s="19" t="str">
        <f aca="false">IF(H756="","",IF(J756&lt;설정!$B$7,"baseline 수집 중",IF(K756&lt;=-설정!$B$8,"저하","정상")))</f>
        <v/>
      </c>
      <c r="M756" s="20"/>
    </row>
    <row r="757" customFormat="false" ht="15" hidden="false" customHeight="false" outlineLevel="0" collapsed="false">
      <c r="A757" s="16"/>
      <c r="B757" s="17"/>
      <c r="C757" s="17"/>
      <c r="D757" s="17"/>
      <c r="E757" s="17"/>
      <c r="F757" s="17"/>
      <c r="G757" s="18" t="str">
        <f aca="false">IF(COUNT(D757:F757)=0,"",MAX(D757:F757))</f>
        <v/>
      </c>
      <c r="H757" s="18" t="str">
        <f aca="false">IF(COUNT(D757:F757)=0,"",ROUND(AVERAGE(D757:F757),1))</f>
        <v/>
      </c>
      <c r="I757" s="18" t="str">
        <f aca="false">IF(H757="","",IF(J757&lt;설정!$B$7,"",ROUND(AVERAGEIFS($H$2:$H$1001,$B$2:$B$1001,B757,$A$2:$A$1001,"&lt;"&amp;A757,$A$2:$A$1001,"&gt;="&amp;(A757-설정!$B$6)),1)))</f>
        <v/>
      </c>
      <c r="J757" s="18" t="str">
        <f aca="false">IF(H757="","",COUNTIFS($B$2:$B$1001,B757,$A$2:$A$1001,"&lt;"&amp;A757,$A$2:$A$1001,"&gt;="&amp;(A757-설정!$B$6),$H$2:$H$1001,"&gt;=0"))</f>
        <v/>
      </c>
      <c r="K757" s="21" t="str">
        <f aca="false">IF(I757="","",H757/I757-1)</f>
        <v/>
      </c>
      <c r="L757" s="19" t="str">
        <f aca="false">IF(H757="","",IF(J757&lt;설정!$B$7,"baseline 수집 중",IF(K757&lt;=-설정!$B$8,"저하","정상")))</f>
        <v/>
      </c>
      <c r="M757" s="20"/>
    </row>
    <row r="758" customFormat="false" ht="15" hidden="false" customHeight="false" outlineLevel="0" collapsed="false">
      <c r="A758" s="16"/>
      <c r="B758" s="17"/>
      <c r="C758" s="17"/>
      <c r="D758" s="17"/>
      <c r="E758" s="17"/>
      <c r="F758" s="17"/>
      <c r="G758" s="18" t="str">
        <f aca="false">IF(COUNT(D758:F758)=0,"",MAX(D758:F758))</f>
        <v/>
      </c>
      <c r="H758" s="18" t="str">
        <f aca="false">IF(COUNT(D758:F758)=0,"",ROUND(AVERAGE(D758:F758),1))</f>
        <v/>
      </c>
      <c r="I758" s="18" t="str">
        <f aca="false">IF(H758="","",IF(J758&lt;설정!$B$7,"",ROUND(AVERAGEIFS($H$2:$H$1001,$B$2:$B$1001,B758,$A$2:$A$1001,"&lt;"&amp;A758,$A$2:$A$1001,"&gt;="&amp;(A758-설정!$B$6)),1)))</f>
        <v/>
      </c>
      <c r="J758" s="18" t="str">
        <f aca="false">IF(H758="","",COUNTIFS($B$2:$B$1001,B758,$A$2:$A$1001,"&lt;"&amp;A758,$A$2:$A$1001,"&gt;="&amp;(A758-설정!$B$6),$H$2:$H$1001,"&gt;=0"))</f>
        <v/>
      </c>
      <c r="K758" s="21" t="str">
        <f aca="false">IF(I758="","",H758/I758-1)</f>
        <v/>
      </c>
      <c r="L758" s="19" t="str">
        <f aca="false">IF(H758="","",IF(J758&lt;설정!$B$7,"baseline 수집 중",IF(K758&lt;=-설정!$B$8,"저하","정상")))</f>
        <v/>
      </c>
      <c r="M758" s="20"/>
    </row>
    <row r="759" customFormat="false" ht="15" hidden="false" customHeight="false" outlineLevel="0" collapsed="false">
      <c r="A759" s="16"/>
      <c r="B759" s="17"/>
      <c r="C759" s="17"/>
      <c r="D759" s="17"/>
      <c r="E759" s="17"/>
      <c r="F759" s="17"/>
      <c r="G759" s="18" t="str">
        <f aca="false">IF(COUNT(D759:F759)=0,"",MAX(D759:F759))</f>
        <v/>
      </c>
      <c r="H759" s="18" t="str">
        <f aca="false">IF(COUNT(D759:F759)=0,"",ROUND(AVERAGE(D759:F759),1))</f>
        <v/>
      </c>
      <c r="I759" s="18" t="str">
        <f aca="false">IF(H759="","",IF(J759&lt;설정!$B$7,"",ROUND(AVERAGEIFS($H$2:$H$1001,$B$2:$B$1001,B759,$A$2:$A$1001,"&lt;"&amp;A759,$A$2:$A$1001,"&gt;="&amp;(A759-설정!$B$6)),1)))</f>
        <v/>
      </c>
      <c r="J759" s="18" t="str">
        <f aca="false">IF(H759="","",COUNTIFS($B$2:$B$1001,B759,$A$2:$A$1001,"&lt;"&amp;A759,$A$2:$A$1001,"&gt;="&amp;(A759-설정!$B$6),$H$2:$H$1001,"&gt;=0"))</f>
        <v/>
      </c>
      <c r="K759" s="21" t="str">
        <f aca="false">IF(I759="","",H759/I759-1)</f>
        <v/>
      </c>
      <c r="L759" s="19" t="str">
        <f aca="false">IF(H759="","",IF(J759&lt;설정!$B$7,"baseline 수집 중",IF(K759&lt;=-설정!$B$8,"저하","정상")))</f>
        <v/>
      </c>
      <c r="M759" s="20"/>
    </row>
    <row r="760" customFormat="false" ht="15" hidden="false" customHeight="false" outlineLevel="0" collapsed="false">
      <c r="A760" s="16"/>
      <c r="B760" s="17"/>
      <c r="C760" s="17"/>
      <c r="D760" s="17"/>
      <c r="E760" s="17"/>
      <c r="F760" s="17"/>
      <c r="G760" s="18" t="str">
        <f aca="false">IF(COUNT(D760:F760)=0,"",MAX(D760:F760))</f>
        <v/>
      </c>
      <c r="H760" s="18" t="str">
        <f aca="false">IF(COUNT(D760:F760)=0,"",ROUND(AVERAGE(D760:F760),1))</f>
        <v/>
      </c>
      <c r="I760" s="18" t="str">
        <f aca="false">IF(H760="","",IF(J760&lt;설정!$B$7,"",ROUND(AVERAGEIFS($H$2:$H$1001,$B$2:$B$1001,B760,$A$2:$A$1001,"&lt;"&amp;A760,$A$2:$A$1001,"&gt;="&amp;(A760-설정!$B$6)),1)))</f>
        <v/>
      </c>
      <c r="J760" s="18" t="str">
        <f aca="false">IF(H760="","",COUNTIFS($B$2:$B$1001,B760,$A$2:$A$1001,"&lt;"&amp;A760,$A$2:$A$1001,"&gt;="&amp;(A760-설정!$B$6),$H$2:$H$1001,"&gt;=0"))</f>
        <v/>
      </c>
      <c r="K760" s="21" t="str">
        <f aca="false">IF(I760="","",H760/I760-1)</f>
        <v/>
      </c>
      <c r="L760" s="19" t="str">
        <f aca="false">IF(H760="","",IF(J760&lt;설정!$B$7,"baseline 수집 중",IF(K760&lt;=-설정!$B$8,"저하","정상")))</f>
        <v/>
      </c>
      <c r="M760" s="20"/>
    </row>
    <row r="761" customFormat="false" ht="15" hidden="false" customHeight="false" outlineLevel="0" collapsed="false">
      <c r="A761" s="16"/>
      <c r="B761" s="17"/>
      <c r="C761" s="17"/>
      <c r="D761" s="17"/>
      <c r="E761" s="17"/>
      <c r="F761" s="17"/>
      <c r="G761" s="18" t="str">
        <f aca="false">IF(COUNT(D761:F761)=0,"",MAX(D761:F761))</f>
        <v/>
      </c>
      <c r="H761" s="18" t="str">
        <f aca="false">IF(COUNT(D761:F761)=0,"",ROUND(AVERAGE(D761:F761),1))</f>
        <v/>
      </c>
      <c r="I761" s="18" t="str">
        <f aca="false">IF(H761="","",IF(J761&lt;설정!$B$7,"",ROUND(AVERAGEIFS($H$2:$H$1001,$B$2:$B$1001,B761,$A$2:$A$1001,"&lt;"&amp;A761,$A$2:$A$1001,"&gt;="&amp;(A761-설정!$B$6)),1)))</f>
        <v/>
      </c>
      <c r="J761" s="18" t="str">
        <f aca="false">IF(H761="","",COUNTIFS($B$2:$B$1001,B761,$A$2:$A$1001,"&lt;"&amp;A761,$A$2:$A$1001,"&gt;="&amp;(A761-설정!$B$6),$H$2:$H$1001,"&gt;=0"))</f>
        <v/>
      </c>
      <c r="K761" s="21" t="str">
        <f aca="false">IF(I761="","",H761/I761-1)</f>
        <v/>
      </c>
      <c r="L761" s="19" t="str">
        <f aca="false">IF(H761="","",IF(J761&lt;설정!$B$7,"baseline 수집 중",IF(K761&lt;=-설정!$B$8,"저하","정상")))</f>
        <v/>
      </c>
      <c r="M761" s="20"/>
    </row>
    <row r="762" customFormat="false" ht="15" hidden="false" customHeight="false" outlineLevel="0" collapsed="false">
      <c r="A762" s="16"/>
      <c r="B762" s="17"/>
      <c r="C762" s="17"/>
      <c r="D762" s="17"/>
      <c r="E762" s="17"/>
      <c r="F762" s="17"/>
      <c r="G762" s="18" t="str">
        <f aca="false">IF(COUNT(D762:F762)=0,"",MAX(D762:F762))</f>
        <v/>
      </c>
      <c r="H762" s="18" t="str">
        <f aca="false">IF(COUNT(D762:F762)=0,"",ROUND(AVERAGE(D762:F762),1))</f>
        <v/>
      </c>
      <c r="I762" s="18" t="str">
        <f aca="false">IF(H762="","",IF(J762&lt;설정!$B$7,"",ROUND(AVERAGEIFS($H$2:$H$1001,$B$2:$B$1001,B762,$A$2:$A$1001,"&lt;"&amp;A762,$A$2:$A$1001,"&gt;="&amp;(A762-설정!$B$6)),1)))</f>
        <v/>
      </c>
      <c r="J762" s="18" t="str">
        <f aca="false">IF(H762="","",COUNTIFS($B$2:$B$1001,B762,$A$2:$A$1001,"&lt;"&amp;A762,$A$2:$A$1001,"&gt;="&amp;(A762-설정!$B$6),$H$2:$H$1001,"&gt;=0"))</f>
        <v/>
      </c>
      <c r="K762" s="21" t="str">
        <f aca="false">IF(I762="","",H762/I762-1)</f>
        <v/>
      </c>
      <c r="L762" s="19" t="str">
        <f aca="false">IF(H762="","",IF(J762&lt;설정!$B$7,"baseline 수집 중",IF(K762&lt;=-설정!$B$8,"저하","정상")))</f>
        <v/>
      </c>
      <c r="M762" s="20"/>
    </row>
    <row r="763" customFormat="false" ht="15" hidden="false" customHeight="false" outlineLevel="0" collapsed="false">
      <c r="A763" s="16"/>
      <c r="B763" s="17"/>
      <c r="C763" s="17"/>
      <c r="D763" s="17"/>
      <c r="E763" s="17"/>
      <c r="F763" s="17"/>
      <c r="G763" s="18" t="str">
        <f aca="false">IF(COUNT(D763:F763)=0,"",MAX(D763:F763))</f>
        <v/>
      </c>
      <c r="H763" s="18" t="str">
        <f aca="false">IF(COUNT(D763:F763)=0,"",ROUND(AVERAGE(D763:F763),1))</f>
        <v/>
      </c>
      <c r="I763" s="18" t="str">
        <f aca="false">IF(H763="","",IF(J763&lt;설정!$B$7,"",ROUND(AVERAGEIFS($H$2:$H$1001,$B$2:$B$1001,B763,$A$2:$A$1001,"&lt;"&amp;A763,$A$2:$A$1001,"&gt;="&amp;(A763-설정!$B$6)),1)))</f>
        <v/>
      </c>
      <c r="J763" s="18" t="str">
        <f aca="false">IF(H763="","",COUNTIFS($B$2:$B$1001,B763,$A$2:$A$1001,"&lt;"&amp;A763,$A$2:$A$1001,"&gt;="&amp;(A763-설정!$B$6),$H$2:$H$1001,"&gt;=0"))</f>
        <v/>
      </c>
      <c r="K763" s="21" t="str">
        <f aca="false">IF(I763="","",H763/I763-1)</f>
        <v/>
      </c>
      <c r="L763" s="19" t="str">
        <f aca="false">IF(H763="","",IF(J763&lt;설정!$B$7,"baseline 수집 중",IF(K763&lt;=-설정!$B$8,"저하","정상")))</f>
        <v/>
      </c>
      <c r="M763" s="20"/>
    </row>
    <row r="764" customFormat="false" ht="15" hidden="false" customHeight="false" outlineLevel="0" collapsed="false">
      <c r="A764" s="16"/>
      <c r="B764" s="17"/>
      <c r="C764" s="17"/>
      <c r="D764" s="17"/>
      <c r="E764" s="17"/>
      <c r="F764" s="17"/>
      <c r="G764" s="18" t="str">
        <f aca="false">IF(COUNT(D764:F764)=0,"",MAX(D764:F764))</f>
        <v/>
      </c>
      <c r="H764" s="18" t="str">
        <f aca="false">IF(COUNT(D764:F764)=0,"",ROUND(AVERAGE(D764:F764),1))</f>
        <v/>
      </c>
      <c r="I764" s="18" t="str">
        <f aca="false">IF(H764="","",IF(J764&lt;설정!$B$7,"",ROUND(AVERAGEIFS($H$2:$H$1001,$B$2:$B$1001,B764,$A$2:$A$1001,"&lt;"&amp;A764,$A$2:$A$1001,"&gt;="&amp;(A764-설정!$B$6)),1)))</f>
        <v/>
      </c>
      <c r="J764" s="18" t="str">
        <f aca="false">IF(H764="","",COUNTIFS($B$2:$B$1001,B764,$A$2:$A$1001,"&lt;"&amp;A764,$A$2:$A$1001,"&gt;="&amp;(A764-설정!$B$6),$H$2:$H$1001,"&gt;=0"))</f>
        <v/>
      </c>
      <c r="K764" s="21" t="str">
        <f aca="false">IF(I764="","",H764/I764-1)</f>
        <v/>
      </c>
      <c r="L764" s="19" t="str">
        <f aca="false">IF(H764="","",IF(J764&lt;설정!$B$7,"baseline 수집 중",IF(K764&lt;=-설정!$B$8,"저하","정상")))</f>
        <v/>
      </c>
      <c r="M764" s="20"/>
    </row>
    <row r="765" customFormat="false" ht="15" hidden="false" customHeight="false" outlineLevel="0" collapsed="false">
      <c r="A765" s="16"/>
      <c r="B765" s="17"/>
      <c r="C765" s="17"/>
      <c r="D765" s="17"/>
      <c r="E765" s="17"/>
      <c r="F765" s="17"/>
      <c r="G765" s="18" t="str">
        <f aca="false">IF(COUNT(D765:F765)=0,"",MAX(D765:F765))</f>
        <v/>
      </c>
      <c r="H765" s="18" t="str">
        <f aca="false">IF(COUNT(D765:F765)=0,"",ROUND(AVERAGE(D765:F765),1))</f>
        <v/>
      </c>
      <c r="I765" s="18" t="str">
        <f aca="false">IF(H765="","",IF(J765&lt;설정!$B$7,"",ROUND(AVERAGEIFS($H$2:$H$1001,$B$2:$B$1001,B765,$A$2:$A$1001,"&lt;"&amp;A765,$A$2:$A$1001,"&gt;="&amp;(A765-설정!$B$6)),1)))</f>
        <v/>
      </c>
      <c r="J765" s="18" t="str">
        <f aca="false">IF(H765="","",COUNTIFS($B$2:$B$1001,B765,$A$2:$A$1001,"&lt;"&amp;A765,$A$2:$A$1001,"&gt;="&amp;(A765-설정!$B$6),$H$2:$H$1001,"&gt;=0"))</f>
        <v/>
      </c>
      <c r="K765" s="21" t="str">
        <f aca="false">IF(I765="","",H765/I765-1)</f>
        <v/>
      </c>
      <c r="L765" s="19" t="str">
        <f aca="false">IF(H765="","",IF(J765&lt;설정!$B$7,"baseline 수집 중",IF(K765&lt;=-설정!$B$8,"저하","정상")))</f>
        <v/>
      </c>
      <c r="M765" s="20"/>
    </row>
    <row r="766" customFormat="false" ht="15" hidden="false" customHeight="false" outlineLevel="0" collapsed="false">
      <c r="A766" s="16"/>
      <c r="B766" s="17"/>
      <c r="C766" s="17"/>
      <c r="D766" s="17"/>
      <c r="E766" s="17"/>
      <c r="F766" s="17"/>
      <c r="G766" s="18" t="str">
        <f aca="false">IF(COUNT(D766:F766)=0,"",MAX(D766:F766))</f>
        <v/>
      </c>
      <c r="H766" s="18" t="str">
        <f aca="false">IF(COUNT(D766:F766)=0,"",ROUND(AVERAGE(D766:F766),1))</f>
        <v/>
      </c>
      <c r="I766" s="18" t="str">
        <f aca="false">IF(H766="","",IF(J766&lt;설정!$B$7,"",ROUND(AVERAGEIFS($H$2:$H$1001,$B$2:$B$1001,B766,$A$2:$A$1001,"&lt;"&amp;A766,$A$2:$A$1001,"&gt;="&amp;(A766-설정!$B$6)),1)))</f>
        <v/>
      </c>
      <c r="J766" s="18" t="str">
        <f aca="false">IF(H766="","",COUNTIFS($B$2:$B$1001,B766,$A$2:$A$1001,"&lt;"&amp;A766,$A$2:$A$1001,"&gt;="&amp;(A766-설정!$B$6),$H$2:$H$1001,"&gt;=0"))</f>
        <v/>
      </c>
      <c r="K766" s="21" t="str">
        <f aca="false">IF(I766="","",H766/I766-1)</f>
        <v/>
      </c>
      <c r="L766" s="19" t="str">
        <f aca="false">IF(H766="","",IF(J766&lt;설정!$B$7,"baseline 수집 중",IF(K766&lt;=-설정!$B$8,"저하","정상")))</f>
        <v/>
      </c>
      <c r="M766" s="20"/>
    </row>
    <row r="767" customFormat="false" ht="15" hidden="false" customHeight="false" outlineLevel="0" collapsed="false">
      <c r="A767" s="16"/>
      <c r="B767" s="17"/>
      <c r="C767" s="17"/>
      <c r="D767" s="17"/>
      <c r="E767" s="17"/>
      <c r="F767" s="17"/>
      <c r="G767" s="18" t="str">
        <f aca="false">IF(COUNT(D767:F767)=0,"",MAX(D767:F767))</f>
        <v/>
      </c>
      <c r="H767" s="18" t="str">
        <f aca="false">IF(COUNT(D767:F767)=0,"",ROUND(AVERAGE(D767:F767),1))</f>
        <v/>
      </c>
      <c r="I767" s="18" t="str">
        <f aca="false">IF(H767="","",IF(J767&lt;설정!$B$7,"",ROUND(AVERAGEIFS($H$2:$H$1001,$B$2:$B$1001,B767,$A$2:$A$1001,"&lt;"&amp;A767,$A$2:$A$1001,"&gt;="&amp;(A767-설정!$B$6)),1)))</f>
        <v/>
      </c>
      <c r="J767" s="18" t="str">
        <f aca="false">IF(H767="","",COUNTIFS($B$2:$B$1001,B767,$A$2:$A$1001,"&lt;"&amp;A767,$A$2:$A$1001,"&gt;="&amp;(A767-설정!$B$6),$H$2:$H$1001,"&gt;=0"))</f>
        <v/>
      </c>
      <c r="K767" s="21" t="str">
        <f aca="false">IF(I767="","",H767/I767-1)</f>
        <v/>
      </c>
      <c r="L767" s="19" t="str">
        <f aca="false">IF(H767="","",IF(J767&lt;설정!$B$7,"baseline 수집 중",IF(K767&lt;=-설정!$B$8,"저하","정상")))</f>
        <v/>
      </c>
      <c r="M767" s="20"/>
    </row>
    <row r="768" customFormat="false" ht="15" hidden="false" customHeight="false" outlineLevel="0" collapsed="false">
      <c r="A768" s="16"/>
      <c r="B768" s="17"/>
      <c r="C768" s="17"/>
      <c r="D768" s="17"/>
      <c r="E768" s="17"/>
      <c r="F768" s="17"/>
      <c r="G768" s="18" t="str">
        <f aca="false">IF(COUNT(D768:F768)=0,"",MAX(D768:F768))</f>
        <v/>
      </c>
      <c r="H768" s="18" t="str">
        <f aca="false">IF(COUNT(D768:F768)=0,"",ROUND(AVERAGE(D768:F768),1))</f>
        <v/>
      </c>
      <c r="I768" s="18" t="str">
        <f aca="false">IF(H768="","",IF(J768&lt;설정!$B$7,"",ROUND(AVERAGEIFS($H$2:$H$1001,$B$2:$B$1001,B768,$A$2:$A$1001,"&lt;"&amp;A768,$A$2:$A$1001,"&gt;="&amp;(A768-설정!$B$6)),1)))</f>
        <v/>
      </c>
      <c r="J768" s="18" t="str">
        <f aca="false">IF(H768="","",COUNTIFS($B$2:$B$1001,B768,$A$2:$A$1001,"&lt;"&amp;A768,$A$2:$A$1001,"&gt;="&amp;(A768-설정!$B$6),$H$2:$H$1001,"&gt;=0"))</f>
        <v/>
      </c>
      <c r="K768" s="21" t="str">
        <f aca="false">IF(I768="","",H768/I768-1)</f>
        <v/>
      </c>
      <c r="L768" s="19" t="str">
        <f aca="false">IF(H768="","",IF(J768&lt;설정!$B$7,"baseline 수집 중",IF(K768&lt;=-설정!$B$8,"저하","정상")))</f>
        <v/>
      </c>
      <c r="M768" s="20"/>
    </row>
    <row r="769" customFormat="false" ht="15" hidden="false" customHeight="false" outlineLevel="0" collapsed="false">
      <c r="A769" s="16"/>
      <c r="B769" s="17"/>
      <c r="C769" s="17"/>
      <c r="D769" s="17"/>
      <c r="E769" s="17"/>
      <c r="F769" s="17"/>
      <c r="G769" s="18" t="str">
        <f aca="false">IF(COUNT(D769:F769)=0,"",MAX(D769:F769))</f>
        <v/>
      </c>
      <c r="H769" s="18" t="str">
        <f aca="false">IF(COUNT(D769:F769)=0,"",ROUND(AVERAGE(D769:F769),1))</f>
        <v/>
      </c>
      <c r="I769" s="18" t="str">
        <f aca="false">IF(H769="","",IF(J769&lt;설정!$B$7,"",ROUND(AVERAGEIFS($H$2:$H$1001,$B$2:$B$1001,B769,$A$2:$A$1001,"&lt;"&amp;A769,$A$2:$A$1001,"&gt;="&amp;(A769-설정!$B$6)),1)))</f>
        <v/>
      </c>
      <c r="J769" s="18" t="str">
        <f aca="false">IF(H769="","",COUNTIFS($B$2:$B$1001,B769,$A$2:$A$1001,"&lt;"&amp;A769,$A$2:$A$1001,"&gt;="&amp;(A769-설정!$B$6),$H$2:$H$1001,"&gt;=0"))</f>
        <v/>
      </c>
      <c r="K769" s="21" t="str">
        <f aca="false">IF(I769="","",H769/I769-1)</f>
        <v/>
      </c>
      <c r="L769" s="19" t="str">
        <f aca="false">IF(H769="","",IF(J769&lt;설정!$B$7,"baseline 수집 중",IF(K769&lt;=-설정!$B$8,"저하","정상")))</f>
        <v/>
      </c>
      <c r="M769" s="20"/>
    </row>
    <row r="770" customFormat="false" ht="15" hidden="false" customHeight="false" outlineLevel="0" collapsed="false">
      <c r="A770" s="16"/>
      <c r="B770" s="17"/>
      <c r="C770" s="17"/>
      <c r="D770" s="17"/>
      <c r="E770" s="17"/>
      <c r="F770" s="17"/>
      <c r="G770" s="18" t="str">
        <f aca="false">IF(COUNT(D770:F770)=0,"",MAX(D770:F770))</f>
        <v/>
      </c>
      <c r="H770" s="18" t="str">
        <f aca="false">IF(COUNT(D770:F770)=0,"",ROUND(AVERAGE(D770:F770),1))</f>
        <v/>
      </c>
      <c r="I770" s="18" t="str">
        <f aca="false">IF(H770="","",IF(J770&lt;설정!$B$7,"",ROUND(AVERAGEIFS($H$2:$H$1001,$B$2:$B$1001,B770,$A$2:$A$1001,"&lt;"&amp;A770,$A$2:$A$1001,"&gt;="&amp;(A770-설정!$B$6)),1)))</f>
        <v/>
      </c>
      <c r="J770" s="18" t="str">
        <f aca="false">IF(H770="","",COUNTIFS($B$2:$B$1001,B770,$A$2:$A$1001,"&lt;"&amp;A770,$A$2:$A$1001,"&gt;="&amp;(A770-설정!$B$6),$H$2:$H$1001,"&gt;=0"))</f>
        <v/>
      </c>
      <c r="K770" s="21" t="str">
        <f aca="false">IF(I770="","",H770/I770-1)</f>
        <v/>
      </c>
      <c r="L770" s="19" t="str">
        <f aca="false">IF(H770="","",IF(J770&lt;설정!$B$7,"baseline 수집 중",IF(K770&lt;=-설정!$B$8,"저하","정상")))</f>
        <v/>
      </c>
      <c r="M770" s="20"/>
    </row>
    <row r="771" customFormat="false" ht="15" hidden="false" customHeight="false" outlineLevel="0" collapsed="false">
      <c r="A771" s="16"/>
      <c r="B771" s="17"/>
      <c r="C771" s="17"/>
      <c r="D771" s="17"/>
      <c r="E771" s="17"/>
      <c r="F771" s="17"/>
      <c r="G771" s="18" t="str">
        <f aca="false">IF(COUNT(D771:F771)=0,"",MAX(D771:F771))</f>
        <v/>
      </c>
      <c r="H771" s="18" t="str">
        <f aca="false">IF(COUNT(D771:F771)=0,"",ROUND(AVERAGE(D771:F771),1))</f>
        <v/>
      </c>
      <c r="I771" s="18" t="str">
        <f aca="false">IF(H771="","",IF(J771&lt;설정!$B$7,"",ROUND(AVERAGEIFS($H$2:$H$1001,$B$2:$B$1001,B771,$A$2:$A$1001,"&lt;"&amp;A771,$A$2:$A$1001,"&gt;="&amp;(A771-설정!$B$6)),1)))</f>
        <v/>
      </c>
      <c r="J771" s="18" t="str">
        <f aca="false">IF(H771="","",COUNTIFS($B$2:$B$1001,B771,$A$2:$A$1001,"&lt;"&amp;A771,$A$2:$A$1001,"&gt;="&amp;(A771-설정!$B$6),$H$2:$H$1001,"&gt;=0"))</f>
        <v/>
      </c>
      <c r="K771" s="21" t="str">
        <f aca="false">IF(I771="","",H771/I771-1)</f>
        <v/>
      </c>
      <c r="L771" s="19" t="str">
        <f aca="false">IF(H771="","",IF(J771&lt;설정!$B$7,"baseline 수집 중",IF(K771&lt;=-설정!$B$8,"저하","정상")))</f>
        <v/>
      </c>
      <c r="M771" s="20"/>
    </row>
    <row r="772" customFormat="false" ht="15" hidden="false" customHeight="false" outlineLevel="0" collapsed="false">
      <c r="A772" s="16"/>
      <c r="B772" s="17"/>
      <c r="C772" s="17"/>
      <c r="D772" s="17"/>
      <c r="E772" s="17"/>
      <c r="F772" s="17"/>
      <c r="G772" s="18" t="str">
        <f aca="false">IF(COUNT(D772:F772)=0,"",MAX(D772:F772))</f>
        <v/>
      </c>
      <c r="H772" s="18" t="str">
        <f aca="false">IF(COUNT(D772:F772)=0,"",ROUND(AVERAGE(D772:F772),1))</f>
        <v/>
      </c>
      <c r="I772" s="18" t="str">
        <f aca="false">IF(H772="","",IF(J772&lt;설정!$B$7,"",ROUND(AVERAGEIFS($H$2:$H$1001,$B$2:$B$1001,B772,$A$2:$A$1001,"&lt;"&amp;A772,$A$2:$A$1001,"&gt;="&amp;(A772-설정!$B$6)),1)))</f>
        <v/>
      </c>
      <c r="J772" s="18" t="str">
        <f aca="false">IF(H772="","",COUNTIFS($B$2:$B$1001,B772,$A$2:$A$1001,"&lt;"&amp;A772,$A$2:$A$1001,"&gt;="&amp;(A772-설정!$B$6),$H$2:$H$1001,"&gt;=0"))</f>
        <v/>
      </c>
      <c r="K772" s="21" t="str">
        <f aca="false">IF(I772="","",H772/I772-1)</f>
        <v/>
      </c>
      <c r="L772" s="19" t="str">
        <f aca="false">IF(H772="","",IF(J772&lt;설정!$B$7,"baseline 수집 중",IF(K772&lt;=-설정!$B$8,"저하","정상")))</f>
        <v/>
      </c>
      <c r="M772" s="20"/>
    </row>
    <row r="773" customFormat="false" ht="15" hidden="false" customHeight="false" outlineLevel="0" collapsed="false">
      <c r="A773" s="16"/>
      <c r="B773" s="17"/>
      <c r="C773" s="17"/>
      <c r="D773" s="17"/>
      <c r="E773" s="17"/>
      <c r="F773" s="17"/>
      <c r="G773" s="18" t="str">
        <f aca="false">IF(COUNT(D773:F773)=0,"",MAX(D773:F773))</f>
        <v/>
      </c>
      <c r="H773" s="18" t="str">
        <f aca="false">IF(COUNT(D773:F773)=0,"",ROUND(AVERAGE(D773:F773),1))</f>
        <v/>
      </c>
      <c r="I773" s="18" t="str">
        <f aca="false">IF(H773="","",IF(J773&lt;설정!$B$7,"",ROUND(AVERAGEIFS($H$2:$H$1001,$B$2:$B$1001,B773,$A$2:$A$1001,"&lt;"&amp;A773,$A$2:$A$1001,"&gt;="&amp;(A773-설정!$B$6)),1)))</f>
        <v/>
      </c>
      <c r="J773" s="18" t="str">
        <f aca="false">IF(H773="","",COUNTIFS($B$2:$B$1001,B773,$A$2:$A$1001,"&lt;"&amp;A773,$A$2:$A$1001,"&gt;="&amp;(A773-설정!$B$6),$H$2:$H$1001,"&gt;=0"))</f>
        <v/>
      </c>
      <c r="K773" s="21" t="str">
        <f aca="false">IF(I773="","",H773/I773-1)</f>
        <v/>
      </c>
      <c r="L773" s="19" t="str">
        <f aca="false">IF(H773="","",IF(J773&lt;설정!$B$7,"baseline 수집 중",IF(K773&lt;=-설정!$B$8,"저하","정상")))</f>
        <v/>
      </c>
      <c r="M773" s="20"/>
    </row>
    <row r="774" customFormat="false" ht="15" hidden="false" customHeight="false" outlineLevel="0" collapsed="false">
      <c r="A774" s="16"/>
      <c r="B774" s="17"/>
      <c r="C774" s="17"/>
      <c r="D774" s="17"/>
      <c r="E774" s="17"/>
      <c r="F774" s="17"/>
      <c r="G774" s="18" t="str">
        <f aca="false">IF(COUNT(D774:F774)=0,"",MAX(D774:F774))</f>
        <v/>
      </c>
      <c r="H774" s="18" t="str">
        <f aca="false">IF(COUNT(D774:F774)=0,"",ROUND(AVERAGE(D774:F774),1))</f>
        <v/>
      </c>
      <c r="I774" s="18" t="str">
        <f aca="false">IF(H774="","",IF(J774&lt;설정!$B$7,"",ROUND(AVERAGEIFS($H$2:$H$1001,$B$2:$B$1001,B774,$A$2:$A$1001,"&lt;"&amp;A774,$A$2:$A$1001,"&gt;="&amp;(A774-설정!$B$6)),1)))</f>
        <v/>
      </c>
      <c r="J774" s="18" t="str">
        <f aca="false">IF(H774="","",COUNTIFS($B$2:$B$1001,B774,$A$2:$A$1001,"&lt;"&amp;A774,$A$2:$A$1001,"&gt;="&amp;(A774-설정!$B$6),$H$2:$H$1001,"&gt;=0"))</f>
        <v/>
      </c>
      <c r="K774" s="21" t="str">
        <f aca="false">IF(I774="","",H774/I774-1)</f>
        <v/>
      </c>
      <c r="L774" s="19" t="str">
        <f aca="false">IF(H774="","",IF(J774&lt;설정!$B$7,"baseline 수집 중",IF(K774&lt;=-설정!$B$8,"저하","정상")))</f>
        <v/>
      </c>
      <c r="M774" s="20"/>
    </row>
    <row r="775" customFormat="false" ht="15" hidden="false" customHeight="false" outlineLevel="0" collapsed="false">
      <c r="A775" s="16"/>
      <c r="B775" s="17"/>
      <c r="C775" s="17"/>
      <c r="D775" s="17"/>
      <c r="E775" s="17"/>
      <c r="F775" s="17"/>
      <c r="G775" s="18" t="str">
        <f aca="false">IF(COUNT(D775:F775)=0,"",MAX(D775:F775))</f>
        <v/>
      </c>
      <c r="H775" s="18" t="str">
        <f aca="false">IF(COUNT(D775:F775)=0,"",ROUND(AVERAGE(D775:F775),1))</f>
        <v/>
      </c>
      <c r="I775" s="18" t="str">
        <f aca="false">IF(H775="","",IF(J775&lt;설정!$B$7,"",ROUND(AVERAGEIFS($H$2:$H$1001,$B$2:$B$1001,B775,$A$2:$A$1001,"&lt;"&amp;A775,$A$2:$A$1001,"&gt;="&amp;(A775-설정!$B$6)),1)))</f>
        <v/>
      </c>
      <c r="J775" s="18" t="str">
        <f aca="false">IF(H775="","",COUNTIFS($B$2:$B$1001,B775,$A$2:$A$1001,"&lt;"&amp;A775,$A$2:$A$1001,"&gt;="&amp;(A775-설정!$B$6),$H$2:$H$1001,"&gt;=0"))</f>
        <v/>
      </c>
      <c r="K775" s="21" t="str">
        <f aca="false">IF(I775="","",H775/I775-1)</f>
        <v/>
      </c>
      <c r="L775" s="19" t="str">
        <f aca="false">IF(H775="","",IF(J775&lt;설정!$B$7,"baseline 수집 중",IF(K775&lt;=-설정!$B$8,"저하","정상")))</f>
        <v/>
      </c>
      <c r="M775" s="20"/>
    </row>
    <row r="776" customFormat="false" ht="15" hidden="false" customHeight="false" outlineLevel="0" collapsed="false">
      <c r="A776" s="16"/>
      <c r="B776" s="17"/>
      <c r="C776" s="17"/>
      <c r="D776" s="17"/>
      <c r="E776" s="17"/>
      <c r="F776" s="17"/>
      <c r="G776" s="18" t="str">
        <f aca="false">IF(COUNT(D776:F776)=0,"",MAX(D776:F776))</f>
        <v/>
      </c>
      <c r="H776" s="18" t="str">
        <f aca="false">IF(COUNT(D776:F776)=0,"",ROUND(AVERAGE(D776:F776),1))</f>
        <v/>
      </c>
      <c r="I776" s="18" t="str">
        <f aca="false">IF(H776="","",IF(J776&lt;설정!$B$7,"",ROUND(AVERAGEIFS($H$2:$H$1001,$B$2:$B$1001,B776,$A$2:$A$1001,"&lt;"&amp;A776,$A$2:$A$1001,"&gt;="&amp;(A776-설정!$B$6)),1)))</f>
        <v/>
      </c>
      <c r="J776" s="18" t="str">
        <f aca="false">IF(H776="","",COUNTIFS($B$2:$B$1001,B776,$A$2:$A$1001,"&lt;"&amp;A776,$A$2:$A$1001,"&gt;="&amp;(A776-설정!$B$6),$H$2:$H$1001,"&gt;=0"))</f>
        <v/>
      </c>
      <c r="K776" s="21" t="str">
        <f aca="false">IF(I776="","",H776/I776-1)</f>
        <v/>
      </c>
      <c r="L776" s="19" t="str">
        <f aca="false">IF(H776="","",IF(J776&lt;설정!$B$7,"baseline 수집 중",IF(K776&lt;=-설정!$B$8,"저하","정상")))</f>
        <v/>
      </c>
      <c r="M776" s="20"/>
    </row>
    <row r="777" customFormat="false" ht="15" hidden="false" customHeight="false" outlineLevel="0" collapsed="false">
      <c r="A777" s="16"/>
      <c r="B777" s="17"/>
      <c r="C777" s="17"/>
      <c r="D777" s="17"/>
      <c r="E777" s="17"/>
      <c r="F777" s="17"/>
      <c r="G777" s="18" t="str">
        <f aca="false">IF(COUNT(D777:F777)=0,"",MAX(D777:F777))</f>
        <v/>
      </c>
      <c r="H777" s="18" t="str">
        <f aca="false">IF(COUNT(D777:F777)=0,"",ROUND(AVERAGE(D777:F777),1))</f>
        <v/>
      </c>
      <c r="I777" s="18" t="str">
        <f aca="false">IF(H777="","",IF(J777&lt;설정!$B$7,"",ROUND(AVERAGEIFS($H$2:$H$1001,$B$2:$B$1001,B777,$A$2:$A$1001,"&lt;"&amp;A777,$A$2:$A$1001,"&gt;="&amp;(A777-설정!$B$6)),1)))</f>
        <v/>
      </c>
      <c r="J777" s="18" t="str">
        <f aca="false">IF(H777="","",COUNTIFS($B$2:$B$1001,B777,$A$2:$A$1001,"&lt;"&amp;A777,$A$2:$A$1001,"&gt;="&amp;(A777-설정!$B$6),$H$2:$H$1001,"&gt;=0"))</f>
        <v/>
      </c>
      <c r="K777" s="21" t="str">
        <f aca="false">IF(I777="","",H777/I777-1)</f>
        <v/>
      </c>
      <c r="L777" s="19" t="str">
        <f aca="false">IF(H777="","",IF(J777&lt;설정!$B$7,"baseline 수집 중",IF(K777&lt;=-설정!$B$8,"저하","정상")))</f>
        <v/>
      </c>
      <c r="M777" s="20"/>
    </row>
    <row r="778" customFormat="false" ht="15" hidden="false" customHeight="false" outlineLevel="0" collapsed="false">
      <c r="A778" s="16"/>
      <c r="B778" s="17"/>
      <c r="C778" s="17"/>
      <c r="D778" s="17"/>
      <c r="E778" s="17"/>
      <c r="F778" s="17"/>
      <c r="G778" s="18" t="str">
        <f aca="false">IF(COUNT(D778:F778)=0,"",MAX(D778:F778))</f>
        <v/>
      </c>
      <c r="H778" s="18" t="str">
        <f aca="false">IF(COUNT(D778:F778)=0,"",ROUND(AVERAGE(D778:F778),1))</f>
        <v/>
      </c>
      <c r="I778" s="18" t="str">
        <f aca="false">IF(H778="","",IF(J778&lt;설정!$B$7,"",ROUND(AVERAGEIFS($H$2:$H$1001,$B$2:$B$1001,B778,$A$2:$A$1001,"&lt;"&amp;A778,$A$2:$A$1001,"&gt;="&amp;(A778-설정!$B$6)),1)))</f>
        <v/>
      </c>
      <c r="J778" s="18" t="str">
        <f aca="false">IF(H778="","",COUNTIFS($B$2:$B$1001,B778,$A$2:$A$1001,"&lt;"&amp;A778,$A$2:$A$1001,"&gt;="&amp;(A778-설정!$B$6),$H$2:$H$1001,"&gt;=0"))</f>
        <v/>
      </c>
      <c r="K778" s="21" t="str">
        <f aca="false">IF(I778="","",H778/I778-1)</f>
        <v/>
      </c>
      <c r="L778" s="19" t="str">
        <f aca="false">IF(H778="","",IF(J778&lt;설정!$B$7,"baseline 수집 중",IF(K778&lt;=-설정!$B$8,"저하","정상")))</f>
        <v/>
      </c>
      <c r="M778" s="20"/>
    </row>
    <row r="779" customFormat="false" ht="15" hidden="false" customHeight="false" outlineLevel="0" collapsed="false">
      <c r="A779" s="16"/>
      <c r="B779" s="17"/>
      <c r="C779" s="17"/>
      <c r="D779" s="17"/>
      <c r="E779" s="17"/>
      <c r="F779" s="17"/>
      <c r="G779" s="18" t="str">
        <f aca="false">IF(COUNT(D779:F779)=0,"",MAX(D779:F779))</f>
        <v/>
      </c>
      <c r="H779" s="18" t="str">
        <f aca="false">IF(COUNT(D779:F779)=0,"",ROUND(AVERAGE(D779:F779),1))</f>
        <v/>
      </c>
      <c r="I779" s="18" t="str">
        <f aca="false">IF(H779="","",IF(J779&lt;설정!$B$7,"",ROUND(AVERAGEIFS($H$2:$H$1001,$B$2:$B$1001,B779,$A$2:$A$1001,"&lt;"&amp;A779,$A$2:$A$1001,"&gt;="&amp;(A779-설정!$B$6)),1)))</f>
        <v/>
      </c>
      <c r="J779" s="18" t="str">
        <f aca="false">IF(H779="","",COUNTIFS($B$2:$B$1001,B779,$A$2:$A$1001,"&lt;"&amp;A779,$A$2:$A$1001,"&gt;="&amp;(A779-설정!$B$6),$H$2:$H$1001,"&gt;=0"))</f>
        <v/>
      </c>
      <c r="K779" s="21" t="str">
        <f aca="false">IF(I779="","",H779/I779-1)</f>
        <v/>
      </c>
      <c r="L779" s="19" t="str">
        <f aca="false">IF(H779="","",IF(J779&lt;설정!$B$7,"baseline 수집 중",IF(K779&lt;=-설정!$B$8,"저하","정상")))</f>
        <v/>
      </c>
      <c r="M779" s="20"/>
    </row>
    <row r="780" customFormat="false" ht="15" hidden="false" customHeight="false" outlineLevel="0" collapsed="false">
      <c r="A780" s="16"/>
      <c r="B780" s="17"/>
      <c r="C780" s="17"/>
      <c r="D780" s="17"/>
      <c r="E780" s="17"/>
      <c r="F780" s="17"/>
      <c r="G780" s="18" t="str">
        <f aca="false">IF(COUNT(D780:F780)=0,"",MAX(D780:F780))</f>
        <v/>
      </c>
      <c r="H780" s="18" t="str">
        <f aca="false">IF(COUNT(D780:F780)=0,"",ROUND(AVERAGE(D780:F780),1))</f>
        <v/>
      </c>
      <c r="I780" s="18" t="str">
        <f aca="false">IF(H780="","",IF(J780&lt;설정!$B$7,"",ROUND(AVERAGEIFS($H$2:$H$1001,$B$2:$B$1001,B780,$A$2:$A$1001,"&lt;"&amp;A780,$A$2:$A$1001,"&gt;="&amp;(A780-설정!$B$6)),1)))</f>
        <v/>
      </c>
      <c r="J780" s="18" t="str">
        <f aca="false">IF(H780="","",COUNTIFS($B$2:$B$1001,B780,$A$2:$A$1001,"&lt;"&amp;A780,$A$2:$A$1001,"&gt;="&amp;(A780-설정!$B$6),$H$2:$H$1001,"&gt;=0"))</f>
        <v/>
      </c>
      <c r="K780" s="21" t="str">
        <f aca="false">IF(I780="","",H780/I780-1)</f>
        <v/>
      </c>
      <c r="L780" s="19" t="str">
        <f aca="false">IF(H780="","",IF(J780&lt;설정!$B$7,"baseline 수집 중",IF(K780&lt;=-설정!$B$8,"저하","정상")))</f>
        <v/>
      </c>
      <c r="M780" s="20"/>
    </row>
    <row r="781" customFormat="false" ht="15" hidden="false" customHeight="false" outlineLevel="0" collapsed="false">
      <c r="A781" s="16"/>
      <c r="B781" s="17"/>
      <c r="C781" s="17"/>
      <c r="D781" s="17"/>
      <c r="E781" s="17"/>
      <c r="F781" s="17"/>
      <c r="G781" s="18" t="str">
        <f aca="false">IF(COUNT(D781:F781)=0,"",MAX(D781:F781))</f>
        <v/>
      </c>
      <c r="H781" s="18" t="str">
        <f aca="false">IF(COUNT(D781:F781)=0,"",ROUND(AVERAGE(D781:F781),1))</f>
        <v/>
      </c>
      <c r="I781" s="18" t="str">
        <f aca="false">IF(H781="","",IF(J781&lt;설정!$B$7,"",ROUND(AVERAGEIFS($H$2:$H$1001,$B$2:$B$1001,B781,$A$2:$A$1001,"&lt;"&amp;A781,$A$2:$A$1001,"&gt;="&amp;(A781-설정!$B$6)),1)))</f>
        <v/>
      </c>
      <c r="J781" s="18" t="str">
        <f aca="false">IF(H781="","",COUNTIFS($B$2:$B$1001,B781,$A$2:$A$1001,"&lt;"&amp;A781,$A$2:$A$1001,"&gt;="&amp;(A781-설정!$B$6),$H$2:$H$1001,"&gt;=0"))</f>
        <v/>
      </c>
      <c r="K781" s="21" t="str">
        <f aca="false">IF(I781="","",H781/I781-1)</f>
        <v/>
      </c>
      <c r="L781" s="19" t="str">
        <f aca="false">IF(H781="","",IF(J781&lt;설정!$B$7,"baseline 수집 중",IF(K781&lt;=-설정!$B$8,"저하","정상")))</f>
        <v/>
      </c>
      <c r="M781" s="20"/>
    </row>
    <row r="782" customFormat="false" ht="15" hidden="false" customHeight="false" outlineLevel="0" collapsed="false">
      <c r="A782" s="16"/>
      <c r="B782" s="17"/>
      <c r="C782" s="17"/>
      <c r="D782" s="17"/>
      <c r="E782" s="17"/>
      <c r="F782" s="17"/>
      <c r="G782" s="18" t="str">
        <f aca="false">IF(COUNT(D782:F782)=0,"",MAX(D782:F782))</f>
        <v/>
      </c>
      <c r="H782" s="18" t="str">
        <f aca="false">IF(COUNT(D782:F782)=0,"",ROUND(AVERAGE(D782:F782),1))</f>
        <v/>
      </c>
      <c r="I782" s="18" t="str">
        <f aca="false">IF(H782="","",IF(J782&lt;설정!$B$7,"",ROUND(AVERAGEIFS($H$2:$H$1001,$B$2:$B$1001,B782,$A$2:$A$1001,"&lt;"&amp;A782,$A$2:$A$1001,"&gt;="&amp;(A782-설정!$B$6)),1)))</f>
        <v/>
      </c>
      <c r="J782" s="18" t="str">
        <f aca="false">IF(H782="","",COUNTIFS($B$2:$B$1001,B782,$A$2:$A$1001,"&lt;"&amp;A782,$A$2:$A$1001,"&gt;="&amp;(A782-설정!$B$6),$H$2:$H$1001,"&gt;=0"))</f>
        <v/>
      </c>
      <c r="K782" s="21" t="str">
        <f aca="false">IF(I782="","",H782/I782-1)</f>
        <v/>
      </c>
      <c r="L782" s="19" t="str">
        <f aca="false">IF(H782="","",IF(J782&lt;설정!$B$7,"baseline 수집 중",IF(K782&lt;=-설정!$B$8,"저하","정상")))</f>
        <v/>
      </c>
      <c r="M782" s="20"/>
    </row>
    <row r="783" customFormat="false" ht="15" hidden="false" customHeight="false" outlineLevel="0" collapsed="false">
      <c r="A783" s="16"/>
      <c r="B783" s="17"/>
      <c r="C783" s="17"/>
      <c r="D783" s="17"/>
      <c r="E783" s="17"/>
      <c r="F783" s="17"/>
      <c r="G783" s="18" t="str">
        <f aca="false">IF(COUNT(D783:F783)=0,"",MAX(D783:F783))</f>
        <v/>
      </c>
      <c r="H783" s="18" t="str">
        <f aca="false">IF(COUNT(D783:F783)=0,"",ROUND(AVERAGE(D783:F783),1))</f>
        <v/>
      </c>
      <c r="I783" s="18" t="str">
        <f aca="false">IF(H783="","",IF(J783&lt;설정!$B$7,"",ROUND(AVERAGEIFS($H$2:$H$1001,$B$2:$B$1001,B783,$A$2:$A$1001,"&lt;"&amp;A783,$A$2:$A$1001,"&gt;="&amp;(A783-설정!$B$6)),1)))</f>
        <v/>
      </c>
      <c r="J783" s="18" t="str">
        <f aca="false">IF(H783="","",COUNTIFS($B$2:$B$1001,B783,$A$2:$A$1001,"&lt;"&amp;A783,$A$2:$A$1001,"&gt;="&amp;(A783-설정!$B$6),$H$2:$H$1001,"&gt;=0"))</f>
        <v/>
      </c>
      <c r="K783" s="21" t="str">
        <f aca="false">IF(I783="","",H783/I783-1)</f>
        <v/>
      </c>
      <c r="L783" s="19" t="str">
        <f aca="false">IF(H783="","",IF(J783&lt;설정!$B$7,"baseline 수집 중",IF(K783&lt;=-설정!$B$8,"저하","정상")))</f>
        <v/>
      </c>
      <c r="M783" s="20"/>
    </row>
    <row r="784" customFormat="false" ht="15" hidden="false" customHeight="false" outlineLevel="0" collapsed="false">
      <c r="A784" s="16"/>
      <c r="B784" s="17"/>
      <c r="C784" s="17"/>
      <c r="D784" s="17"/>
      <c r="E784" s="17"/>
      <c r="F784" s="17"/>
      <c r="G784" s="18" t="str">
        <f aca="false">IF(COUNT(D784:F784)=0,"",MAX(D784:F784))</f>
        <v/>
      </c>
      <c r="H784" s="18" t="str">
        <f aca="false">IF(COUNT(D784:F784)=0,"",ROUND(AVERAGE(D784:F784),1))</f>
        <v/>
      </c>
      <c r="I784" s="18" t="str">
        <f aca="false">IF(H784="","",IF(J784&lt;설정!$B$7,"",ROUND(AVERAGEIFS($H$2:$H$1001,$B$2:$B$1001,B784,$A$2:$A$1001,"&lt;"&amp;A784,$A$2:$A$1001,"&gt;="&amp;(A784-설정!$B$6)),1)))</f>
        <v/>
      </c>
      <c r="J784" s="18" t="str">
        <f aca="false">IF(H784="","",COUNTIFS($B$2:$B$1001,B784,$A$2:$A$1001,"&lt;"&amp;A784,$A$2:$A$1001,"&gt;="&amp;(A784-설정!$B$6),$H$2:$H$1001,"&gt;=0"))</f>
        <v/>
      </c>
      <c r="K784" s="21" t="str">
        <f aca="false">IF(I784="","",H784/I784-1)</f>
        <v/>
      </c>
      <c r="L784" s="19" t="str">
        <f aca="false">IF(H784="","",IF(J784&lt;설정!$B$7,"baseline 수집 중",IF(K784&lt;=-설정!$B$8,"저하","정상")))</f>
        <v/>
      </c>
      <c r="M784" s="20"/>
    </row>
    <row r="785" customFormat="false" ht="15" hidden="false" customHeight="false" outlineLevel="0" collapsed="false">
      <c r="A785" s="16"/>
      <c r="B785" s="17"/>
      <c r="C785" s="17"/>
      <c r="D785" s="17"/>
      <c r="E785" s="17"/>
      <c r="F785" s="17"/>
      <c r="G785" s="18" t="str">
        <f aca="false">IF(COUNT(D785:F785)=0,"",MAX(D785:F785))</f>
        <v/>
      </c>
      <c r="H785" s="18" t="str">
        <f aca="false">IF(COUNT(D785:F785)=0,"",ROUND(AVERAGE(D785:F785),1))</f>
        <v/>
      </c>
      <c r="I785" s="18" t="str">
        <f aca="false">IF(H785="","",IF(J785&lt;설정!$B$7,"",ROUND(AVERAGEIFS($H$2:$H$1001,$B$2:$B$1001,B785,$A$2:$A$1001,"&lt;"&amp;A785,$A$2:$A$1001,"&gt;="&amp;(A785-설정!$B$6)),1)))</f>
        <v/>
      </c>
      <c r="J785" s="18" t="str">
        <f aca="false">IF(H785="","",COUNTIFS($B$2:$B$1001,B785,$A$2:$A$1001,"&lt;"&amp;A785,$A$2:$A$1001,"&gt;="&amp;(A785-설정!$B$6),$H$2:$H$1001,"&gt;=0"))</f>
        <v/>
      </c>
      <c r="K785" s="21" t="str">
        <f aca="false">IF(I785="","",H785/I785-1)</f>
        <v/>
      </c>
      <c r="L785" s="19" t="str">
        <f aca="false">IF(H785="","",IF(J785&lt;설정!$B$7,"baseline 수집 중",IF(K785&lt;=-설정!$B$8,"저하","정상")))</f>
        <v/>
      </c>
      <c r="M785" s="20"/>
    </row>
    <row r="786" customFormat="false" ht="15" hidden="false" customHeight="false" outlineLevel="0" collapsed="false">
      <c r="A786" s="16"/>
      <c r="B786" s="17"/>
      <c r="C786" s="17"/>
      <c r="D786" s="17"/>
      <c r="E786" s="17"/>
      <c r="F786" s="17"/>
      <c r="G786" s="18" t="str">
        <f aca="false">IF(COUNT(D786:F786)=0,"",MAX(D786:F786))</f>
        <v/>
      </c>
      <c r="H786" s="18" t="str">
        <f aca="false">IF(COUNT(D786:F786)=0,"",ROUND(AVERAGE(D786:F786),1))</f>
        <v/>
      </c>
      <c r="I786" s="18" t="str">
        <f aca="false">IF(H786="","",IF(J786&lt;설정!$B$7,"",ROUND(AVERAGEIFS($H$2:$H$1001,$B$2:$B$1001,B786,$A$2:$A$1001,"&lt;"&amp;A786,$A$2:$A$1001,"&gt;="&amp;(A786-설정!$B$6)),1)))</f>
        <v/>
      </c>
      <c r="J786" s="18" t="str">
        <f aca="false">IF(H786="","",COUNTIFS($B$2:$B$1001,B786,$A$2:$A$1001,"&lt;"&amp;A786,$A$2:$A$1001,"&gt;="&amp;(A786-설정!$B$6),$H$2:$H$1001,"&gt;=0"))</f>
        <v/>
      </c>
      <c r="K786" s="21" t="str">
        <f aca="false">IF(I786="","",H786/I786-1)</f>
        <v/>
      </c>
      <c r="L786" s="19" t="str">
        <f aca="false">IF(H786="","",IF(J786&lt;설정!$B$7,"baseline 수집 중",IF(K786&lt;=-설정!$B$8,"저하","정상")))</f>
        <v/>
      </c>
      <c r="M786" s="20"/>
    </row>
    <row r="787" customFormat="false" ht="15" hidden="false" customHeight="false" outlineLevel="0" collapsed="false">
      <c r="A787" s="16"/>
      <c r="B787" s="17"/>
      <c r="C787" s="17"/>
      <c r="D787" s="17"/>
      <c r="E787" s="17"/>
      <c r="F787" s="17"/>
      <c r="G787" s="18" t="str">
        <f aca="false">IF(COUNT(D787:F787)=0,"",MAX(D787:F787))</f>
        <v/>
      </c>
      <c r="H787" s="18" t="str">
        <f aca="false">IF(COUNT(D787:F787)=0,"",ROUND(AVERAGE(D787:F787),1))</f>
        <v/>
      </c>
      <c r="I787" s="18" t="str">
        <f aca="false">IF(H787="","",IF(J787&lt;설정!$B$7,"",ROUND(AVERAGEIFS($H$2:$H$1001,$B$2:$B$1001,B787,$A$2:$A$1001,"&lt;"&amp;A787,$A$2:$A$1001,"&gt;="&amp;(A787-설정!$B$6)),1)))</f>
        <v/>
      </c>
      <c r="J787" s="18" t="str">
        <f aca="false">IF(H787="","",COUNTIFS($B$2:$B$1001,B787,$A$2:$A$1001,"&lt;"&amp;A787,$A$2:$A$1001,"&gt;="&amp;(A787-설정!$B$6),$H$2:$H$1001,"&gt;=0"))</f>
        <v/>
      </c>
      <c r="K787" s="21" t="str">
        <f aca="false">IF(I787="","",H787/I787-1)</f>
        <v/>
      </c>
      <c r="L787" s="19" t="str">
        <f aca="false">IF(H787="","",IF(J787&lt;설정!$B$7,"baseline 수집 중",IF(K787&lt;=-설정!$B$8,"저하","정상")))</f>
        <v/>
      </c>
      <c r="M787" s="20"/>
    </row>
    <row r="788" customFormat="false" ht="15" hidden="false" customHeight="false" outlineLevel="0" collapsed="false">
      <c r="A788" s="16"/>
      <c r="B788" s="17"/>
      <c r="C788" s="17"/>
      <c r="D788" s="17"/>
      <c r="E788" s="17"/>
      <c r="F788" s="17"/>
      <c r="G788" s="18" t="str">
        <f aca="false">IF(COUNT(D788:F788)=0,"",MAX(D788:F788))</f>
        <v/>
      </c>
      <c r="H788" s="18" t="str">
        <f aca="false">IF(COUNT(D788:F788)=0,"",ROUND(AVERAGE(D788:F788),1))</f>
        <v/>
      </c>
      <c r="I788" s="18" t="str">
        <f aca="false">IF(H788="","",IF(J788&lt;설정!$B$7,"",ROUND(AVERAGEIFS($H$2:$H$1001,$B$2:$B$1001,B788,$A$2:$A$1001,"&lt;"&amp;A788,$A$2:$A$1001,"&gt;="&amp;(A788-설정!$B$6)),1)))</f>
        <v/>
      </c>
      <c r="J788" s="18" t="str">
        <f aca="false">IF(H788="","",COUNTIFS($B$2:$B$1001,B788,$A$2:$A$1001,"&lt;"&amp;A788,$A$2:$A$1001,"&gt;="&amp;(A788-설정!$B$6),$H$2:$H$1001,"&gt;=0"))</f>
        <v/>
      </c>
      <c r="K788" s="21" t="str">
        <f aca="false">IF(I788="","",H788/I788-1)</f>
        <v/>
      </c>
      <c r="L788" s="19" t="str">
        <f aca="false">IF(H788="","",IF(J788&lt;설정!$B$7,"baseline 수집 중",IF(K788&lt;=-설정!$B$8,"저하","정상")))</f>
        <v/>
      </c>
      <c r="M788" s="20"/>
    </row>
    <row r="789" customFormat="false" ht="15" hidden="false" customHeight="false" outlineLevel="0" collapsed="false">
      <c r="A789" s="16"/>
      <c r="B789" s="17"/>
      <c r="C789" s="17"/>
      <c r="D789" s="17"/>
      <c r="E789" s="17"/>
      <c r="F789" s="17"/>
      <c r="G789" s="18" t="str">
        <f aca="false">IF(COUNT(D789:F789)=0,"",MAX(D789:F789))</f>
        <v/>
      </c>
      <c r="H789" s="18" t="str">
        <f aca="false">IF(COUNT(D789:F789)=0,"",ROUND(AVERAGE(D789:F789),1))</f>
        <v/>
      </c>
      <c r="I789" s="18" t="str">
        <f aca="false">IF(H789="","",IF(J789&lt;설정!$B$7,"",ROUND(AVERAGEIFS($H$2:$H$1001,$B$2:$B$1001,B789,$A$2:$A$1001,"&lt;"&amp;A789,$A$2:$A$1001,"&gt;="&amp;(A789-설정!$B$6)),1)))</f>
        <v/>
      </c>
      <c r="J789" s="18" t="str">
        <f aca="false">IF(H789="","",COUNTIFS($B$2:$B$1001,B789,$A$2:$A$1001,"&lt;"&amp;A789,$A$2:$A$1001,"&gt;="&amp;(A789-설정!$B$6),$H$2:$H$1001,"&gt;=0"))</f>
        <v/>
      </c>
      <c r="K789" s="21" t="str">
        <f aca="false">IF(I789="","",H789/I789-1)</f>
        <v/>
      </c>
      <c r="L789" s="19" t="str">
        <f aca="false">IF(H789="","",IF(J789&lt;설정!$B$7,"baseline 수집 중",IF(K789&lt;=-설정!$B$8,"저하","정상")))</f>
        <v/>
      </c>
      <c r="M789" s="20"/>
    </row>
    <row r="790" customFormat="false" ht="15" hidden="false" customHeight="false" outlineLevel="0" collapsed="false">
      <c r="A790" s="16"/>
      <c r="B790" s="17"/>
      <c r="C790" s="17"/>
      <c r="D790" s="17"/>
      <c r="E790" s="17"/>
      <c r="F790" s="17"/>
      <c r="G790" s="18" t="str">
        <f aca="false">IF(COUNT(D790:F790)=0,"",MAX(D790:F790))</f>
        <v/>
      </c>
      <c r="H790" s="18" t="str">
        <f aca="false">IF(COUNT(D790:F790)=0,"",ROUND(AVERAGE(D790:F790),1))</f>
        <v/>
      </c>
      <c r="I790" s="18" t="str">
        <f aca="false">IF(H790="","",IF(J790&lt;설정!$B$7,"",ROUND(AVERAGEIFS($H$2:$H$1001,$B$2:$B$1001,B790,$A$2:$A$1001,"&lt;"&amp;A790,$A$2:$A$1001,"&gt;="&amp;(A790-설정!$B$6)),1)))</f>
        <v/>
      </c>
      <c r="J790" s="18" t="str">
        <f aca="false">IF(H790="","",COUNTIFS($B$2:$B$1001,B790,$A$2:$A$1001,"&lt;"&amp;A790,$A$2:$A$1001,"&gt;="&amp;(A790-설정!$B$6),$H$2:$H$1001,"&gt;=0"))</f>
        <v/>
      </c>
      <c r="K790" s="21" t="str">
        <f aca="false">IF(I790="","",H790/I790-1)</f>
        <v/>
      </c>
      <c r="L790" s="19" t="str">
        <f aca="false">IF(H790="","",IF(J790&lt;설정!$B$7,"baseline 수집 중",IF(K790&lt;=-설정!$B$8,"저하","정상")))</f>
        <v/>
      </c>
      <c r="M790" s="20"/>
    </row>
    <row r="791" customFormat="false" ht="15" hidden="false" customHeight="false" outlineLevel="0" collapsed="false">
      <c r="A791" s="16"/>
      <c r="B791" s="17"/>
      <c r="C791" s="17"/>
      <c r="D791" s="17"/>
      <c r="E791" s="17"/>
      <c r="F791" s="17"/>
      <c r="G791" s="18" t="str">
        <f aca="false">IF(COUNT(D791:F791)=0,"",MAX(D791:F791))</f>
        <v/>
      </c>
      <c r="H791" s="18" t="str">
        <f aca="false">IF(COUNT(D791:F791)=0,"",ROUND(AVERAGE(D791:F791),1))</f>
        <v/>
      </c>
      <c r="I791" s="18" t="str">
        <f aca="false">IF(H791="","",IF(J791&lt;설정!$B$7,"",ROUND(AVERAGEIFS($H$2:$H$1001,$B$2:$B$1001,B791,$A$2:$A$1001,"&lt;"&amp;A791,$A$2:$A$1001,"&gt;="&amp;(A791-설정!$B$6)),1)))</f>
        <v/>
      </c>
      <c r="J791" s="18" t="str">
        <f aca="false">IF(H791="","",COUNTIFS($B$2:$B$1001,B791,$A$2:$A$1001,"&lt;"&amp;A791,$A$2:$A$1001,"&gt;="&amp;(A791-설정!$B$6),$H$2:$H$1001,"&gt;=0"))</f>
        <v/>
      </c>
      <c r="K791" s="21" t="str">
        <f aca="false">IF(I791="","",H791/I791-1)</f>
        <v/>
      </c>
      <c r="L791" s="19" t="str">
        <f aca="false">IF(H791="","",IF(J791&lt;설정!$B$7,"baseline 수집 중",IF(K791&lt;=-설정!$B$8,"저하","정상")))</f>
        <v/>
      </c>
      <c r="M791" s="20"/>
    </row>
    <row r="792" customFormat="false" ht="15" hidden="false" customHeight="false" outlineLevel="0" collapsed="false">
      <c r="A792" s="16"/>
      <c r="B792" s="17"/>
      <c r="C792" s="17"/>
      <c r="D792" s="17"/>
      <c r="E792" s="17"/>
      <c r="F792" s="17"/>
      <c r="G792" s="18" t="str">
        <f aca="false">IF(COUNT(D792:F792)=0,"",MAX(D792:F792))</f>
        <v/>
      </c>
      <c r="H792" s="18" t="str">
        <f aca="false">IF(COUNT(D792:F792)=0,"",ROUND(AVERAGE(D792:F792),1))</f>
        <v/>
      </c>
      <c r="I792" s="18" t="str">
        <f aca="false">IF(H792="","",IF(J792&lt;설정!$B$7,"",ROUND(AVERAGEIFS($H$2:$H$1001,$B$2:$B$1001,B792,$A$2:$A$1001,"&lt;"&amp;A792,$A$2:$A$1001,"&gt;="&amp;(A792-설정!$B$6)),1)))</f>
        <v/>
      </c>
      <c r="J792" s="18" t="str">
        <f aca="false">IF(H792="","",COUNTIFS($B$2:$B$1001,B792,$A$2:$A$1001,"&lt;"&amp;A792,$A$2:$A$1001,"&gt;="&amp;(A792-설정!$B$6),$H$2:$H$1001,"&gt;=0"))</f>
        <v/>
      </c>
      <c r="K792" s="21" t="str">
        <f aca="false">IF(I792="","",H792/I792-1)</f>
        <v/>
      </c>
      <c r="L792" s="19" t="str">
        <f aca="false">IF(H792="","",IF(J792&lt;설정!$B$7,"baseline 수집 중",IF(K792&lt;=-설정!$B$8,"저하","정상")))</f>
        <v/>
      </c>
      <c r="M792" s="20"/>
    </row>
    <row r="793" customFormat="false" ht="15" hidden="false" customHeight="false" outlineLevel="0" collapsed="false">
      <c r="A793" s="16"/>
      <c r="B793" s="17"/>
      <c r="C793" s="17"/>
      <c r="D793" s="17"/>
      <c r="E793" s="17"/>
      <c r="F793" s="17"/>
      <c r="G793" s="18" t="str">
        <f aca="false">IF(COUNT(D793:F793)=0,"",MAX(D793:F793))</f>
        <v/>
      </c>
      <c r="H793" s="18" t="str">
        <f aca="false">IF(COUNT(D793:F793)=0,"",ROUND(AVERAGE(D793:F793),1))</f>
        <v/>
      </c>
      <c r="I793" s="18" t="str">
        <f aca="false">IF(H793="","",IF(J793&lt;설정!$B$7,"",ROUND(AVERAGEIFS($H$2:$H$1001,$B$2:$B$1001,B793,$A$2:$A$1001,"&lt;"&amp;A793,$A$2:$A$1001,"&gt;="&amp;(A793-설정!$B$6)),1)))</f>
        <v/>
      </c>
      <c r="J793" s="18" t="str">
        <f aca="false">IF(H793="","",COUNTIFS($B$2:$B$1001,B793,$A$2:$A$1001,"&lt;"&amp;A793,$A$2:$A$1001,"&gt;="&amp;(A793-설정!$B$6),$H$2:$H$1001,"&gt;=0"))</f>
        <v/>
      </c>
      <c r="K793" s="21" t="str">
        <f aca="false">IF(I793="","",H793/I793-1)</f>
        <v/>
      </c>
      <c r="L793" s="19" t="str">
        <f aca="false">IF(H793="","",IF(J793&lt;설정!$B$7,"baseline 수집 중",IF(K793&lt;=-설정!$B$8,"저하","정상")))</f>
        <v/>
      </c>
      <c r="M793" s="20"/>
    </row>
    <row r="794" customFormat="false" ht="15" hidden="false" customHeight="false" outlineLevel="0" collapsed="false">
      <c r="A794" s="16"/>
      <c r="B794" s="17"/>
      <c r="C794" s="17"/>
      <c r="D794" s="17"/>
      <c r="E794" s="17"/>
      <c r="F794" s="17"/>
      <c r="G794" s="18" t="str">
        <f aca="false">IF(COUNT(D794:F794)=0,"",MAX(D794:F794))</f>
        <v/>
      </c>
      <c r="H794" s="18" t="str">
        <f aca="false">IF(COUNT(D794:F794)=0,"",ROUND(AVERAGE(D794:F794),1))</f>
        <v/>
      </c>
      <c r="I794" s="18" t="str">
        <f aca="false">IF(H794="","",IF(J794&lt;설정!$B$7,"",ROUND(AVERAGEIFS($H$2:$H$1001,$B$2:$B$1001,B794,$A$2:$A$1001,"&lt;"&amp;A794,$A$2:$A$1001,"&gt;="&amp;(A794-설정!$B$6)),1)))</f>
        <v/>
      </c>
      <c r="J794" s="18" t="str">
        <f aca="false">IF(H794="","",COUNTIFS($B$2:$B$1001,B794,$A$2:$A$1001,"&lt;"&amp;A794,$A$2:$A$1001,"&gt;="&amp;(A794-설정!$B$6),$H$2:$H$1001,"&gt;=0"))</f>
        <v/>
      </c>
      <c r="K794" s="21" t="str">
        <f aca="false">IF(I794="","",H794/I794-1)</f>
        <v/>
      </c>
      <c r="L794" s="19" t="str">
        <f aca="false">IF(H794="","",IF(J794&lt;설정!$B$7,"baseline 수집 중",IF(K794&lt;=-설정!$B$8,"저하","정상")))</f>
        <v/>
      </c>
      <c r="M794" s="20"/>
    </row>
    <row r="795" customFormat="false" ht="15" hidden="false" customHeight="false" outlineLevel="0" collapsed="false">
      <c r="A795" s="16"/>
      <c r="B795" s="17"/>
      <c r="C795" s="17"/>
      <c r="D795" s="17"/>
      <c r="E795" s="17"/>
      <c r="F795" s="17"/>
      <c r="G795" s="18" t="str">
        <f aca="false">IF(COUNT(D795:F795)=0,"",MAX(D795:F795))</f>
        <v/>
      </c>
      <c r="H795" s="18" t="str">
        <f aca="false">IF(COUNT(D795:F795)=0,"",ROUND(AVERAGE(D795:F795),1))</f>
        <v/>
      </c>
      <c r="I795" s="18" t="str">
        <f aca="false">IF(H795="","",IF(J795&lt;설정!$B$7,"",ROUND(AVERAGEIFS($H$2:$H$1001,$B$2:$B$1001,B795,$A$2:$A$1001,"&lt;"&amp;A795,$A$2:$A$1001,"&gt;="&amp;(A795-설정!$B$6)),1)))</f>
        <v/>
      </c>
      <c r="J795" s="18" t="str">
        <f aca="false">IF(H795="","",COUNTIFS($B$2:$B$1001,B795,$A$2:$A$1001,"&lt;"&amp;A795,$A$2:$A$1001,"&gt;="&amp;(A795-설정!$B$6),$H$2:$H$1001,"&gt;=0"))</f>
        <v/>
      </c>
      <c r="K795" s="21" t="str">
        <f aca="false">IF(I795="","",H795/I795-1)</f>
        <v/>
      </c>
      <c r="L795" s="19" t="str">
        <f aca="false">IF(H795="","",IF(J795&lt;설정!$B$7,"baseline 수집 중",IF(K795&lt;=-설정!$B$8,"저하","정상")))</f>
        <v/>
      </c>
      <c r="M795" s="20"/>
    </row>
    <row r="796" customFormat="false" ht="15" hidden="false" customHeight="false" outlineLevel="0" collapsed="false">
      <c r="A796" s="16"/>
      <c r="B796" s="17"/>
      <c r="C796" s="17"/>
      <c r="D796" s="17"/>
      <c r="E796" s="17"/>
      <c r="F796" s="17"/>
      <c r="G796" s="18" t="str">
        <f aca="false">IF(COUNT(D796:F796)=0,"",MAX(D796:F796))</f>
        <v/>
      </c>
      <c r="H796" s="18" t="str">
        <f aca="false">IF(COUNT(D796:F796)=0,"",ROUND(AVERAGE(D796:F796),1))</f>
        <v/>
      </c>
      <c r="I796" s="18" t="str">
        <f aca="false">IF(H796="","",IF(J796&lt;설정!$B$7,"",ROUND(AVERAGEIFS($H$2:$H$1001,$B$2:$B$1001,B796,$A$2:$A$1001,"&lt;"&amp;A796,$A$2:$A$1001,"&gt;="&amp;(A796-설정!$B$6)),1)))</f>
        <v/>
      </c>
      <c r="J796" s="18" t="str">
        <f aca="false">IF(H796="","",COUNTIFS($B$2:$B$1001,B796,$A$2:$A$1001,"&lt;"&amp;A796,$A$2:$A$1001,"&gt;="&amp;(A796-설정!$B$6),$H$2:$H$1001,"&gt;=0"))</f>
        <v/>
      </c>
      <c r="K796" s="21" t="str">
        <f aca="false">IF(I796="","",H796/I796-1)</f>
        <v/>
      </c>
      <c r="L796" s="19" t="str">
        <f aca="false">IF(H796="","",IF(J796&lt;설정!$B$7,"baseline 수집 중",IF(K796&lt;=-설정!$B$8,"저하","정상")))</f>
        <v/>
      </c>
      <c r="M796" s="20"/>
    </row>
    <row r="797" customFormat="false" ht="15" hidden="false" customHeight="false" outlineLevel="0" collapsed="false">
      <c r="A797" s="16"/>
      <c r="B797" s="17"/>
      <c r="C797" s="17"/>
      <c r="D797" s="17"/>
      <c r="E797" s="17"/>
      <c r="F797" s="17"/>
      <c r="G797" s="18" t="str">
        <f aca="false">IF(COUNT(D797:F797)=0,"",MAX(D797:F797))</f>
        <v/>
      </c>
      <c r="H797" s="18" t="str">
        <f aca="false">IF(COUNT(D797:F797)=0,"",ROUND(AVERAGE(D797:F797),1))</f>
        <v/>
      </c>
      <c r="I797" s="18" t="str">
        <f aca="false">IF(H797="","",IF(J797&lt;설정!$B$7,"",ROUND(AVERAGEIFS($H$2:$H$1001,$B$2:$B$1001,B797,$A$2:$A$1001,"&lt;"&amp;A797,$A$2:$A$1001,"&gt;="&amp;(A797-설정!$B$6)),1)))</f>
        <v/>
      </c>
      <c r="J797" s="18" t="str">
        <f aca="false">IF(H797="","",COUNTIFS($B$2:$B$1001,B797,$A$2:$A$1001,"&lt;"&amp;A797,$A$2:$A$1001,"&gt;="&amp;(A797-설정!$B$6),$H$2:$H$1001,"&gt;=0"))</f>
        <v/>
      </c>
      <c r="K797" s="21" t="str">
        <f aca="false">IF(I797="","",H797/I797-1)</f>
        <v/>
      </c>
      <c r="L797" s="19" t="str">
        <f aca="false">IF(H797="","",IF(J797&lt;설정!$B$7,"baseline 수집 중",IF(K797&lt;=-설정!$B$8,"저하","정상")))</f>
        <v/>
      </c>
      <c r="M797" s="20"/>
    </row>
    <row r="798" customFormat="false" ht="15" hidden="false" customHeight="false" outlineLevel="0" collapsed="false">
      <c r="A798" s="16"/>
      <c r="B798" s="17"/>
      <c r="C798" s="17"/>
      <c r="D798" s="17"/>
      <c r="E798" s="17"/>
      <c r="F798" s="17"/>
      <c r="G798" s="18" t="str">
        <f aca="false">IF(COUNT(D798:F798)=0,"",MAX(D798:F798))</f>
        <v/>
      </c>
      <c r="H798" s="18" t="str">
        <f aca="false">IF(COUNT(D798:F798)=0,"",ROUND(AVERAGE(D798:F798),1))</f>
        <v/>
      </c>
      <c r="I798" s="18" t="str">
        <f aca="false">IF(H798="","",IF(J798&lt;설정!$B$7,"",ROUND(AVERAGEIFS($H$2:$H$1001,$B$2:$B$1001,B798,$A$2:$A$1001,"&lt;"&amp;A798,$A$2:$A$1001,"&gt;="&amp;(A798-설정!$B$6)),1)))</f>
        <v/>
      </c>
      <c r="J798" s="18" t="str">
        <f aca="false">IF(H798="","",COUNTIFS($B$2:$B$1001,B798,$A$2:$A$1001,"&lt;"&amp;A798,$A$2:$A$1001,"&gt;="&amp;(A798-설정!$B$6),$H$2:$H$1001,"&gt;=0"))</f>
        <v/>
      </c>
      <c r="K798" s="21" t="str">
        <f aca="false">IF(I798="","",H798/I798-1)</f>
        <v/>
      </c>
      <c r="L798" s="19" t="str">
        <f aca="false">IF(H798="","",IF(J798&lt;설정!$B$7,"baseline 수집 중",IF(K798&lt;=-설정!$B$8,"저하","정상")))</f>
        <v/>
      </c>
      <c r="M798" s="20"/>
    </row>
    <row r="799" customFormat="false" ht="15" hidden="false" customHeight="false" outlineLevel="0" collapsed="false">
      <c r="A799" s="16"/>
      <c r="B799" s="17"/>
      <c r="C799" s="17"/>
      <c r="D799" s="17"/>
      <c r="E799" s="17"/>
      <c r="F799" s="17"/>
      <c r="G799" s="18" t="str">
        <f aca="false">IF(COUNT(D799:F799)=0,"",MAX(D799:F799))</f>
        <v/>
      </c>
      <c r="H799" s="18" t="str">
        <f aca="false">IF(COUNT(D799:F799)=0,"",ROUND(AVERAGE(D799:F799),1))</f>
        <v/>
      </c>
      <c r="I799" s="18" t="str">
        <f aca="false">IF(H799="","",IF(J799&lt;설정!$B$7,"",ROUND(AVERAGEIFS($H$2:$H$1001,$B$2:$B$1001,B799,$A$2:$A$1001,"&lt;"&amp;A799,$A$2:$A$1001,"&gt;="&amp;(A799-설정!$B$6)),1)))</f>
        <v/>
      </c>
      <c r="J799" s="18" t="str">
        <f aca="false">IF(H799="","",COUNTIFS($B$2:$B$1001,B799,$A$2:$A$1001,"&lt;"&amp;A799,$A$2:$A$1001,"&gt;="&amp;(A799-설정!$B$6),$H$2:$H$1001,"&gt;=0"))</f>
        <v/>
      </c>
      <c r="K799" s="21" t="str">
        <f aca="false">IF(I799="","",H799/I799-1)</f>
        <v/>
      </c>
      <c r="L799" s="19" t="str">
        <f aca="false">IF(H799="","",IF(J799&lt;설정!$B$7,"baseline 수집 중",IF(K799&lt;=-설정!$B$8,"저하","정상")))</f>
        <v/>
      </c>
      <c r="M799" s="20"/>
    </row>
    <row r="800" customFormat="false" ht="15" hidden="false" customHeight="false" outlineLevel="0" collapsed="false">
      <c r="A800" s="16"/>
      <c r="B800" s="17"/>
      <c r="C800" s="17"/>
      <c r="D800" s="17"/>
      <c r="E800" s="17"/>
      <c r="F800" s="17"/>
      <c r="G800" s="18" t="str">
        <f aca="false">IF(COUNT(D800:F800)=0,"",MAX(D800:F800))</f>
        <v/>
      </c>
      <c r="H800" s="18" t="str">
        <f aca="false">IF(COUNT(D800:F800)=0,"",ROUND(AVERAGE(D800:F800),1))</f>
        <v/>
      </c>
      <c r="I800" s="18" t="str">
        <f aca="false">IF(H800="","",IF(J800&lt;설정!$B$7,"",ROUND(AVERAGEIFS($H$2:$H$1001,$B$2:$B$1001,B800,$A$2:$A$1001,"&lt;"&amp;A800,$A$2:$A$1001,"&gt;="&amp;(A800-설정!$B$6)),1)))</f>
        <v/>
      </c>
      <c r="J800" s="18" t="str">
        <f aca="false">IF(H800="","",COUNTIFS($B$2:$B$1001,B800,$A$2:$A$1001,"&lt;"&amp;A800,$A$2:$A$1001,"&gt;="&amp;(A800-설정!$B$6),$H$2:$H$1001,"&gt;=0"))</f>
        <v/>
      </c>
      <c r="K800" s="21" t="str">
        <f aca="false">IF(I800="","",H800/I800-1)</f>
        <v/>
      </c>
      <c r="L800" s="19" t="str">
        <f aca="false">IF(H800="","",IF(J800&lt;설정!$B$7,"baseline 수집 중",IF(K800&lt;=-설정!$B$8,"저하","정상")))</f>
        <v/>
      </c>
      <c r="M800" s="20"/>
    </row>
    <row r="801" customFormat="false" ht="15" hidden="false" customHeight="false" outlineLevel="0" collapsed="false">
      <c r="A801" s="16"/>
      <c r="B801" s="17"/>
      <c r="C801" s="17"/>
      <c r="D801" s="17"/>
      <c r="E801" s="17"/>
      <c r="F801" s="17"/>
      <c r="G801" s="18" t="str">
        <f aca="false">IF(COUNT(D801:F801)=0,"",MAX(D801:F801))</f>
        <v/>
      </c>
      <c r="H801" s="18" t="str">
        <f aca="false">IF(COUNT(D801:F801)=0,"",ROUND(AVERAGE(D801:F801),1))</f>
        <v/>
      </c>
      <c r="I801" s="18" t="str">
        <f aca="false">IF(H801="","",IF(J801&lt;설정!$B$7,"",ROUND(AVERAGEIFS($H$2:$H$1001,$B$2:$B$1001,B801,$A$2:$A$1001,"&lt;"&amp;A801,$A$2:$A$1001,"&gt;="&amp;(A801-설정!$B$6)),1)))</f>
        <v/>
      </c>
      <c r="J801" s="18" t="str">
        <f aca="false">IF(H801="","",COUNTIFS($B$2:$B$1001,B801,$A$2:$A$1001,"&lt;"&amp;A801,$A$2:$A$1001,"&gt;="&amp;(A801-설정!$B$6),$H$2:$H$1001,"&gt;=0"))</f>
        <v/>
      </c>
      <c r="K801" s="21" t="str">
        <f aca="false">IF(I801="","",H801/I801-1)</f>
        <v/>
      </c>
      <c r="L801" s="19" t="str">
        <f aca="false">IF(H801="","",IF(J801&lt;설정!$B$7,"baseline 수집 중",IF(K801&lt;=-설정!$B$8,"저하","정상")))</f>
        <v/>
      </c>
      <c r="M801" s="20"/>
    </row>
    <row r="802" customFormat="false" ht="15" hidden="false" customHeight="false" outlineLevel="0" collapsed="false">
      <c r="A802" s="16"/>
      <c r="B802" s="17"/>
      <c r="C802" s="17"/>
      <c r="D802" s="17"/>
      <c r="E802" s="17"/>
      <c r="F802" s="17"/>
      <c r="G802" s="18" t="str">
        <f aca="false">IF(COUNT(D802:F802)=0,"",MAX(D802:F802))</f>
        <v/>
      </c>
      <c r="H802" s="18" t="str">
        <f aca="false">IF(COUNT(D802:F802)=0,"",ROUND(AVERAGE(D802:F802),1))</f>
        <v/>
      </c>
      <c r="I802" s="18" t="str">
        <f aca="false">IF(H802="","",IF(J802&lt;설정!$B$7,"",ROUND(AVERAGEIFS($H$2:$H$1001,$B$2:$B$1001,B802,$A$2:$A$1001,"&lt;"&amp;A802,$A$2:$A$1001,"&gt;="&amp;(A802-설정!$B$6)),1)))</f>
        <v/>
      </c>
      <c r="J802" s="18" t="str">
        <f aca="false">IF(H802="","",COUNTIFS($B$2:$B$1001,B802,$A$2:$A$1001,"&lt;"&amp;A802,$A$2:$A$1001,"&gt;="&amp;(A802-설정!$B$6),$H$2:$H$1001,"&gt;=0"))</f>
        <v/>
      </c>
      <c r="K802" s="21" t="str">
        <f aca="false">IF(I802="","",H802/I802-1)</f>
        <v/>
      </c>
      <c r="L802" s="19" t="str">
        <f aca="false">IF(H802="","",IF(J802&lt;설정!$B$7,"baseline 수집 중",IF(K802&lt;=-설정!$B$8,"저하","정상")))</f>
        <v/>
      </c>
      <c r="M802" s="20"/>
    </row>
    <row r="803" customFormat="false" ht="15" hidden="false" customHeight="false" outlineLevel="0" collapsed="false">
      <c r="A803" s="16"/>
      <c r="B803" s="17"/>
      <c r="C803" s="17"/>
      <c r="D803" s="17"/>
      <c r="E803" s="17"/>
      <c r="F803" s="17"/>
      <c r="G803" s="18" t="str">
        <f aca="false">IF(COUNT(D803:F803)=0,"",MAX(D803:F803))</f>
        <v/>
      </c>
      <c r="H803" s="18" t="str">
        <f aca="false">IF(COUNT(D803:F803)=0,"",ROUND(AVERAGE(D803:F803),1))</f>
        <v/>
      </c>
      <c r="I803" s="18" t="str">
        <f aca="false">IF(H803="","",IF(J803&lt;설정!$B$7,"",ROUND(AVERAGEIFS($H$2:$H$1001,$B$2:$B$1001,B803,$A$2:$A$1001,"&lt;"&amp;A803,$A$2:$A$1001,"&gt;="&amp;(A803-설정!$B$6)),1)))</f>
        <v/>
      </c>
      <c r="J803" s="18" t="str">
        <f aca="false">IF(H803="","",COUNTIFS($B$2:$B$1001,B803,$A$2:$A$1001,"&lt;"&amp;A803,$A$2:$A$1001,"&gt;="&amp;(A803-설정!$B$6),$H$2:$H$1001,"&gt;=0"))</f>
        <v/>
      </c>
      <c r="K803" s="21" t="str">
        <f aca="false">IF(I803="","",H803/I803-1)</f>
        <v/>
      </c>
      <c r="L803" s="19" t="str">
        <f aca="false">IF(H803="","",IF(J803&lt;설정!$B$7,"baseline 수집 중",IF(K803&lt;=-설정!$B$8,"저하","정상")))</f>
        <v/>
      </c>
      <c r="M803" s="20"/>
    </row>
    <row r="804" customFormat="false" ht="15" hidden="false" customHeight="false" outlineLevel="0" collapsed="false">
      <c r="A804" s="16"/>
      <c r="B804" s="17"/>
      <c r="C804" s="17"/>
      <c r="D804" s="17"/>
      <c r="E804" s="17"/>
      <c r="F804" s="17"/>
      <c r="G804" s="18" t="str">
        <f aca="false">IF(COUNT(D804:F804)=0,"",MAX(D804:F804))</f>
        <v/>
      </c>
      <c r="H804" s="18" t="str">
        <f aca="false">IF(COUNT(D804:F804)=0,"",ROUND(AVERAGE(D804:F804),1))</f>
        <v/>
      </c>
      <c r="I804" s="18" t="str">
        <f aca="false">IF(H804="","",IF(J804&lt;설정!$B$7,"",ROUND(AVERAGEIFS($H$2:$H$1001,$B$2:$B$1001,B804,$A$2:$A$1001,"&lt;"&amp;A804,$A$2:$A$1001,"&gt;="&amp;(A804-설정!$B$6)),1)))</f>
        <v/>
      </c>
      <c r="J804" s="18" t="str">
        <f aca="false">IF(H804="","",COUNTIFS($B$2:$B$1001,B804,$A$2:$A$1001,"&lt;"&amp;A804,$A$2:$A$1001,"&gt;="&amp;(A804-설정!$B$6),$H$2:$H$1001,"&gt;=0"))</f>
        <v/>
      </c>
      <c r="K804" s="21" t="str">
        <f aca="false">IF(I804="","",H804/I804-1)</f>
        <v/>
      </c>
      <c r="L804" s="19" t="str">
        <f aca="false">IF(H804="","",IF(J804&lt;설정!$B$7,"baseline 수집 중",IF(K804&lt;=-설정!$B$8,"저하","정상")))</f>
        <v/>
      </c>
      <c r="M804" s="20"/>
    </row>
    <row r="805" customFormat="false" ht="15" hidden="false" customHeight="false" outlineLevel="0" collapsed="false">
      <c r="A805" s="16"/>
      <c r="B805" s="17"/>
      <c r="C805" s="17"/>
      <c r="D805" s="17"/>
      <c r="E805" s="17"/>
      <c r="F805" s="17"/>
      <c r="G805" s="18" t="str">
        <f aca="false">IF(COUNT(D805:F805)=0,"",MAX(D805:F805))</f>
        <v/>
      </c>
      <c r="H805" s="18" t="str">
        <f aca="false">IF(COUNT(D805:F805)=0,"",ROUND(AVERAGE(D805:F805),1))</f>
        <v/>
      </c>
      <c r="I805" s="18" t="str">
        <f aca="false">IF(H805="","",IF(J805&lt;설정!$B$7,"",ROUND(AVERAGEIFS($H$2:$H$1001,$B$2:$B$1001,B805,$A$2:$A$1001,"&lt;"&amp;A805,$A$2:$A$1001,"&gt;="&amp;(A805-설정!$B$6)),1)))</f>
        <v/>
      </c>
      <c r="J805" s="18" t="str">
        <f aca="false">IF(H805="","",COUNTIFS($B$2:$B$1001,B805,$A$2:$A$1001,"&lt;"&amp;A805,$A$2:$A$1001,"&gt;="&amp;(A805-설정!$B$6),$H$2:$H$1001,"&gt;=0"))</f>
        <v/>
      </c>
      <c r="K805" s="21" t="str">
        <f aca="false">IF(I805="","",H805/I805-1)</f>
        <v/>
      </c>
      <c r="L805" s="19" t="str">
        <f aca="false">IF(H805="","",IF(J805&lt;설정!$B$7,"baseline 수집 중",IF(K805&lt;=-설정!$B$8,"저하","정상")))</f>
        <v/>
      </c>
      <c r="M805" s="20"/>
    </row>
    <row r="806" customFormat="false" ht="15" hidden="false" customHeight="false" outlineLevel="0" collapsed="false">
      <c r="A806" s="16"/>
      <c r="B806" s="17"/>
      <c r="C806" s="17"/>
      <c r="D806" s="17"/>
      <c r="E806" s="17"/>
      <c r="F806" s="17"/>
      <c r="G806" s="18" t="str">
        <f aca="false">IF(COUNT(D806:F806)=0,"",MAX(D806:F806))</f>
        <v/>
      </c>
      <c r="H806" s="18" t="str">
        <f aca="false">IF(COUNT(D806:F806)=0,"",ROUND(AVERAGE(D806:F806),1))</f>
        <v/>
      </c>
      <c r="I806" s="18" t="str">
        <f aca="false">IF(H806="","",IF(J806&lt;설정!$B$7,"",ROUND(AVERAGEIFS($H$2:$H$1001,$B$2:$B$1001,B806,$A$2:$A$1001,"&lt;"&amp;A806,$A$2:$A$1001,"&gt;="&amp;(A806-설정!$B$6)),1)))</f>
        <v/>
      </c>
      <c r="J806" s="18" t="str">
        <f aca="false">IF(H806="","",COUNTIFS($B$2:$B$1001,B806,$A$2:$A$1001,"&lt;"&amp;A806,$A$2:$A$1001,"&gt;="&amp;(A806-설정!$B$6),$H$2:$H$1001,"&gt;=0"))</f>
        <v/>
      </c>
      <c r="K806" s="21" t="str">
        <f aca="false">IF(I806="","",H806/I806-1)</f>
        <v/>
      </c>
      <c r="L806" s="19" t="str">
        <f aca="false">IF(H806="","",IF(J806&lt;설정!$B$7,"baseline 수집 중",IF(K806&lt;=-설정!$B$8,"저하","정상")))</f>
        <v/>
      </c>
      <c r="M806" s="20"/>
    </row>
    <row r="807" customFormat="false" ht="15" hidden="false" customHeight="false" outlineLevel="0" collapsed="false">
      <c r="A807" s="16"/>
      <c r="B807" s="17"/>
      <c r="C807" s="17"/>
      <c r="D807" s="17"/>
      <c r="E807" s="17"/>
      <c r="F807" s="17"/>
      <c r="G807" s="18" t="str">
        <f aca="false">IF(COUNT(D807:F807)=0,"",MAX(D807:F807))</f>
        <v/>
      </c>
      <c r="H807" s="18" t="str">
        <f aca="false">IF(COUNT(D807:F807)=0,"",ROUND(AVERAGE(D807:F807),1))</f>
        <v/>
      </c>
      <c r="I807" s="18" t="str">
        <f aca="false">IF(H807="","",IF(J807&lt;설정!$B$7,"",ROUND(AVERAGEIFS($H$2:$H$1001,$B$2:$B$1001,B807,$A$2:$A$1001,"&lt;"&amp;A807,$A$2:$A$1001,"&gt;="&amp;(A807-설정!$B$6)),1)))</f>
        <v/>
      </c>
      <c r="J807" s="18" t="str">
        <f aca="false">IF(H807="","",COUNTIFS($B$2:$B$1001,B807,$A$2:$A$1001,"&lt;"&amp;A807,$A$2:$A$1001,"&gt;="&amp;(A807-설정!$B$6),$H$2:$H$1001,"&gt;=0"))</f>
        <v/>
      </c>
      <c r="K807" s="21" t="str">
        <f aca="false">IF(I807="","",H807/I807-1)</f>
        <v/>
      </c>
      <c r="L807" s="19" t="str">
        <f aca="false">IF(H807="","",IF(J807&lt;설정!$B$7,"baseline 수집 중",IF(K807&lt;=-설정!$B$8,"저하","정상")))</f>
        <v/>
      </c>
      <c r="M807" s="20"/>
    </row>
    <row r="808" customFormat="false" ht="15" hidden="false" customHeight="false" outlineLevel="0" collapsed="false">
      <c r="A808" s="16"/>
      <c r="B808" s="17"/>
      <c r="C808" s="17"/>
      <c r="D808" s="17"/>
      <c r="E808" s="17"/>
      <c r="F808" s="17"/>
      <c r="G808" s="18" t="str">
        <f aca="false">IF(COUNT(D808:F808)=0,"",MAX(D808:F808))</f>
        <v/>
      </c>
      <c r="H808" s="18" t="str">
        <f aca="false">IF(COUNT(D808:F808)=0,"",ROUND(AVERAGE(D808:F808),1))</f>
        <v/>
      </c>
      <c r="I808" s="18" t="str">
        <f aca="false">IF(H808="","",IF(J808&lt;설정!$B$7,"",ROUND(AVERAGEIFS($H$2:$H$1001,$B$2:$B$1001,B808,$A$2:$A$1001,"&lt;"&amp;A808,$A$2:$A$1001,"&gt;="&amp;(A808-설정!$B$6)),1)))</f>
        <v/>
      </c>
      <c r="J808" s="18" t="str">
        <f aca="false">IF(H808="","",COUNTIFS($B$2:$B$1001,B808,$A$2:$A$1001,"&lt;"&amp;A808,$A$2:$A$1001,"&gt;="&amp;(A808-설정!$B$6),$H$2:$H$1001,"&gt;=0"))</f>
        <v/>
      </c>
      <c r="K808" s="21" t="str">
        <f aca="false">IF(I808="","",H808/I808-1)</f>
        <v/>
      </c>
      <c r="L808" s="19" t="str">
        <f aca="false">IF(H808="","",IF(J808&lt;설정!$B$7,"baseline 수집 중",IF(K808&lt;=-설정!$B$8,"저하","정상")))</f>
        <v/>
      </c>
      <c r="M808" s="20"/>
    </row>
    <row r="809" customFormat="false" ht="15" hidden="false" customHeight="false" outlineLevel="0" collapsed="false">
      <c r="A809" s="16"/>
      <c r="B809" s="17"/>
      <c r="C809" s="17"/>
      <c r="D809" s="17"/>
      <c r="E809" s="17"/>
      <c r="F809" s="17"/>
      <c r="G809" s="18" t="str">
        <f aca="false">IF(COUNT(D809:F809)=0,"",MAX(D809:F809))</f>
        <v/>
      </c>
      <c r="H809" s="18" t="str">
        <f aca="false">IF(COUNT(D809:F809)=0,"",ROUND(AVERAGE(D809:F809),1))</f>
        <v/>
      </c>
      <c r="I809" s="18" t="str">
        <f aca="false">IF(H809="","",IF(J809&lt;설정!$B$7,"",ROUND(AVERAGEIFS($H$2:$H$1001,$B$2:$B$1001,B809,$A$2:$A$1001,"&lt;"&amp;A809,$A$2:$A$1001,"&gt;="&amp;(A809-설정!$B$6)),1)))</f>
        <v/>
      </c>
      <c r="J809" s="18" t="str">
        <f aca="false">IF(H809="","",COUNTIFS($B$2:$B$1001,B809,$A$2:$A$1001,"&lt;"&amp;A809,$A$2:$A$1001,"&gt;="&amp;(A809-설정!$B$6),$H$2:$H$1001,"&gt;=0"))</f>
        <v/>
      </c>
      <c r="K809" s="21" t="str">
        <f aca="false">IF(I809="","",H809/I809-1)</f>
        <v/>
      </c>
      <c r="L809" s="19" t="str">
        <f aca="false">IF(H809="","",IF(J809&lt;설정!$B$7,"baseline 수집 중",IF(K809&lt;=-설정!$B$8,"저하","정상")))</f>
        <v/>
      </c>
      <c r="M809" s="20"/>
    </row>
    <row r="810" customFormat="false" ht="15" hidden="false" customHeight="false" outlineLevel="0" collapsed="false">
      <c r="A810" s="16"/>
      <c r="B810" s="17"/>
      <c r="C810" s="17"/>
      <c r="D810" s="17"/>
      <c r="E810" s="17"/>
      <c r="F810" s="17"/>
      <c r="G810" s="18" t="str">
        <f aca="false">IF(COUNT(D810:F810)=0,"",MAX(D810:F810))</f>
        <v/>
      </c>
      <c r="H810" s="18" t="str">
        <f aca="false">IF(COUNT(D810:F810)=0,"",ROUND(AVERAGE(D810:F810),1))</f>
        <v/>
      </c>
      <c r="I810" s="18" t="str">
        <f aca="false">IF(H810="","",IF(J810&lt;설정!$B$7,"",ROUND(AVERAGEIFS($H$2:$H$1001,$B$2:$B$1001,B810,$A$2:$A$1001,"&lt;"&amp;A810,$A$2:$A$1001,"&gt;="&amp;(A810-설정!$B$6)),1)))</f>
        <v/>
      </c>
      <c r="J810" s="18" t="str">
        <f aca="false">IF(H810="","",COUNTIFS($B$2:$B$1001,B810,$A$2:$A$1001,"&lt;"&amp;A810,$A$2:$A$1001,"&gt;="&amp;(A810-설정!$B$6),$H$2:$H$1001,"&gt;=0"))</f>
        <v/>
      </c>
      <c r="K810" s="21" t="str">
        <f aca="false">IF(I810="","",H810/I810-1)</f>
        <v/>
      </c>
      <c r="L810" s="19" t="str">
        <f aca="false">IF(H810="","",IF(J810&lt;설정!$B$7,"baseline 수집 중",IF(K810&lt;=-설정!$B$8,"저하","정상")))</f>
        <v/>
      </c>
      <c r="M810" s="20"/>
    </row>
    <row r="811" customFormat="false" ht="15" hidden="false" customHeight="false" outlineLevel="0" collapsed="false">
      <c r="A811" s="16"/>
      <c r="B811" s="17"/>
      <c r="C811" s="17"/>
      <c r="D811" s="17"/>
      <c r="E811" s="17"/>
      <c r="F811" s="17"/>
      <c r="G811" s="18" t="str">
        <f aca="false">IF(COUNT(D811:F811)=0,"",MAX(D811:F811))</f>
        <v/>
      </c>
      <c r="H811" s="18" t="str">
        <f aca="false">IF(COUNT(D811:F811)=0,"",ROUND(AVERAGE(D811:F811),1))</f>
        <v/>
      </c>
      <c r="I811" s="18" t="str">
        <f aca="false">IF(H811="","",IF(J811&lt;설정!$B$7,"",ROUND(AVERAGEIFS($H$2:$H$1001,$B$2:$B$1001,B811,$A$2:$A$1001,"&lt;"&amp;A811,$A$2:$A$1001,"&gt;="&amp;(A811-설정!$B$6)),1)))</f>
        <v/>
      </c>
      <c r="J811" s="18" t="str">
        <f aca="false">IF(H811="","",COUNTIFS($B$2:$B$1001,B811,$A$2:$A$1001,"&lt;"&amp;A811,$A$2:$A$1001,"&gt;="&amp;(A811-설정!$B$6),$H$2:$H$1001,"&gt;=0"))</f>
        <v/>
      </c>
      <c r="K811" s="21" t="str">
        <f aca="false">IF(I811="","",H811/I811-1)</f>
        <v/>
      </c>
      <c r="L811" s="19" t="str">
        <f aca="false">IF(H811="","",IF(J811&lt;설정!$B$7,"baseline 수집 중",IF(K811&lt;=-설정!$B$8,"저하","정상")))</f>
        <v/>
      </c>
      <c r="M811" s="20"/>
    </row>
    <row r="812" customFormat="false" ht="15" hidden="false" customHeight="false" outlineLevel="0" collapsed="false">
      <c r="A812" s="16"/>
      <c r="B812" s="17"/>
      <c r="C812" s="17"/>
      <c r="D812" s="17"/>
      <c r="E812" s="17"/>
      <c r="F812" s="17"/>
      <c r="G812" s="18" t="str">
        <f aca="false">IF(COUNT(D812:F812)=0,"",MAX(D812:F812))</f>
        <v/>
      </c>
      <c r="H812" s="18" t="str">
        <f aca="false">IF(COUNT(D812:F812)=0,"",ROUND(AVERAGE(D812:F812),1))</f>
        <v/>
      </c>
      <c r="I812" s="18" t="str">
        <f aca="false">IF(H812="","",IF(J812&lt;설정!$B$7,"",ROUND(AVERAGEIFS($H$2:$H$1001,$B$2:$B$1001,B812,$A$2:$A$1001,"&lt;"&amp;A812,$A$2:$A$1001,"&gt;="&amp;(A812-설정!$B$6)),1)))</f>
        <v/>
      </c>
      <c r="J812" s="18" t="str">
        <f aca="false">IF(H812="","",COUNTIFS($B$2:$B$1001,B812,$A$2:$A$1001,"&lt;"&amp;A812,$A$2:$A$1001,"&gt;="&amp;(A812-설정!$B$6),$H$2:$H$1001,"&gt;=0"))</f>
        <v/>
      </c>
      <c r="K812" s="21" t="str">
        <f aca="false">IF(I812="","",H812/I812-1)</f>
        <v/>
      </c>
      <c r="L812" s="19" t="str">
        <f aca="false">IF(H812="","",IF(J812&lt;설정!$B$7,"baseline 수집 중",IF(K812&lt;=-설정!$B$8,"저하","정상")))</f>
        <v/>
      </c>
      <c r="M812" s="20"/>
    </row>
    <row r="813" customFormat="false" ht="15" hidden="false" customHeight="false" outlineLevel="0" collapsed="false">
      <c r="A813" s="16"/>
      <c r="B813" s="17"/>
      <c r="C813" s="17"/>
      <c r="D813" s="17"/>
      <c r="E813" s="17"/>
      <c r="F813" s="17"/>
      <c r="G813" s="18" t="str">
        <f aca="false">IF(COUNT(D813:F813)=0,"",MAX(D813:F813))</f>
        <v/>
      </c>
      <c r="H813" s="18" t="str">
        <f aca="false">IF(COUNT(D813:F813)=0,"",ROUND(AVERAGE(D813:F813),1))</f>
        <v/>
      </c>
      <c r="I813" s="18" t="str">
        <f aca="false">IF(H813="","",IF(J813&lt;설정!$B$7,"",ROUND(AVERAGEIFS($H$2:$H$1001,$B$2:$B$1001,B813,$A$2:$A$1001,"&lt;"&amp;A813,$A$2:$A$1001,"&gt;="&amp;(A813-설정!$B$6)),1)))</f>
        <v/>
      </c>
      <c r="J813" s="18" t="str">
        <f aca="false">IF(H813="","",COUNTIFS($B$2:$B$1001,B813,$A$2:$A$1001,"&lt;"&amp;A813,$A$2:$A$1001,"&gt;="&amp;(A813-설정!$B$6),$H$2:$H$1001,"&gt;=0"))</f>
        <v/>
      </c>
      <c r="K813" s="21" t="str">
        <f aca="false">IF(I813="","",H813/I813-1)</f>
        <v/>
      </c>
      <c r="L813" s="19" t="str">
        <f aca="false">IF(H813="","",IF(J813&lt;설정!$B$7,"baseline 수집 중",IF(K813&lt;=-설정!$B$8,"저하","정상")))</f>
        <v/>
      </c>
      <c r="M813" s="20"/>
    </row>
    <row r="814" customFormat="false" ht="15" hidden="false" customHeight="false" outlineLevel="0" collapsed="false">
      <c r="A814" s="16"/>
      <c r="B814" s="17"/>
      <c r="C814" s="17"/>
      <c r="D814" s="17"/>
      <c r="E814" s="17"/>
      <c r="F814" s="17"/>
      <c r="G814" s="18" t="str">
        <f aca="false">IF(COUNT(D814:F814)=0,"",MAX(D814:F814))</f>
        <v/>
      </c>
      <c r="H814" s="18" t="str">
        <f aca="false">IF(COUNT(D814:F814)=0,"",ROUND(AVERAGE(D814:F814),1))</f>
        <v/>
      </c>
      <c r="I814" s="18" t="str">
        <f aca="false">IF(H814="","",IF(J814&lt;설정!$B$7,"",ROUND(AVERAGEIFS($H$2:$H$1001,$B$2:$B$1001,B814,$A$2:$A$1001,"&lt;"&amp;A814,$A$2:$A$1001,"&gt;="&amp;(A814-설정!$B$6)),1)))</f>
        <v/>
      </c>
      <c r="J814" s="18" t="str">
        <f aca="false">IF(H814="","",COUNTIFS($B$2:$B$1001,B814,$A$2:$A$1001,"&lt;"&amp;A814,$A$2:$A$1001,"&gt;="&amp;(A814-설정!$B$6),$H$2:$H$1001,"&gt;=0"))</f>
        <v/>
      </c>
      <c r="K814" s="21" t="str">
        <f aca="false">IF(I814="","",H814/I814-1)</f>
        <v/>
      </c>
      <c r="L814" s="19" t="str">
        <f aca="false">IF(H814="","",IF(J814&lt;설정!$B$7,"baseline 수집 중",IF(K814&lt;=-설정!$B$8,"저하","정상")))</f>
        <v/>
      </c>
      <c r="M814" s="20"/>
    </row>
    <row r="815" customFormat="false" ht="15" hidden="false" customHeight="false" outlineLevel="0" collapsed="false">
      <c r="A815" s="16"/>
      <c r="B815" s="17"/>
      <c r="C815" s="17"/>
      <c r="D815" s="17"/>
      <c r="E815" s="17"/>
      <c r="F815" s="17"/>
      <c r="G815" s="18" t="str">
        <f aca="false">IF(COUNT(D815:F815)=0,"",MAX(D815:F815))</f>
        <v/>
      </c>
      <c r="H815" s="18" t="str">
        <f aca="false">IF(COUNT(D815:F815)=0,"",ROUND(AVERAGE(D815:F815),1))</f>
        <v/>
      </c>
      <c r="I815" s="18" t="str">
        <f aca="false">IF(H815="","",IF(J815&lt;설정!$B$7,"",ROUND(AVERAGEIFS($H$2:$H$1001,$B$2:$B$1001,B815,$A$2:$A$1001,"&lt;"&amp;A815,$A$2:$A$1001,"&gt;="&amp;(A815-설정!$B$6)),1)))</f>
        <v/>
      </c>
      <c r="J815" s="18" t="str">
        <f aca="false">IF(H815="","",COUNTIFS($B$2:$B$1001,B815,$A$2:$A$1001,"&lt;"&amp;A815,$A$2:$A$1001,"&gt;="&amp;(A815-설정!$B$6),$H$2:$H$1001,"&gt;=0"))</f>
        <v/>
      </c>
      <c r="K815" s="21" t="str">
        <f aca="false">IF(I815="","",H815/I815-1)</f>
        <v/>
      </c>
      <c r="L815" s="19" t="str">
        <f aca="false">IF(H815="","",IF(J815&lt;설정!$B$7,"baseline 수집 중",IF(K815&lt;=-설정!$B$8,"저하","정상")))</f>
        <v/>
      </c>
      <c r="M815" s="20"/>
    </row>
    <row r="816" customFormat="false" ht="15" hidden="false" customHeight="false" outlineLevel="0" collapsed="false">
      <c r="A816" s="16"/>
      <c r="B816" s="17"/>
      <c r="C816" s="17"/>
      <c r="D816" s="17"/>
      <c r="E816" s="17"/>
      <c r="F816" s="17"/>
      <c r="G816" s="18" t="str">
        <f aca="false">IF(COUNT(D816:F816)=0,"",MAX(D816:F816))</f>
        <v/>
      </c>
      <c r="H816" s="18" t="str">
        <f aca="false">IF(COUNT(D816:F816)=0,"",ROUND(AVERAGE(D816:F816),1))</f>
        <v/>
      </c>
      <c r="I816" s="18" t="str">
        <f aca="false">IF(H816="","",IF(J816&lt;설정!$B$7,"",ROUND(AVERAGEIFS($H$2:$H$1001,$B$2:$B$1001,B816,$A$2:$A$1001,"&lt;"&amp;A816,$A$2:$A$1001,"&gt;="&amp;(A816-설정!$B$6)),1)))</f>
        <v/>
      </c>
      <c r="J816" s="18" t="str">
        <f aca="false">IF(H816="","",COUNTIFS($B$2:$B$1001,B816,$A$2:$A$1001,"&lt;"&amp;A816,$A$2:$A$1001,"&gt;="&amp;(A816-설정!$B$6),$H$2:$H$1001,"&gt;=0"))</f>
        <v/>
      </c>
      <c r="K816" s="21" t="str">
        <f aca="false">IF(I816="","",H816/I816-1)</f>
        <v/>
      </c>
      <c r="L816" s="19" t="str">
        <f aca="false">IF(H816="","",IF(J816&lt;설정!$B$7,"baseline 수집 중",IF(K816&lt;=-설정!$B$8,"저하","정상")))</f>
        <v/>
      </c>
      <c r="M816" s="20"/>
    </row>
    <row r="817" customFormat="false" ht="15" hidden="false" customHeight="false" outlineLevel="0" collapsed="false">
      <c r="A817" s="16"/>
      <c r="B817" s="17"/>
      <c r="C817" s="17"/>
      <c r="D817" s="17"/>
      <c r="E817" s="17"/>
      <c r="F817" s="17"/>
      <c r="G817" s="18" t="str">
        <f aca="false">IF(COUNT(D817:F817)=0,"",MAX(D817:F817))</f>
        <v/>
      </c>
      <c r="H817" s="18" t="str">
        <f aca="false">IF(COUNT(D817:F817)=0,"",ROUND(AVERAGE(D817:F817),1))</f>
        <v/>
      </c>
      <c r="I817" s="18" t="str">
        <f aca="false">IF(H817="","",IF(J817&lt;설정!$B$7,"",ROUND(AVERAGEIFS($H$2:$H$1001,$B$2:$B$1001,B817,$A$2:$A$1001,"&lt;"&amp;A817,$A$2:$A$1001,"&gt;="&amp;(A817-설정!$B$6)),1)))</f>
        <v/>
      </c>
      <c r="J817" s="18" t="str">
        <f aca="false">IF(H817="","",COUNTIFS($B$2:$B$1001,B817,$A$2:$A$1001,"&lt;"&amp;A817,$A$2:$A$1001,"&gt;="&amp;(A817-설정!$B$6),$H$2:$H$1001,"&gt;=0"))</f>
        <v/>
      </c>
      <c r="K817" s="21" t="str">
        <f aca="false">IF(I817="","",H817/I817-1)</f>
        <v/>
      </c>
      <c r="L817" s="19" t="str">
        <f aca="false">IF(H817="","",IF(J817&lt;설정!$B$7,"baseline 수집 중",IF(K817&lt;=-설정!$B$8,"저하","정상")))</f>
        <v/>
      </c>
      <c r="M817" s="20"/>
    </row>
    <row r="818" customFormat="false" ht="15" hidden="false" customHeight="false" outlineLevel="0" collapsed="false">
      <c r="A818" s="16"/>
      <c r="B818" s="17"/>
      <c r="C818" s="17"/>
      <c r="D818" s="17"/>
      <c r="E818" s="17"/>
      <c r="F818" s="17"/>
      <c r="G818" s="18" t="str">
        <f aca="false">IF(COUNT(D818:F818)=0,"",MAX(D818:F818))</f>
        <v/>
      </c>
      <c r="H818" s="18" t="str">
        <f aca="false">IF(COUNT(D818:F818)=0,"",ROUND(AVERAGE(D818:F818),1))</f>
        <v/>
      </c>
      <c r="I818" s="18" t="str">
        <f aca="false">IF(H818="","",IF(J818&lt;설정!$B$7,"",ROUND(AVERAGEIFS($H$2:$H$1001,$B$2:$B$1001,B818,$A$2:$A$1001,"&lt;"&amp;A818,$A$2:$A$1001,"&gt;="&amp;(A818-설정!$B$6)),1)))</f>
        <v/>
      </c>
      <c r="J818" s="18" t="str">
        <f aca="false">IF(H818="","",COUNTIFS($B$2:$B$1001,B818,$A$2:$A$1001,"&lt;"&amp;A818,$A$2:$A$1001,"&gt;="&amp;(A818-설정!$B$6),$H$2:$H$1001,"&gt;=0"))</f>
        <v/>
      </c>
      <c r="K818" s="21" t="str">
        <f aca="false">IF(I818="","",H818/I818-1)</f>
        <v/>
      </c>
      <c r="L818" s="19" t="str">
        <f aca="false">IF(H818="","",IF(J818&lt;설정!$B$7,"baseline 수집 중",IF(K818&lt;=-설정!$B$8,"저하","정상")))</f>
        <v/>
      </c>
      <c r="M818" s="20"/>
    </row>
    <row r="819" customFormat="false" ht="15" hidden="false" customHeight="false" outlineLevel="0" collapsed="false">
      <c r="A819" s="16"/>
      <c r="B819" s="17"/>
      <c r="C819" s="17"/>
      <c r="D819" s="17"/>
      <c r="E819" s="17"/>
      <c r="F819" s="17"/>
      <c r="G819" s="18" t="str">
        <f aca="false">IF(COUNT(D819:F819)=0,"",MAX(D819:F819))</f>
        <v/>
      </c>
      <c r="H819" s="18" t="str">
        <f aca="false">IF(COUNT(D819:F819)=0,"",ROUND(AVERAGE(D819:F819),1))</f>
        <v/>
      </c>
      <c r="I819" s="18" t="str">
        <f aca="false">IF(H819="","",IF(J819&lt;설정!$B$7,"",ROUND(AVERAGEIFS($H$2:$H$1001,$B$2:$B$1001,B819,$A$2:$A$1001,"&lt;"&amp;A819,$A$2:$A$1001,"&gt;="&amp;(A819-설정!$B$6)),1)))</f>
        <v/>
      </c>
      <c r="J819" s="18" t="str">
        <f aca="false">IF(H819="","",COUNTIFS($B$2:$B$1001,B819,$A$2:$A$1001,"&lt;"&amp;A819,$A$2:$A$1001,"&gt;="&amp;(A819-설정!$B$6),$H$2:$H$1001,"&gt;=0"))</f>
        <v/>
      </c>
      <c r="K819" s="21" t="str">
        <f aca="false">IF(I819="","",H819/I819-1)</f>
        <v/>
      </c>
      <c r="L819" s="19" t="str">
        <f aca="false">IF(H819="","",IF(J819&lt;설정!$B$7,"baseline 수집 중",IF(K819&lt;=-설정!$B$8,"저하","정상")))</f>
        <v/>
      </c>
      <c r="M819" s="20"/>
    </row>
    <row r="820" customFormat="false" ht="15" hidden="false" customHeight="false" outlineLevel="0" collapsed="false">
      <c r="A820" s="16"/>
      <c r="B820" s="17"/>
      <c r="C820" s="17"/>
      <c r="D820" s="17"/>
      <c r="E820" s="17"/>
      <c r="F820" s="17"/>
      <c r="G820" s="18" t="str">
        <f aca="false">IF(COUNT(D820:F820)=0,"",MAX(D820:F820))</f>
        <v/>
      </c>
      <c r="H820" s="18" t="str">
        <f aca="false">IF(COUNT(D820:F820)=0,"",ROUND(AVERAGE(D820:F820),1))</f>
        <v/>
      </c>
      <c r="I820" s="18" t="str">
        <f aca="false">IF(H820="","",IF(J820&lt;설정!$B$7,"",ROUND(AVERAGEIFS($H$2:$H$1001,$B$2:$B$1001,B820,$A$2:$A$1001,"&lt;"&amp;A820,$A$2:$A$1001,"&gt;="&amp;(A820-설정!$B$6)),1)))</f>
        <v/>
      </c>
      <c r="J820" s="18" t="str">
        <f aca="false">IF(H820="","",COUNTIFS($B$2:$B$1001,B820,$A$2:$A$1001,"&lt;"&amp;A820,$A$2:$A$1001,"&gt;="&amp;(A820-설정!$B$6),$H$2:$H$1001,"&gt;=0"))</f>
        <v/>
      </c>
      <c r="K820" s="21" t="str">
        <f aca="false">IF(I820="","",H820/I820-1)</f>
        <v/>
      </c>
      <c r="L820" s="19" t="str">
        <f aca="false">IF(H820="","",IF(J820&lt;설정!$B$7,"baseline 수집 중",IF(K820&lt;=-설정!$B$8,"저하","정상")))</f>
        <v/>
      </c>
      <c r="M820" s="20"/>
    </row>
    <row r="821" customFormat="false" ht="15" hidden="false" customHeight="false" outlineLevel="0" collapsed="false">
      <c r="A821" s="16"/>
      <c r="B821" s="17"/>
      <c r="C821" s="17"/>
      <c r="D821" s="17"/>
      <c r="E821" s="17"/>
      <c r="F821" s="17"/>
      <c r="G821" s="18" t="str">
        <f aca="false">IF(COUNT(D821:F821)=0,"",MAX(D821:F821))</f>
        <v/>
      </c>
      <c r="H821" s="18" t="str">
        <f aca="false">IF(COUNT(D821:F821)=0,"",ROUND(AVERAGE(D821:F821),1))</f>
        <v/>
      </c>
      <c r="I821" s="18" t="str">
        <f aca="false">IF(H821="","",IF(J821&lt;설정!$B$7,"",ROUND(AVERAGEIFS($H$2:$H$1001,$B$2:$B$1001,B821,$A$2:$A$1001,"&lt;"&amp;A821,$A$2:$A$1001,"&gt;="&amp;(A821-설정!$B$6)),1)))</f>
        <v/>
      </c>
      <c r="J821" s="18" t="str">
        <f aca="false">IF(H821="","",COUNTIFS($B$2:$B$1001,B821,$A$2:$A$1001,"&lt;"&amp;A821,$A$2:$A$1001,"&gt;="&amp;(A821-설정!$B$6),$H$2:$H$1001,"&gt;=0"))</f>
        <v/>
      </c>
      <c r="K821" s="21" t="str">
        <f aca="false">IF(I821="","",H821/I821-1)</f>
        <v/>
      </c>
      <c r="L821" s="19" t="str">
        <f aca="false">IF(H821="","",IF(J821&lt;설정!$B$7,"baseline 수집 중",IF(K821&lt;=-설정!$B$8,"저하","정상")))</f>
        <v/>
      </c>
      <c r="M821" s="20"/>
    </row>
    <row r="822" customFormat="false" ht="15" hidden="false" customHeight="false" outlineLevel="0" collapsed="false">
      <c r="A822" s="16"/>
      <c r="B822" s="17"/>
      <c r="C822" s="17"/>
      <c r="D822" s="17"/>
      <c r="E822" s="17"/>
      <c r="F822" s="17"/>
      <c r="G822" s="18" t="str">
        <f aca="false">IF(COUNT(D822:F822)=0,"",MAX(D822:F822))</f>
        <v/>
      </c>
      <c r="H822" s="18" t="str">
        <f aca="false">IF(COUNT(D822:F822)=0,"",ROUND(AVERAGE(D822:F822),1))</f>
        <v/>
      </c>
      <c r="I822" s="18" t="str">
        <f aca="false">IF(H822="","",IF(J822&lt;설정!$B$7,"",ROUND(AVERAGEIFS($H$2:$H$1001,$B$2:$B$1001,B822,$A$2:$A$1001,"&lt;"&amp;A822,$A$2:$A$1001,"&gt;="&amp;(A822-설정!$B$6)),1)))</f>
        <v/>
      </c>
      <c r="J822" s="18" t="str">
        <f aca="false">IF(H822="","",COUNTIFS($B$2:$B$1001,B822,$A$2:$A$1001,"&lt;"&amp;A822,$A$2:$A$1001,"&gt;="&amp;(A822-설정!$B$6),$H$2:$H$1001,"&gt;=0"))</f>
        <v/>
      </c>
      <c r="K822" s="21" t="str">
        <f aca="false">IF(I822="","",H822/I822-1)</f>
        <v/>
      </c>
      <c r="L822" s="19" t="str">
        <f aca="false">IF(H822="","",IF(J822&lt;설정!$B$7,"baseline 수집 중",IF(K822&lt;=-설정!$B$8,"저하","정상")))</f>
        <v/>
      </c>
      <c r="M822" s="20"/>
    </row>
    <row r="823" customFormat="false" ht="15" hidden="false" customHeight="false" outlineLevel="0" collapsed="false">
      <c r="A823" s="16"/>
      <c r="B823" s="17"/>
      <c r="C823" s="17"/>
      <c r="D823" s="17"/>
      <c r="E823" s="17"/>
      <c r="F823" s="17"/>
      <c r="G823" s="18" t="str">
        <f aca="false">IF(COUNT(D823:F823)=0,"",MAX(D823:F823))</f>
        <v/>
      </c>
      <c r="H823" s="18" t="str">
        <f aca="false">IF(COUNT(D823:F823)=0,"",ROUND(AVERAGE(D823:F823),1))</f>
        <v/>
      </c>
      <c r="I823" s="18" t="str">
        <f aca="false">IF(H823="","",IF(J823&lt;설정!$B$7,"",ROUND(AVERAGEIFS($H$2:$H$1001,$B$2:$B$1001,B823,$A$2:$A$1001,"&lt;"&amp;A823,$A$2:$A$1001,"&gt;="&amp;(A823-설정!$B$6)),1)))</f>
        <v/>
      </c>
      <c r="J823" s="18" t="str">
        <f aca="false">IF(H823="","",COUNTIFS($B$2:$B$1001,B823,$A$2:$A$1001,"&lt;"&amp;A823,$A$2:$A$1001,"&gt;="&amp;(A823-설정!$B$6),$H$2:$H$1001,"&gt;=0"))</f>
        <v/>
      </c>
      <c r="K823" s="21" t="str">
        <f aca="false">IF(I823="","",H823/I823-1)</f>
        <v/>
      </c>
      <c r="L823" s="19" t="str">
        <f aca="false">IF(H823="","",IF(J823&lt;설정!$B$7,"baseline 수집 중",IF(K823&lt;=-설정!$B$8,"저하","정상")))</f>
        <v/>
      </c>
      <c r="M823" s="20"/>
    </row>
    <row r="824" customFormat="false" ht="15" hidden="false" customHeight="false" outlineLevel="0" collapsed="false">
      <c r="A824" s="16"/>
      <c r="B824" s="17"/>
      <c r="C824" s="17"/>
      <c r="D824" s="17"/>
      <c r="E824" s="17"/>
      <c r="F824" s="17"/>
      <c r="G824" s="18" t="str">
        <f aca="false">IF(COUNT(D824:F824)=0,"",MAX(D824:F824))</f>
        <v/>
      </c>
      <c r="H824" s="18" t="str">
        <f aca="false">IF(COUNT(D824:F824)=0,"",ROUND(AVERAGE(D824:F824),1))</f>
        <v/>
      </c>
      <c r="I824" s="18" t="str">
        <f aca="false">IF(H824="","",IF(J824&lt;설정!$B$7,"",ROUND(AVERAGEIFS($H$2:$H$1001,$B$2:$B$1001,B824,$A$2:$A$1001,"&lt;"&amp;A824,$A$2:$A$1001,"&gt;="&amp;(A824-설정!$B$6)),1)))</f>
        <v/>
      </c>
      <c r="J824" s="18" t="str">
        <f aca="false">IF(H824="","",COUNTIFS($B$2:$B$1001,B824,$A$2:$A$1001,"&lt;"&amp;A824,$A$2:$A$1001,"&gt;="&amp;(A824-설정!$B$6),$H$2:$H$1001,"&gt;=0"))</f>
        <v/>
      </c>
      <c r="K824" s="21" t="str">
        <f aca="false">IF(I824="","",H824/I824-1)</f>
        <v/>
      </c>
      <c r="L824" s="19" t="str">
        <f aca="false">IF(H824="","",IF(J824&lt;설정!$B$7,"baseline 수집 중",IF(K824&lt;=-설정!$B$8,"저하","정상")))</f>
        <v/>
      </c>
      <c r="M824" s="20"/>
    </row>
    <row r="825" customFormat="false" ht="15" hidden="false" customHeight="false" outlineLevel="0" collapsed="false">
      <c r="A825" s="16"/>
      <c r="B825" s="17"/>
      <c r="C825" s="17"/>
      <c r="D825" s="17"/>
      <c r="E825" s="17"/>
      <c r="F825" s="17"/>
      <c r="G825" s="18" t="str">
        <f aca="false">IF(COUNT(D825:F825)=0,"",MAX(D825:F825))</f>
        <v/>
      </c>
      <c r="H825" s="18" t="str">
        <f aca="false">IF(COUNT(D825:F825)=0,"",ROUND(AVERAGE(D825:F825),1))</f>
        <v/>
      </c>
      <c r="I825" s="18" t="str">
        <f aca="false">IF(H825="","",IF(J825&lt;설정!$B$7,"",ROUND(AVERAGEIFS($H$2:$H$1001,$B$2:$B$1001,B825,$A$2:$A$1001,"&lt;"&amp;A825,$A$2:$A$1001,"&gt;="&amp;(A825-설정!$B$6)),1)))</f>
        <v/>
      </c>
      <c r="J825" s="18" t="str">
        <f aca="false">IF(H825="","",COUNTIFS($B$2:$B$1001,B825,$A$2:$A$1001,"&lt;"&amp;A825,$A$2:$A$1001,"&gt;="&amp;(A825-설정!$B$6),$H$2:$H$1001,"&gt;=0"))</f>
        <v/>
      </c>
      <c r="K825" s="21" t="str">
        <f aca="false">IF(I825="","",H825/I825-1)</f>
        <v/>
      </c>
      <c r="L825" s="19" t="str">
        <f aca="false">IF(H825="","",IF(J825&lt;설정!$B$7,"baseline 수집 중",IF(K825&lt;=-설정!$B$8,"저하","정상")))</f>
        <v/>
      </c>
      <c r="M825" s="20"/>
    </row>
    <row r="826" customFormat="false" ht="15" hidden="false" customHeight="false" outlineLevel="0" collapsed="false">
      <c r="A826" s="16"/>
      <c r="B826" s="17"/>
      <c r="C826" s="17"/>
      <c r="D826" s="17"/>
      <c r="E826" s="17"/>
      <c r="F826" s="17"/>
      <c r="G826" s="18" t="str">
        <f aca="false">IF(COUNT(D826:F826)=0,"",MAX(D826:F826))</f>
        <v/>
      </c>
      <c r="H826" s="18" t="str">
        <f aca="false">IF(COUNT(D826:F826)=0,"",ROUND(AVERAGE(D826:F826),1))</f>
        <v/>
      </c>
      <c r="I826" s="18" t="str">
        <f aca="false">IF(H826="","",IF(J826&lt;설정!$B$7,"",ROUND(AVERAGEIFS($H$2:$H$1001,$B$2:$B$1001,B826,$A$2:$A$1001,"&lt;"&amp;A826,$A$2:$A$1001,"&gt;="&amp;(A826-설정!$B$6)),1)))</f>
        <v/>
      </c>
      <c r="J826" s="18" t="str">
        <f aca="false">IF(H826="","",COUNTIFS($B$2:$B$1001,B826,$A$2:$A$1001,"&lt;"&amp;A826,$A$2:$A$1001,"&gt;="&amp;(A826-설정!$B$6),$H$2:$H$1001,"&gt;=0"))</f>
        <v/>
      </c>
      <c r="K826" s="21" t="str">
        <f aca="false">IF(I826="","",H826/I826-1)</f>
        <v/>
      </c>
      <c r="L826" s="19" t="str">
        <f aca="false">IF(H826="","",IF(J826&lt;설정!$B$7,"baseline 수집 중",IF(K826&lt;=-설정!$B$8,"저하","정상")))</f>
        <v/>
      </c>
      <c r="M826" s="20"/>
    </row>
    <row r="827" customFormat="false" ht="15" hidden="false" customHeight="false" outlineLevel="0" collapsed="false">
      <c r="A827" s="16"/>
      <c r="B827" s="17"/>
      <c r="C827" s="17"/>
      <c r="D827" s="17"/>
      <c r="E827" s="17"/>
      <c r="F827" s="17"/>
      <c r="G827" s="18" t="str">
        <f aca="false">IF(COUNT(D827:F827)=0,"",MAX(D827:F827))</f>
        <v/>
      </c>
      <c r="H827" s="18" t="str">
        <f aca="false">IF(COUNT(D827:F827)=0,"",ROUND(AVERAGE(D827:F827),1))</f>
        <v/>
      </c>
      <c r="I827" s="18" t="str">
        <f aca="false">IF(H827="","",IF(J827&lt;설정!$B$7,"",ROUND(AVERAGEIFS($H$2:$H$1001,$B$2:$B$1001,B827,$A$2:$A$1001,"&lt;"&amp;A827,$A$2:$A$1001,"&gt;="&amp;(A827-설정!$B$6)),1)))</f>
        <v/>
      </c>
      <c r="J827" s="18" t="str">
        <f aca="false">IF(H827="","",COUNTIFS($B$2:$B$1001,B827,$A$2:$A$1001,"&lt;"&amp;A827,$A$2:$A$1001,"&gt;="&amp;(A827-설정!$B$6),$H$2:$H$1001,"&gt;=0"))</f>
        <v/>
      </c>
      <c r="K827" s="21" t="str">
        <f aca="false">IF(I827="","",H827/I827-1)</f>
        <v/>
      </c>
      <c r="L827" s="19" t="str">
        <f aca="false">IF(H827="","",IF(J827&lt;설정!$B$7,"baseline 수집 중",IF(K827&lt;=-설정!$B$8,"저하","정상")))</f>
        <v/>
      </c>
      <c r="M827" s="20"/>
    </row>
    <row r="828" customFormat="false" ht="15" hidden="false" customHeight="false" outlineLevel="0" collapsed="false">
      <c r="A828" s="16"/>
      <c r="B828" s="17"/>
      <c r="C828" s="17"/>
      <c r="D828" s="17"/>
      <c r="E828" s="17"/>
      <c r="F828" s="17"/>
      <c r="G828" s="18" t="str">
        <f aca="false">IF(COUNT(D828:F828)=0,"",MAX(D828:F828))</f>
        <v/>
      </c>
      <c r="H828" s="18" t="str">
        <f aca="false">IF(COUNT(D828:F828)=0,"",ROUND(AVERAGE(D828:F828),1))</f>
        <v/>
      </c>
      <c r="I828" s="18" t="str">
        <f aca="false">IF(H828="","",IF(J828&lt;설정!$B$7,"",ROUND(AVERAGEIFS($H$2:$H$1001,$B$2:$B$1001,B828,$A$2:$A$1001,"&lt;"&amp;A828,$A$2:$A$1001,"&gt;="&amp;(A828-설정!$B$6)),1)))</f>
        <v/>
      </c>
      <c r="J828" s="18" t="str">
        <f aca="false">IF(H828="","",COUNTIFS($B$2:$B$1001,B828,$A$2:$A$1001,"&lt;"&amp;A828,$A$2:$A$1001,"&gt;="&amp;(A828-설정!$B$6),$H$2:$H$1001,"&gt;=0"))</f>
        <v/>
      </c>
      <c r="K828" s="21" t="str">
        <f aca="false">IF(I828="","",H828/I828-1)</f>
        <v/>
      </c>
      <c r="L828" s="19" t="str">
        <f aca="false">IF(H828="","",IF(J828&lt;설정!$B$7,"baseline 수집 중",IF(K828&lt;=-설정!$B$8,"저하","정상")))</f>
        <v/>
      </c>
      <c r="M828" s="20"/>
    </row>
    <row r="829" customFormat="false" ht="15" hidden="false" customHeight="false" outlineLevel="0" collapsed="false">
      <c r="A829" s="16"/>
      <c r="B829" s="17"/>
      <c r="C829" s="17"/>
      <c r="D829" s="17"/>
      <c r="E829" s="17"/>
      <c r="F829" s="17"/>
      <c r="G829" s="18" t="str">
        <f aca="false">IF(COUNT(D829:F829)=0,"",MAX(D829:F829))</f>
        <v/>
      </c>
      <c r="H829" s="18" t="str">
        <f aca="false">IF(COUNT(D829:F829)=0,"",ROUND(AVERAGE(D829:F829),1))</f>
        <v/>
      </c>
      <c r="I829" s="18" t="str">
        <f aca="false">IF(H829="","",IF(J829&lt;설정!$B$7,"",ROUND(AVERAGEIFS($H$2:$H$1001,$B$2:$B$1001,B829,$A$2:$A$1001,"&lt;"&amp;A829,$A$2:$A$1001,"&gt;="&amp;(A829-설정!$B$6)),1)))</f>
        <v/>
      </c>
      <c r="J829" s="18" t="str">
        <f aca="false">IF(H829="","",COUNTIFS($B$2:$B$1001,B829,$A$2:$A$1001,"&lt;"&amp;A829,$A$2:$A$1001,"&gt;="&amp;(A829-설정!$B$6),$H$2:$H$1001,"&gt;=0"))</f>
        <v/>
      </c>
      <c r="K829" s="21" t="str">
        <f aca="false">IF(I829="","",H829/I829-1)</f>
        <v/>
      </c>
      <c r="L829" s="19" t="str">
        <f aca="false">IF(H829="","",IF(J829&lt;설정!$B$7,"baseline 수집 중",IF(K829&lt;=-설정!$B$8,"저하","정상")))</f>
        <v/>
      </c>
      <c r="M829" s="20"/>
    </row>
    <row r="830" customFormat="false" ht="15" hidden="false" customHeight="false" outlineLevel="0" collapsed="false">
      <c r="A830" s="16"/>
      <c r="B830" s="17"/>
      <c r="C830" s="17"/>
      <c r="D830" s="17"/>
      <c r="E830" s="17"/>
      <c r="F830" s="17"/>
      <c r="G830" s="18" t="str">
        <f aca="false">IF(COUNT(D830:F830)=0,"",MAX(D830:F830))</f>
        <v/>
      </c>
      <c r="H830" s="18" t="str">
        <f aca="false">IF(COUNT(D830:F830)=0,"",ROUND(AVERAGE(D830:F830),1))</f>
        <v/>
      </c>
      <c r="I830" s="18" t="str">
        <f aca="false">IF(H830="","",IF(J830&lt;설정!$B$7,"",ROUND(AVERAGEIFS($H$2:$H$1001,$B$2:$B$1001,B830,$A$2:$A$1001,"&lt;"&amp;A830,$A$2:$A$1001,"&gt;="&amp;(A830-설정!$B$6)),1)))</f>
        <v/>
      </c>
      <c r="J830" s="18" t="str">
        <f aca="false">IF(H830="","",COUNTIFS($B$2:$B$1001,B830,$A$2:$A$1001,"&lt;"&amp;A830,$A$2:$A$1001,"&gt;="&amp;(A830-설정!$B$6),$H$2:$H$1001,"&gt;=0"))</f>
        <v/>
      </c>
      <c r="K830" s="21" t="str">
        <f aca="false">IF(I830="","",H830/I830-1)</f>
        <v/>
      </c>
      <c r="L830" s="19" t="str">
        <f aca="false">IF(H830="","",IF(J830&lt;설정!$B$7,"baseline 수집 중",IF(K830&lt;=-설정!$B$8,"저하","정상")))</f>
        <v/>
      </c>
      <c r="M830" s="20"/>
    </row>
    <row r="831" customFormat="false" ht="15" hidden="false" customHeight="false" outlineLevel="0" collapsed="false">
      <c r="A831" s="16"/>
      <c r="B831" s="17"/>
      <c r="C831" s="17"/>
      <c r="D831" s="17"/>
      <c r="E831" s="17"/>
      <c r="F831" s="17"/>
      <c r="G831" s="18" t="str">
        <f aca="false">IF(COUNT(D831:F831)=0,"",MAX(D831:F831))</f>
        <v/>
      </c>
      <c r="H831" s="18" t="str">
        <f aca="false">IF(COUNT(D831:F831)=0,"",ROUND(AVERAGE(D831:F831),1))</f>
        <v/>
      </c>
      <c r="I831" s="18" t="str">
        <f aca="false">IF(H831="","",IF(J831&lt;설정!$B$7,"",ROUND(AVERAGEIFS($H$2:$H$1001,$B$2:$B$1001,B831,$A$2:$A$1001,"&lt;"&amp;A831,$A$2:$A$1001,"&gt;="&amp;(A831-설정!$B$6)),1)))</f>
        <v/>
      </c>
      <c r="J831" s="18" t="str">
        <f aca="false">IF(H831="","",COUNTIFS($B$2:$B$1001,B831,$A$2:$A$1001,"&lt;"&amp;A831,$A$2:$A$1001,"&gt;="&amp;(A831-설정!$B$6),$H$2:$H$1001,"&gt;=0"))</f>
        <v/>
      </c>
      <c r="K831" s="21" t="str">
        <f aca="false">IF(I831="","",H831/I831-1)</f>
        <v/>
      </c>
      <c r="L831" s="19" t="str">
        <f aca="false">IF(H831="","",IF(J831&lt;설정!$B$7,"baseline 수집 중",IF(K831&lt;=-설정!$B$8,"저하","정상")))</f>
        <v/>
      </c>
      <c r="M831" s="20"/>
    </row>
    <row r="832" customFormat="false" ht="15" hidden="false" customHeight="false" outlineLevel="0" collapsed="false">
      <c r="A832" s="16"/>
      <c r="B832" s="17"/>
      <c r="C832" s="17"/>
      <c r="D832" s="17"/>
      <c r="E832" s="17"/>
      <c r="F832" s="17"/>
      <c r="G832" s="18" t="str">
        <f aca="false">IF(COUNT(D832:F832)=0,"",MAX(D832:F832))</f>
        <v/>
      </c>
      <c r="H832" s="18" t="str">
        <f aca="false">IF(COUNT(D832:F832)=0,"",ROUND(AVERAGE(D832:F832),1))</f>
        <v/>
      </c>
      <c r="I832" s="18" t="str">
        <f aca="false">IF(H832="","",IF(J832&lt;설정!$B$7,"",ROUND(AVERAGEIFS($H$2:$H$1001,$B$2:$B$1001,B832,$A$2:$A$1001,"&lt;"&amp;A832,$A$2:$A$1001,"&gt;="&amp;(A832-설정!$B$6)),1)))</f>
        <v/>
      </c>
      <c r="J832" s="18" t="str">
        <f aca="false">IF(H832="","",COUNTIFS($B$2:$B$1001,B832,$A$2:$A$1001,"&lt;"&amp;A832,$A$2:$A$1001,"&gt;="&amp;(A832-설정!$B$6),$H$2:$H$1001,"&gt;=0"))</f>
        <v/>
      </c>
      <c r="K832" s="21" t="str">
        <f aca="false">IF(I832="","",H832/I832-1)</f>
        <v/>
      </c>
      <c r="L832" s="19" t="str">
        <f aca="false">IF(H832="","",IF(J832&lt;설정!$B$7,"baseline 수집 중",IF(K832&lt;=-설정!$B$8,"저하","정상")))</f>
        <v/>
      </c>
      <c r="M832" s="20"/>
    </row>
    <row r="833" customFormat="false" ht="15" hidden="false" customHeight="false" outlineLevel="0" collapsed="false">
      <c r="A833" s="16"/>
      <c r="B833" s="17"/>
      <c r="C833" s="17"/>
      <c r="D833" s="17"/>
      <c r="E833" s="17"/>
      <c r="F833" s="17"/>
      <c r="G833" s="18" t="str">
        <f aca="false">IF(COUNT(D833:F833)=0,"",MAX(D833:F833))</f>
        <v/>
      </c>
      <c r="H833" s="18" t="str">
        <f aca="false">IF(COUNT(D833:F833)=0,"",ROUND(AVERAGE(D833:F833),1))</f>
        <v/>
      </c>
      <c r="I833" s="18" t="str">
        <f aca="false">IF(H833="","",IF(J833&lt;설정!$B$7,"",ROUND(AVERAGEIFS($H$2:$H$1001,$B$2:$B$1001,B833,$A$2:$A$1001,"&lt;"&amp;A833,$A$2:$A$1001,"&gt;="&amp;(A833-설정!$B$6)),1)))</f>
        <v/>
      </c>
      <c r="J833" s="18" t="str">
        <f aca="false">IF(H833="","",COUNTIFS($B$2:$B$1001,B833,$A$2:$A$1001,"&lt;"&amp;A833,$A$2:$A$1001,"&gt;="&amp;(A833-설정!$B$6),$H$2:$H$1001,"&gt;=0"))</f>
        <v/>
      </c>
      <c r="K833" s="21" t="str">
        <f aca="false">IF(I833="","",H833/I833-1)</f>
        <v/>
      </c>
      <c r="L833" s="19" t="str">
        <f aca="false">IF(H833="","",IF(J833&lt;설정!$B$7,"baseline 수집 중",IF(K833&lt;=-설정!$B$8,"저하","정상")))</f>
        <v/>
      </c>
      <c r="M833" s="20"/>
    </row>
    <row r="834" customFormat="false" ht="15" hidden="false" customHeight="false" outlineLevel="0" collapsed="false">
      <c r="A834" s="16"/>
      <c r="B834" s="17"/>
      <c r="C834" s="17"/>
      <c r="D834" s="17"/>
      <c r="E834" s="17"/>
      <c r="F834" s="17"/>
      <c r="G834" s="18" t="str">
        <f aca="false">IF(COUNT(D834:F834)=0,"",MAX(D834:F834))</f>
        <v/>
      </c>
      <c r="H834" s="18" t="str">
        <f aca="false">IF(COUNT(D834:F834)=0,"",ROUND(AVERAGE(D834:F834),1))</f>
        <v/>
      </c>
      <c r="I834" s="18" t="str">
        <f aca="false">IF(H834="","",IF(J834&lt;설정!$B$7,"",ROUND(AVERAGEIFS($H$2:$H$1001,$B$2:$B$1001,B834,$A$2:$A$1001,"&lt;"&amp;A834,$A$2:$A$1001,"&gt;="&amp;(A834-설정!$B$6)),1)))</f>
        <v/>
      </c>
      <c r="J834" s="18" t="str">
        <f aca="false">IF(H834="","",COUNTIFS($B$2:$B$1001,B834,$A$2:$A$1001,"&lt;"&amp;A834,$A$2:$A$1001,"&gt;="&amp;(A834-설정!$B$6),$H$2:$H$1001,"&gt;=0"))</f>
        <v/>
      </c>
      <c r="K834" s="21" t="str">
        <f aca="false">IF(I834="","",H834/I834-1)</f>
        <v/>
      </c>
      <c r="L834" s="19" t="str">
        <f aca="false">IF(H834="","",IF(J834&lt;설정!$B$7,"baseline 수집 중",IF(K834&lt;=-설정!$B$8,"저하","정상")))</f>
        <v/>
      </c>
      <c r="M834" s="20"/>
    </row>
    <row r="835" customFormat="false" ht="15" hidden="false" customHeight="false" outlineLevel="0" collapsed="false">
      <c r="A835" s="16"/>
      <c r="B835" s="17"/>
      <c r="C835" s="17"/>
      <c r="D835" s="17"/>
      <c r="E835" s="17"/>
      <c r="F835" s="17"/>
      <c r="G835" s="18" t="str">
        <f aca="false">IF(COUNT(D835:F835)=0,"",MAX(D835:F835))</f>
        <v/>
      </c>
      <c r="H835" s="18" t="str">
        <f aca="false">IF(COUNT(D835:F835)=0,"",ROUND(AVERAGE(D835:F835),1))</f>
        <v/>
      </c>
      <c r="I835" s="18" t="str">
        <f aca="false">IF(H835="","",IF(J835&lt;설정!$B$7,"",ROUND(AVERAGEIFS($H$2:$H$1001,$B$2:$B$1001,B835,$A$2:$A$1001,"&lt;"&amp;A835,$A$2:$A$1001,"&gt;="&amp;(A835-설정!$B$6)),1)))</f>
        <v/>
      </c>
      <c r="J835" s="18" t="str">
        <f aca="false">IF(H835="","",COUNTIFS($B$2:$B$1001,B835,$A$2:$A$1001,"&lt;"&amp;A835,$A$2:$A$1001,"&gt;="&amp;(A835-설정!$B$6),$H$2:$H$1001,"&gt;=0"))</f>
        <v/>
      </c>
      <c r="K835" s="21" t="str">
        <f aca="false">IF(I835="","",H835/I835-1)</f>
        <v/>
      </c>
      <c r="L835" s="19" t="str">
        <f aca="false">IF(H835="","",IF(J835&lt;설정!$B$7,"baseline 수집 중",IF(K835&lt;=-설정!$B$8,"저하","정상")))</f>
        <v/>
      </c>
      <c r="M835" s="20"/>
    </row>
    <row r="836" customFormat="false" ht="15" hidden="false" customHeight="false" outlineLevel="0" collapsed="false">
      <c r="A836" s="16"/>
      <c r="B836" s="17"/>
      <c r="C836" s="17"/>
      <c r="D836" s="17"/>
      <c r="E836" s="17"/>
      <c r="F836" s="17"/>
      <c r="G836" s="18" t="str">
        <f aca="false">IF(COUNT(D836:F836)=0,"",MAX(D836:F836))</f>
        <v/>
      </c>
      <c r="H836" s="18" t="str">
        <f aca="false">IF(COUNT(D836:F836)=0,"",ROUND(AVERAGE(D836:F836),1))</f>
        <v/>
      </c>
      <c r="I836" s="18" t="str">
        <f aca="false">IF(H836="","",IF(J836&lt;설정!$B$7,"",ROUND(AVERAGEIFS($H$2:$H$1001,$B$2:$B$1001,B836,$A$2:$A$1001,"&lt;"&amp;A836,$A$2:$A$1001,"&gt;="&amp;(A836-설정!$B$6)),1)))</f>
        <v/>
      </c>
      <c r="J836" s="18" t="str">
        <f aca="false">IF(H836="","",COUNTIFS($B$2:$B$1001,B836,$A$2:$A$1001,"&lt;"&amp;A836,$A$2:$A$1001,"&gt;="&amp;(A836-설정!$B$6),$H$2:$H$1001,"&gt;=0"))</f>
        <v/>
      </c>
      <c r="K836" s="21" t="str">
        <f aca="false">IF(I836="","",H836/I836-1)</f>
        <v/>
      </c>
      <c r="L836" s="19" t="str">
        <f aca="false">IF(H836="","",IF(J836&lt;설정!$B$7,"baseline 수집 중",IF(K836&lt;=-설정!$B$8,"저하","정상")))</f>
        <v/>
      </c>
      <c r="M836" s="20"/>
    </row>
    <row r="837" customFormat="false" ht="15" hidden="false" customHeight="false" outlineLevel="0" collapsed="false">
      <c r="A837" s="16"/>
      <c r="B837" s="17"/>
      <c r="C837" s="17"/>
      <c r="D837" s="17"/>
      <c r="E837" s="17"/>
      <c r="F837" s="17"/>
      <c r="G837" s="18" t="str">
        <f aca="false">IF(COUNT(D837:F837)=0,"",MAX(D837:F837))</f>
        <v/>
      </c>
      <c r="H837" s="18" t="str">
        <f aca="false">IF(COUNT(D837:F837)=0,"",ROUND(AVERAGE(D837:F837),1))</f>
        <v/>
      </c>
      <c r="I837" s="18" t="str">
        <f aca="false">IF(H837="","",IF(J837&lt;설정!$B$7,"",ROUND(AVERAGEIFS($H$2:$H$1001,$B$2:$B$1001,B837,$A$2:$A$1001,"&lt;"&amp;A837,$A$2:$A$1001,"&gt;="&amp;(A837-설정!$B$6)),1)))</f>
        <v/>
      </c>
      <c r="J837" s="18" t="str">
        <f aca="false">IF(H837="","",COUNTIFS($B$2:$B$1001,B837,$A$2:$A$1001,"&lt;"&amp;A837,$A$2:$A$1001,"&gt;="&amp;(A837-설정!$B$6),$H$2:$H$1001,"&gt;=0"))</f>
        <v/>
      </c>
      <c r="K837" s="21" t="str">
        <f aca="false">IF(I837="","",H837/I837-1)</f>
        <v/>
      </c>
      <c r="L837" s="19" t="str">
        <f aca="false">IF(H837="","",IF(J837&lt;설정!$B$7,"baseline 수집 중",IF(K837&lt;=-설정!$B$8,"저하","정상")))</f>
        <v/>
      </c>
      <c r="M837" s="20"/>
    </row>
    <row r="838" customFormat="false" ht="15" hidden="false" customHeight="false" outlineLevel="0" collapsed="false">
      <c r="A838" s="16"/>
      <c r="B838" s="17"/>
      <c r="C838" s="17"/>
      <c r="D838" s="17"/>
      <c r="E838" s="17"/>
      <c r="F838" s="17"/>
      <c r="G838" s="18" t="str">
        <f aca="false">IF(COUNT(D838:F838)=0,"",MAX(D838:F838))</f>
        <v/>
      </c>
      <c r="H838" s="18" t="str">
        <f aca="false">IF(COUNT(D838:F838)=0,"",ROUND(AVERAGE(D838:F838),1))</f>
        <v/>
      </c>
      <c r="I838" s="18" t="str">
        <f aca="false">IF(H838="","",IF(J838&lt;설정!$B$7,"",ROUND(AVERAGEIFS($H$2:$H$1001,$B$2:$B$1001,B838,$A$2:$A$1001,"&lt;"&amp;A838,$A$2:$A$1001,"&gt;="&amp;(A838-설정!$B$6)),1)))</f>
        <v/>
      </c>
      <c r="J838" s="18" t="str">
        <f aca="false">IF(H838="","",COUNTIFS($B$2:$B$1001,B838,$A$2:$A$1001,"&lt;"&amp;A838,$A$2:$A$1001,"&gt;="&amp;(A838-설정!$B$6),$H$2:$H$1001,"&gt;=0"))</f>
        <v/>
      </c>
      <c r="K838" s="21" t="str">
        <f aca="false">IF(I838="","",H838/I838-1)</f>
        <v/>
      </c>
      <c r="L838" s="19" t="str">
        <f aca="false">IF(H838="","",IF(J838&lt;설정!$B$7,"baseline 수집 중",IF(K838&lt;=-설정!$B$8,"저하","정상")))</f>
        <v/>
      </c>
      <c r="M838" s="20"/>
    </row>
    <row r="839" customFormat="false" ht="15" hidden="false" customHeight="false" outlineLevel="0" collapsed="false">
      <c r="A839" s="16"/>
      <c r="B839" s="17"/>
      <c r="C839" s="17"/>
      <c r="D839" s="17"/>
      <c r="E839" s="17"/>
      <c r="F839" s="17"/>
      <c r="G839" s="18" t="str">
        <f aca="false">IF(COUNT(D839:F839)=0,"",MAX(D839:F839))</f>
        <v/>
      </c>
      <c r="H839" s="18" t="str">
        <f aca="false">IF(COUNT(D839:F839)=0,"",ROUND(AVERAGE(D839:F839),1))</f>
        <v/>
      </c>
      <c r="I839" s="18" t="str">
        <f aca="false">IF(H839="","",IF(J839&lt;설정!$B$7,"",ROUND(AVERAGEIFS($H$2:$H$1001,$B$2:$B$1001,B839,$A$2:$A$1001,"&lt;"&amp;A839,$A$2:$A$1001,"&gt;="&amp;(A839-설정!$B$6)),1)))</f>
        <v/>
      </c>
      <c r="J839" s="18" t="str">
        <f aca="false">IF(H839="","",COUNTIFS($B$2:$B$1001,B839,$A$2:$A$1001,"&lt;"&amp;A839,$A$2:$A$1001,"&gt;="&amp;(A839-설정!$B$6),$H$2:$H$1001,"&gt;=0"))</f>
        <v/>
      </c>
      <c r="K839" s="21" t="str">
        <f aca="false">IF(I839="","",H839/I839-1)</f>
        <v/>
      </c>
      <c r="L839" s="19" t="str">
        <f aca="false">IF(H839="","",IF(J839&lt;설정!$B$7,"baseline 수집 중",IF(K839&lt;=-설정!$B$8,"저하","정상")))</f>
        <v/>
      </c>
      <c r="M839" s="20"/>
    </row>
    <row r="840" customFormat="false" ht="15" hidden="false" customHeight="false" outlineLevel="0" collapsed="false">
      <c r="A840" s="16"/>
      <c r="B840" s="17"/>
      <c r="C840" s="17"/>
      <c r="D840" s="17"/>
      <c r="E840" s="17"/>
      <c r="F840" s="17"/>
      <c r="G840" s="18" t="str">
        <f aca="false">IF(COUNT(D840:F840)=0,"",MAX(D840:F840))</f>
        <v/>
      </c>
      <c r="H840" s="18" t="str">
        <f aca="false">IF(COUNT(D840:F840)=0,"",ROUND(AVERAGE(D840:F840),1))</f>
        <v/>
      </c>
      <c r="I840" s="18" t="str">
        <f aca="false">IF(H840="","",IF(J840&lt;설정!$B$7,"",ROUND(AVERAGEIFS($H$2:$H$1001,$B$2:$B$1001,B840,$A$2:$A$1001,"&lt;"&amp;A840,$A$2:$A$1001,"&gt;="&amp;(A840-설정!$B$6)),1)))</f>
        <v/>
      </c>
      <c r="J840" s="18" t="str">
        <f aca="false">IF(H840="","",COUNTIFS($B$2:$B$1001,B840,$A$2:$A$1001,"&lt;"&amp;A840,$A$2:$A$1001,"&gt;="&amp;(A840-설정!$B$6),$H$2:$H$1001,"&gt;=0"))</f>
        <v/>
      </c>
      <c r="K840" s="21" t="str">
        <f aca="false">IF(I840="","",H840/I840-1)</f>
        <v/>
      </c>
      <c r="L840" s="19" t="str">
        <f aca="false">IF(H840="","",IF(J840&lt;설정!$B$7,"baseline 수집 중",IF(K840&lt;=-설정!$B$8,"저하","정상")))</f>
        <v/>
      </c>
      <c r="M840" s="20"/>
    </row>
    <row r="841" customFormat="false" ht="15" hidden="false" customHeight="false" outlineLevel="0" collapsed="false">
      <c r="A841" s="16"/>
      <c r="B841" s="17"/>
      <c r="C841" s="17"/>
      <c r="D841" s="17"/>
      <c r="E841" s="17"/>
      <c r="F841" s="17"/>
      <c r="G841" s="18" t="str">
        <f aca="false">IF(COUNT(D841:F841)=0,"",MAX(D841:F841))</f>
        <v/>
      </c>
      <c r="H841" s="18" t="str">
        <f aca="false">IF(COUNT(D841:F841)=0,"",ROUND(AVERAGE(D841:F841),1))</f>
        <v/>
      </c>
      <c r="I841" s="18" t="str">
        <f aca="false">IF(H841="","",IF(J841&lt;설정!$B$7,"",ROUND(AVERAGEIFS($H$2:$H$1001,$B$2:$B$1001,B841,$A$2:$A$1001,"&lt;"&amp;A841,$A$2:$A$1001,"&gt;="&amp;(A841-설정!$B$6)),1)))</f>
        <v/>
      </c>
      <c r="J841" s="18" t="str">
        <f aca="false">IF(H841="","",COUNTIFS($B$2:$B$1001,B841,$A$2:$A$1001,"&lt;"&amp;A841,$A$2:$A$1001,"&gt;="&amp;(A841-설정!$B$6),$H$2:$H$1001,"&gt;=0"))</f>
        <v/>
      </c>
      <c r="K841" s="21" t="str">
        <f aca="false">IF(I841="","",H841/I841-1)</f>
        <v/>
      </c>
      <c r="L841" s="19" t="str">
        <f aca="false">IF(H841="","",IF(J841&lt;설정!$B$7,"baseline 수집 중",IF(K841&lt;=-설정!$B$8,"저하","정상")))</f>
        <v/>
      </c>
      <c r="M841" s="20"/>
    </row>
    <row r="842" customFormat="false" ht="15" hidden="false" customHeight="false" outlineLevel="0" collapsed="false">
      <c r="A842" s="16"/>
      <c r="B842" s="17"/>
      <c r="C842" s="17"/>
      <c r="D842" s="17"/>
      <c r="E842" s="17"/>
      <c r="F842" s="17"/>
      <c r="G842" s="18" t="str">
        <f aca="false">IF(COUNT(D842:F842)=0,"",MAX(D842:F842))</f>
        <v/>
      </c>
      <c r="H842" s="18" t="str">
        <f aca="false">IF(COUNT(D842:F842)=0,"",ROUND(AVERAGE(D842:F842),1))</f>
        <v/>
      </c>
      <c r="I842" s="18" t="str">
        <f aca="false">IF(H842="","",IF(J842&lt;설정!$B$7,"",ROUND(AVERAGEIFS($H$2:$H$1001,$B$2:$B$1001,B842,$A$2:$A$1001,"&lt;"&amp;A842,$A$2:$A$1001,"&gt;="&amp;(A842-설정!$B$6)),1)))</f>
        <v/>
      </c>
      <c r="J842" s="18" t="str">
        <f aca="false">IF(H842="","",COUNTIFS($B$2:$B$1001,B842,$A$2:$A$1001,"&lt;"&amp;A842,$A$2:$A$1001,"&gt;="&amp;(A842-설정!$B$6),$H$2:$H$1001,"&gt;=0"))</f>
        <v/>
      </c>
      <c r="K842" s="21" t="str">
        <f aca="false">IF(I842="","",H842/I842-1)</f>
        <v/>
      </c>
      <c r="L842" s="19" t="str">
        <f aca="false">IF(H842="","",IF(J842&lt;설정!$B$7,"baseline 수집 중",IF(K842&lt;=-설정!$B$8,"저하","정상")))</f>
        <v/>
      </c>
      <c r="M842" s="20"/>
    </row>
    <row r="843" customFormat="false" ht="15" hidden="false" customHeight="false" outlineLevel="0" collapsed="false">
      <c r="A843" s="16"/>
      <c r="B843" s="17"/>
      <c r="C843" s="17"/>
      <c r="D843" s="17"/>
      <c r="E843" s="17"/>
      <c r="F843" s="17"/>
      <c r="G843" s="18" t="str">
        <f aca="false">IF(COUNT(D843:F843)=0,"",MAX(D843:F843))</f>
        <v/>
      </c>
      <c r="H843" s="18" t="str">
        <f aca="false">IF(COUNT(D843:F843)=0,"",ROUND(AVERAGE(D843:F843),1))</f>
        <v/>
      </c>
      <c r="I843" s="18" t="str">
        <f aca="false">IF(H843="","",IF(J843&lt;설정!$B$7,"",ROUND(AVERAGEIFS($H$2:$H$1001,$B$2:$B$1001,B843,$A$2:$A$1001,"&lt;"&amp;A843,$A$2:$A$1001,"&gt;="&amp;(A843-설정!$B$6)),1)))</f>
        <v/>
      </c>
      <c r="J843" s="18" t="str">
        <f aca="false">IF(H843="","",COUNTIFS($B$2:$B$1001,B843,$A$2:$A$1001,"&lt;"&amp;A843,$A$2:$A$1001,"&gt;="&amp;(A843-설정!$B$6),$H$2:$H$1001,"&gt;=0"))</f>
        <v/>
      </c>
      <c r="K843" s="21" t="str">
        <f aca="false">IF(I843="","",H843/I843-1)</f>
        <v/>
      </c>
      <c r="L843" s="19" t="str">
        <f aca="false">IF(H843="","",IF(J843&lt;설정!$B$7,"baseline 수집 중",IF(K843&lt;=-설정!$B$8,"저하","정상")))</f>
        <v/>
      </c>
      <c r="M843" s="20"/>
    </row>
    <row r="844" customFormat="false" ht="15" hidden="false" customHeight="false" outlineLevel="0" collapsed="false">
      <c r="A844" s="16"/>
      <c r="B844" s="17"/>
      <c r="C844" s="17"/>
      <c r="D844" s="17"/>
      <c r="E844" s="17"/>
      <c r="F844" s="17"/>
      <c r="G844" s="18" t="str">
        <f aca="false">IF(COUNT(D844:F844)=0,"",MAX(D844:F844))</f>
        <v/>
      </c>
      <c r="H844" s="18" t="str">
        <f aca="false">IF(COUNT(D844:F844)=0,"",ROUND(AVERAGE(D844:F844),1))</f>
        <v/>
      </c>
      <c r="I844" s="18" t="str">
        <f aca="false">IF(H844="","",IF(J844&lt;설정!$B$7,"",ROUND(AVERAGEIFS($H$2:$H$1001,$B$2:$B$1001,B844,$A$2:$A$1001,"&lt;"&amp;A844,$A$2:$A$1001,"&gt;="&amp;(A844-설정!$B$6)),1)))</f>
        <v/>
      </c>
      <c r="J844" s="18" t="str">
        <f aca="false">IF(H844="","",COUNTIFS($B$2:$B$1001,B844,$A$2:$A$1001,"&lt;"&amp;A844,$A$2:$A$1001,"&gt;="&amp;(A844-설정!$B$6),$H$2:$H$1001,"&gt;=0"))</f>
        <v/>
      </c>
      <c r="K844" s="21" t="str">
        <f aca="false">IF(I844="","",H844/I844-1)</f>
        <v/>
      </c>
      <c r="L844" s="19" t="str">
        <f aca="false">IF(H844="","",IF(J844&lt;설정!$B$7,"baseline 수집 중",IF(K844&lt;=-설정!$B$8,"저하","정상")))</f>
        <v/>
      </c>
      <c r="M844" s="20"/>
    </row>
    <row r="845" customFormat="false" ht="15" hidden="false" customHeight="false" outlineLevel="0" collapsed="false">
      <c r="A845" s="16"/>
      <c r="B845" s="17"/>
      <c r="C845" s="17"/>
      <c r="D845" s="17"/>
      <c r="E845" s="17"/>
      <c r="F845" s="17"/>
      <c r="G845" s="18" t="str">
        <f aca="false">IF(COUNT(D845:F845)=0,"",MAX(D845:F845))</f>
        <v/>
      </c>
      <c r="H845" s="18" t="str">
        <f aca="false">IF(COUNT(D845:F845)=0,"",ROUND(AVERAGE(D845:F845),1))</f>
        <v/>
      </c>
      <c r="I845" s="18" t="str">
        <f aca="false">IF(H845="","",IF(J845&lt;설정!$B$7,"",ROUND(AVERAGEIFS($H$2:$H$1001,$B$2:$B$1001,B845,$A$2:$A$1001,"&lt;"&amp;A845,$A$2:$A$1001,"&gt;="&amp;(A845-설정!$B$6)),1)))</f>
        <v/>
      </c>
      <c r="J845" s="18" t="str">
        <f aca="false">IF(H845="","",COUNTIFS($B$2:$B$1001,B845,$A$2:$A$1001,"&lt;"&amp;A845,$A$2:$A$1001,"&gt;="&amp;(A845-설정!$B$6),$H$2:$H$1001,"&gt;=0"))</f>
        <v/>
      </c>
      <c r="K845" s="21" t="str">
        <f aca="false">IF(I845="","",H845/I845-1)</f>
        <v/>
      </c>
      <c r="L845" s="19" t="str">
        <f aca="false">IF(H845="","",IF(J845&lt;설정!$B$7,"baseline 수집 중",IF(K845&lt;=-설정!$B$8,"저하","정상")))</f>
        <v/>
      </c>
      <c r="M845" s="20"/>
    </row>
    <row r="846" customFormat="false" ht="15" hidden="false" customHeight="false" outlineLevel="0" collapsed="false">
      <c r="A846" s="16"/>
      <c r="B846" s="17"/>
      <c r="C846" s="17"/>
      <c r="D846" s="17"/>
      <c r="E846" s="17"/>
      <c r="F846" s="17"/>
      <c r="G846" s="18" t="str">
        <f aca="false">IF(COUNT(D846:F846)=0,"",MAX(D846:F846))</f>
        <v/>
      </c>
      <c r="H846" s="18" t="str">
        <f aca="false">IF(COUNT(D846:F846)=0,"",ROUND(AVERAGE(D846:F846),1))</f>
        <v/>
      </c>
      <c r="I846" s="18" t="str">
        <f aca="false">IF(H846="","",IF(J846&lt;설정!$B$7,"",ROUND(AVERAGEIFS($H$2:$H$1001,$B$2:$B$1001,B846,$A$2:$A$1001,"&lt;"&amp;A846,$A$2:$A$1001,"&gt;="&amp;(A846-설정!$B$6)),1)))</f>
        <v/>
      </c>
      <c r="J846" s="18" t="str">
        <f aca="false">IF(H846="","",COUNTIFS($B$2:$B$1001,B846,$A$2:$A$1001,"&lt;"&amp;A846,$A$2:$A$1001,"&gt;="&amp;(A846-설정!$B$6),$H$2:$H$1001,"&gt;=0"))</f>
        <v/>
      </c>
      <c r="K846" s="21" t="str">
        <f aca="false">IF(I846="","",H846/I846-1)</f>
        <v/>
      </c>
      <c r="L846" s="19" t="str">
        <f aca="false">IF(H846="","",IF(J846&lt;설정!$B$7,"baseline 수집 중",IF(K846&lt;=-설정!$B$8,"저하","정상")))</f>
        <v/>
      </c>
      <c r="M846" s="20"/>
    </row>
    <row r="847" customFormat="false" ht="15" hidden="false" customHeight="false" outlineLevel="0" collapsed="false">
      <c r="A847" s="16"/>
      <c r="B847" s="17"/>
      <c r="C847" s="17"/>
      <c r="D847" s="17"/>
      <c r="E847" s="17"/>
      <c r="F847" s="17"/>
      <c r="G847" s="18" t="str">
        <f aca="false">IF(COUNT(D847:F847)=0,"",MAX(D847:F847))</f>
        <v/>
      </c>
      <c r="H847" s="18" t="str">
        <f aca="false">IF(COUNT(D847:F847)=0,"",ROUND(AVERAGE(D847:F847),1))</f>
        <v/>
      </c>
      <c r="I847" s="18" t="str">
        <f aca="false">IF(H847="","",IF(J847&lt;설정!$B$7,"",ROUND(AVERAGEIFS($H$2:$H$1001,$B$2:$B$1001,B847,$A$2:$A$1001,"&lt;"&amp;A847,$A$2:$A$1001,"&gt;="&amp;(A847-설정!$B$6)),1)))</f>
        <v/>
      </c>
      <c r="J847" s="18" t="str">
        <f aca="false">IF(H847="","",COUNTIFS($B$2:$B$1001,B847,$A$2:$A$1001,"&lt;"&amp;A847,$A$2:$A$1001,"&gt;="&amp;(A847-설정!$B$6),$H$2:$H$1001,"&gt;=0"))</f>
        <v/>
      </c>
      <c r="K847" s="21" t="str">
        <f aca="false">IF(I847="","",H847/I847-1)</f>
        <v/>
      </c>
      <c r="L847" s="19" t="str">
        <f aca="false">IF(H847="","",IF(J847&lt;설정!$B$7,"baseline 수집 중",IF(K847&lt;=-설정!$B$8,"저하","정상")))</f>
        <v/>
      </c>
      <c r="M847" s="20"/>
    </row>
    <row r="848" customFormat="false" ht="15" hidden="false" customHeight="false" outlineLevel="0" collapsed="false">
      <c r="A848" s="16"/>
      <c r="B848" s="17"/>
      <c r="C848" s="17"/>
      <c r="D848" s="17"/>
      <c r="E848" s="17"/>
      <c r="F848" s="17"/>
      <c r="G848" s="18" t="str">
        <f aca="false">IF(COUNT(D848:F848)=0,"",MAX(D848:F848))</f>
        <v/>
      </c>
      <c r="H848" s="18" t="str">
        <f aca="false">IF(COUNT(D848:F848)=0,"",ROUND(AVERAGE(D848:F848),1))</f>
        <v/>
      </c>
      <c r="I848" s="18" t="str">
        <f aca="false">IF(H848="","",IF(J848&lt;설정!$B$7,"",ROUND(AVERAGEIFS($H$2:$H$1001,$B$2:$B$1001,B848,$A$2:$A$1001,"&lt;"&amp;A848,$A$2:$A$1001,"&gt;="&amp;(A848-설정!$B$6)),1)))</f>
        <v/>
      </c>
      <c r="J848" s="18" t="str">
        <f aca="false">IF(H848="","",COUNTIFS($B$2:$B$1001,B848,$A$2:$A$1001,"&lt;"&amp;A848,$A$2:$A$1001,"&gt;="&amp;(A848-설정!$B$6),$H$2:$H$1001,"&gt;=0"))</f>
        <v/>
      </c>
      <c r="K848" s="21" t="str">
        <f aca="false">IF(I848="","",H848/I848-1)</f>
        <v/>
      </c>
      <c r="L848" s="19" t="str">
        <f aca="false">IF(H848="","",IF(J848&lt;설정!$B$7,"baseline 수집 중",IF(K848&lt;=-설정!$B$8,"저하","정상")))</f>
        <v/>
      </c>
      <c r="M848" s="20"/>
    </row>
    <row r="849" customFormat="false" ht="15" hidden="false" customHeight="false" outlineLevel="0" collapsed="false">
      <c r="A849" s="16"/>
      <c r="B849" s="17"/>
      <c r="C849" s="17"/>
      <c r="D849" s="17"/>
      <c r="E849" s="17"/>
      <c r="F849" s="17"/>
      <c r="G849" s="18" t="str">
        <f aca="false">IF(COUNT(D849:F849)=0,"",MAX(D849:F849))</f>
        <v/>
      </c>
      <c r="H849" s="18" t="str">
        <f aca="false">IF(COUNT(D849:F849)=0,"",ROUND(AVERAGE(D849:F849),1))</f>
        <v/>
      </c>
      <c r="I849" s="18" t="str">
        <f aca="false">IF(H849="","",IF(J849&lt;설정!$B$7,"",ROUND(AVERAGEIFS($H$2:$H$1001,$B$2:$B$1001,B849,$A$2:$A$1001,"&lt;"&amp;A849,$A$2:$A$1001,"&gt;="&amp;(A849-설정!$B$6)),1)))</f>
        <v/>
      </c>
      <c r="J849" s="18" t="str">
        <f aca="false">IF(H849="","",COUNTIFS($B$2:$B$1001,B849,$A$2:$A$1001,"&lt;"&amp;A849,$A$2:$A$1001,"&gt;="&amp;(A849-설정!$B$6),$H$2:$H$1001,"&gt;=0"))</f>
        <v/>
      </c>
      <c r="K849" s="21" t="str">
        <f aca="false">IF(I849="","",H849/I849-1)</f>
        <v/>
      </c>
      <c r="L849" s="19" t="str">
        <f aca="false">IF(H849="","",IF(J849&lt;설정!$B$7,"baseline 수집 중",IF(K849&lt;=-설정!$B$8,"저하","정상")))</f>
        <v/>
      </c>
      <c r="M849" s="20"/>
    </row>
    <row r="850" customFormat="false" ht="15" hidden="false" customHeight="false" outlineLevel="0" collapsed="false">
      <c r="A850" s="16"/>
      <c r="B850" s="17"/>
      <c r="C850" s="17"/>
      <c r="D850" s="17"/>
      <c r="E850" s="17"/>
      <c r="F850" s="17"/>
      <c r="G850" s="18" t="str">
        <f aca="false">IF(COUNT(D850:F850)=0,"",MAX(D850:F850))</f>
        <v/>
      </c>
      <c r="H850" s="18" t="str">
        <f aca="false">IF(COUNT(D850:F850)=0,"",ROUND(AVERAGE(D850:F850),1))</f>
        <v/>
      </c>
      <c r="I850" s="18" t="str">
        <f aca="false">IF(H850="","",IF(J850&lt;설정!$B$7,"",ROUND(AVERAGEIFS($H$2:$H$1001,$B$2:$B$1001,B850,$A$2:$A$1001,"&lt;"&amp;A850,$A$2:$A$1001,"&gt;="&amp;(A850-설정!$B$6)),1)))</f>
        <v/>
      </c>
      <c r="J850" s="18" t="str">
        <f aca="false">IF(H850="","",COUNTIFS($B$2:$B$1001,B850,$A$2:$A$1001,"&lt;"&amp;A850,$A$2:$A$1001,"&gt;="&amp;(A850-설정!$B$6),$H$2:$H$1001,"&gt;=0"))</f>
        <v/>
      </c>
      <c r="K850" s="21" t="str">
        <f aca="false">IF(I850="","",H850/I850-1)</f>
        <v/>
      </c>
      <c r="L850" s="19" t="str">
        <f aca="false">IF(H850="","",IF(J850&lt;설정!$B$7,"baseline 수집 중",IF(K850&lt;=-설정!$B$8,"저하","정상")))</f>
        <v/>
      </c>
      <c r="M850" s="20"/>
    </row>
    <row r="851" customFormat="false" ht="15" hidden="false" customHeight="false" outlineLevel="0" collapsed="false">
      <c r="A851" s="16"/>
      <c r="B851" s="17"/>
      <c r="C851" s="17"/>
      <c r="D851" s="17"/>
      <c r="E851" s="17"/>
      <c r="F851" s="17"/>
      <c r="G851" s="18" t="str">
        <f aca="false">IF(COUNT(D851:F851)=0,"",MAX(D851:F851))</f>
        <v/>
      </c>
      <c r="H851" s="18" t="str">
        <f aca="false">IF(COUNT(D851:F851)=0,"",ROUND(AVERAGE(D851:F851),1))</f>
        <v/>
      </c>
      <c r="I851" s="18" t="str">
        <f aca="false">IF(H851="","",IF(J851&lt;설정!$B$7,"",ROUND(AVERAGEIFS($H$2:$H$1001,$B$2:$B$1001,B851,$A$2:$A$1001,"&lt;"&amp;A851,$A$2:$A$1001,"&gt;="&amp;(A851-설정!$B$6)),1)))</f>
        <v/>
      </c>
      <c r="J851" s="18" t="str">
        <f aca="false">IF(H851="","",COUNTIFS($B$2:$B$1001,B851,$A$2:$A$1001,"&lt;"&amp;A851,$A$2:$A$1001,"&gt;="&amp;(A851-설정!$B$6),$H$2:$H$1001,"&gt;=0"))</f>
        <v/>
      </c>
      <c r="K851" s="21" t="str">
        <f aca="false">IF(I851="","",H851/I851-1)</f>
        <v/>
      </c>
      <c r="L851" s="19" t="str">
        <f aca="false">IF(H851="","",IF(J851&lt;설정!$B$7,"baseline 수집 중",IF(K851&lt;=-설정!$B$8,"저하","정상")))</f>
        <v/>
      </c>
      <c r="M851" s="20"/>
    </row>
    <row r="852" customFormat="false" ht="15" hidden="false" customHeight="false" outlineLevel="0" collapsed="false">
      <c r="A852" s="16"/>
      <c r="B852" s="17"/>
      <c r="C852" s="17"/>
      <c r="D852" s="17"/>
      <c r="E852" s="17"/>
      <c r="F852" s="17"/>
      <c r="G852" s="18" t="str">
        <f aca="false">IF(COUNT(D852:F852)=0,"",MAX(D852:F852))</f>
        <v/>
      </c>
      <c r="H852" s="18" t="str">
        <f aca="false">IF(COUNT(D852:F852)=0,"",ROUND(AVERAGE(D852:F852),1))</f>
        <v/>
      </c>
      <c r="I852" s="18" t="str">
        <f aca="false">IF(H852="","",IF(J852&lt;설정!$B$7,"",ROUND(AVERAGEIFS($H$2:$H$1001,$B$2:$B$1001,B852,$A$2:$A$1001,"&lt;"&amp;A852,$A$2:$A$1001,"&gt;="&amp;(A852-설정!$B$6)),1)))</f>
        <v/>
      </c>
      <c r="J852" s="18" t="str">
        <f aca="false">IF(H852="","",COUNTIFS($B$2:$B$1001,B852,$A$2:$A$1001,"&lt;"&amp;A852,$A$2:$A$1001,"&gt;="&amp;(A852-설정!$B$6),$H$2:$H$1001,"&gt;=0"))</f>
        <v/>
      </c>
      <c r="K852" s="21" t="str">
        <f aca="false">IF(I852="","",H852/I852-1)</f>
        <v/>
      </c>
      <c r="L852" s="19" t="str">
        <f aca="false">IF(H852="","",IF(J852&lt;설정!$B$7,"baseline 수집 중",IF(K852&lt;=-설정!$B$8,"저하","정상")))</f>
        <v/>
      </c>
      <c r="M852" s="20"/>
    </row>
    <row r="853" customFormat="false" ht="15" hidden="false" customHeight="false" outlineLevel="0" collapsed="false">
      <c r="A853" s="16"/>
      <c r="B853" s="17"/>
      <c r="C853" s="17"/>
      <c r="D853" s="17"/>
      <c r="E853" s="17"/>
      <c r="F853" s="17"/>
      <c r="G853" s="18" t="str">
        <f aca="false">IF(COUNT(D853:F853)=0,"",MAX(D853:F853))</f>
        <v/>
      </c>
      <c r="H853" s="18" t="str">
        <f aca="false">IF(COUNT(D853:F853)=0,"",ROUND(AVERAGE(D853:F853),1))</f>
        <v/>
      </c>
      <c r="I853" s="18" t="str">
        <f aca="false">IF(H853="","",IF(J853&lt;설정!$B$7,"",ROUND(AVERAGEIFS($H$2:$H$1001,$B$2:$B$1001,B853,$A$2:$A$1001,"&lt;"&amp;A853,$A$2:$A$1001,"&gt;="&amp;(A853-설정!$B$6)),1)))</f>
        <v/>
      </c>
      <c r="J853" s="18" t="str">
        <f aca="false">IF(H853="","",COUNTIFS($B$2:$B$1001,B853,$A$2:$A$1001,"&lt;"&amp;A853,$A$2:$A$1001,"&gt;="&amp;(A853-설정!$B$6),$H$2:$H$1001,"&gt;=0"))</f>
        <v/>
      </c>
      <c r="K853" s="21" t="str">
        <f aca="false">IF(I853="","",H853/I853-1)</f>
        <v/>
      </c>
      <c r="L853" s="19" t="str">
        <f aca="false">IF(H853="","",IF(J853&lt;설정!$B$7,"baseline 수집 중",IF(K853&lt;=-설정!$B$8,"저하","정상")))</f>
        <v/>
      </c>
      <c r="M853" s="20"/>
    </row>
    <row r="854" customFormat="false" ht="15" hidden="false" customHeight="false" outlineLevel="0" collapsed="false">
      <c r="A854" s="16"/>
      <c r="B854" s="17"/>
      <c r="C854" s="17"/>
      <c r="D854" s="17"/>
      <c r="E854" s="17"/>
      <c r="F854" s="17"/>
      <c r="G854" s="18" t="str">
        <f aca="false">IF(COUNT(D854:F854)=0,"",MAX(D854:F854))</f>
        <v/>
      </c>
      <c r="H854" s="18" t="str">
        <f aca="false">IF(COUNT(D854:F854)=0,"",ROUND(AVERAGE(D854:F854),1))</f>
        <v/>
      </c>
      <c r="I854" s="18" t="str">
        <f aca="false">IF(H854="","",IF(J854&lt;설정!$B$7,"",ROUND(AVERAGEIFS($H$2:$H$1001,$B$2:$B$1001,B854,$A$2:$A$1001,"&lt;"&amp;A854,$A$2:$A$1001,"&gt;="&amp;(A854-설정!$B$6)),1)))</f>
        <v/>
      </c>
      <c r="J854" s="18" t="str">
        <f aca="false">IF(H854="","",COUNTIFS($B$2:$B$1001,B854,$A$2:$A$1001,"&lt;"&amp;A854,$A$2:$A$1001,"&gt;="&amp;(A854-설정!$B$6),$H$2:$H$1001,"&gt;=0"))</f>
        <v/>
      </c>
      <c r="K854" s="21" t="str">
        <f aca="false">IF(I854="","",H854/I854-1)</f>
        <v/>
      </c>
      <c r="L854" s="19" t="str">
        <f aca="false">IF(H854="","",IF(J854&lt;설정!$B$7,"baseline 수집 중",IF(K854&lt;=-설정!$B$8,"저하","정상")))</f>
        <v/>
      </c>
      <c r="M854" s="20"/>
    </row>
    <row r="855" customFormat="false" ht="15" hidden="false" customHeight="false" outlineLevel="0" collapsed="false">
      <c r="A855" s="16"/>
      <c r="B855" s="17"/>
      <c r="C855" s="17"/>
      <c r="D855" s="17"/>
      <c r="E855" s="17"/>
      <c r="F855" s="17"/>
      <c r="G855" s="18" t="str">
        <f aca="false">IF(COUNT(D855:F855)=0,"",MAX(D855:F855))</f>
        <v/>
      </c>
      <c r="H855" s="18" t="str">
        <f aca="false">IF(COUNT(D855:F855)=0,"",ROUND(AVERAGE(D855:F855),1))</f>
        <v/>
      </c>
      <c r="I855" s="18" t="str">
        <f aca="false">IF(H855="","",IF(J855&lt;설정!$B$7,"",ROUND(AVERAGEIFS($H$2:$H$1001,$B$2:$B$1001,B855,$A$2:$A$1001,"&lt;"&amp;A855,$A$2:$A$1001,"&gt;="&amp;(A855-설정!$B$6)),1)))</f>
        <v/>
      </c>
      <c r="J855" s="18" t="str">
        <f aca="false">IF(H855="","",COUNTIFS($B$2:$B$1001,B855,$A$2:$A$1001,"&lt;"&amp;A855,$A$2:$A$1001,"&gt;="&amp;(A855-설정!$B$6),$H$2:$H$1001,"&gt;=0"))</f>
        <v/>
      </c>
      <c r="K855" s="21" t="str">
        <f aca="false">IF(I855="","",H855/I855-1)</f>
        <v/>
      </c>
      <c r="L855" s="19" t="str">
        <f aca="false">IF(H855="","",IF(J855&lt;설정!$B$7,"baseline 수집 중",IF(K855&lt;=-설정!$B$8,"저하","정상")))</f>
        <v/>
      </c>
      <c r="M855" s="20"/>
    </row>
    <row r="856" customFormat="false" ht="15" hidden="false" customHeight="false" outlineLevel="0" collapsed="false">
      <c r="A856" s="16"/>
      <c r="B856" s="17"/>
      <c r="C856" s="17"/>
      <c r="D856" s="17"/>
      <c r="E856" s="17"/>
      <c r="F856" s="17"/>
      <c r="G856" s="18" t="str">
        <f aca="false">IF(COUNT(D856:F856)=0,"",MAX(D856:F856))</f>
        <v/>
      </c>
      <c r="H856" s="18" t="str">
        <f aca="false">IF(COUNT(D856:F856)=0,"",ROUND(AVERAGE(D856:F856),1))</f>
        <v/>
      </c>
      <c r="I856" s="18" t="str">
        <f aca="false">IF(H856="","",IF(J856&lt;설정!$B$7,"",ROUND(AVERAGEIFS($H$2:$H$1001,$B$2:$B$1001,B856,$A$2:$A$1001,"&lt;"&amp;A856,$A$2:$A$1001,"&gt;="&amp;(A856-설정!$B$6)),1)))</f>
        <v/>
      </c>
      <c r="J856" s="18" t="str">
        <f aca="false">IF(H856="","",COUNTIFS($B$2:$B$1001,B856,$A$2:$A$1001,"&lt;"&amp;A856,$A$2:$A$1001,"&gt;="&amp;(A856-설정!$B$6),$H$2:$H$1001,"&gt;=0"))</f>
        <v/>
      </c>
      <c r="K856" s="21" t="str">
        <f aca="false">IF(I856="","",H856/I856-1)</f>
        <v/>
      </c>
      <c r="L856" s="19" t="str">
        <f aca="false">IF(H856="","",IF(J856&lt;설정!$B$7,"baseline 수집 중",IF(K856&lt;=-설정!$B$8,"저하","정상")))</f>
        <v/>
      </c>
      <c r="M856" s="20"/>
    </row>
    <row r="857" customFormat="false" ht="15" hidden="false" customHeight="false" outlineLevel="0" collapsed="false">
      <c r="A857" s="16"/>
      <c r="B857" s="17"/>
      <c r="C857" s="17"/>
      <c r="D857" s="17"/>
      <c r="E857" s="17"/>
      <c r="F857" s="17"/>
      <c r="G857" s="18" t="str">
        <f aca="false">IF(COUNT(D857:F857)=0,"",MAX(D857:F857))</f>
        <v/>
      </c>
      <c r="H857" s="18" t="str">
        <f aca="false">IF(COUNT(D857:F857)=0,"",ROUND(AVERAGE(D857:F857),1))</f>
        <v/>
      </c>
      <c r="I857" s="18" t="str">
        <f aca="false">IF(H857="","",IF(J857&lt;설정!$B$7,"",ROUND(AVERAGEIFS($H$2:$H$1001,$B$2:$B$1001,B857,$A$2:$A$1001,"&lt;"&amp;A857,$A$2:$A$1001,"&gt;="&amp;(A857-설정!$B$6)),1)))</f>
        <v/>
      </c>
      <c r="J857" s="18" t="str">
        <f aca="false">IF(H857="","",COUNTIFS($B$2:$B$1001,B857,$A$2:$A$1001,"&lt;"&amp;A857,$A$2:$A$1001,"&gt;="&amp;(A857-설정!$B$6),$H$2:$H$1001,"&gt;=0"))</f>
        <v/>
      </c>
      <c r="K857" s="21" t="str">
        <f aca="false">IF(I857="","",H857/I857-1)</f>
        <v/>
      </c>
      <c r="L857" s="19" t="str">
        <f aca="false">IF(H857="","",IF(J857&lt;설정!$B$7,"baseline 수집 중",IF(K857&lt;=-설정!$B$8,"저하","정상")))</f>
        <v/>
      </c>
      <c r="M857" s="20"/>
    </row>
    <row r="858" customFormat="false" ht="15" hidden="false" customHeight="false" outlineLevel="0" collapsed="false">
      <c r="A858" s="16"/>
      <c r="B858" s="17"/>
      <c r="C858" s="17"/>
      <c r="D858" s="17"/>
      <c r="E858" s="17"/>
      <c r="F858" s="17"/>
      <c r="G858" s="18" t="str">
        <f aca="false">IF(COUNT(D858:F858)=0,"",MAX(D858:F858))</f>
        <v/>
      </c>
      <c r="H858" s="18" t="str">
        <f aca="false">IF(COUNT(D858:F858)=0,"",ROUND(AVERAGE(D858:F858),1))</f>
        <v/>
      </c>
      <c r="I858" s="18" t="str">
        <f aca="false">IF(H858="","",IF(J858&lt;설정!$B$7,"",ROUND(AVERAGEIFS($H$2:$H$1001,$B$2:$B$1001,B858,$A$2:$A$1001,"&lt;"&amp;A858,$A$2:$A$1001,"&gt;="&amp;(A858-설정!$B$6)),1)))</f>
        <v/>
      </c>
      <c r="J858" s="18" t="str">
        <f aca="false">IF(H858="","",COUNTIFS($B$2:$B$1001,B858,$A$2:$A$1001,"&lt;"&amp;A858,$A$2:$A$1001,"&gt;="&amp;(A858-설정!$B$6),$H$2:$H$1001,"&gt;=0"))</f>
        <v/>
      </c>
      <c r="K858" s="21" t="str">
        <f aca="false">IF(I858="","",H858/I858-1)</f>
        <v/>
      </c>
      <c r="L858" s="19" t="str">
        <f aca="false">IF(H858="","",IF(J858&lt;설정!$B$7,"baseline 수집 중",IF(K858&lt;=-설정!$B$8,"저하","정상")))</f>
        <v/>
      </c>
      <c r="M858" s="20"/>
    </row>
    <row r="859" customFormat="false" ht="15" hidden="false" customHeight="false" outlineLevel="0" collapsed="false">
      <c r="A859" s="16"/>
      <c r="B859" s="17"/>
      <c r="C859" s="17"/>
      <c r="D859" s="17"/>
      <c r="E859" s="17"/>
      <c r="F859" s="17"/>
      <c r="G859" s="18" t="str">
        <f aca="false">IF(COUNT(D859:F859)=0,"",MAX(D859:F859))</f>
        <v/>
      </c>
      <c r="H859" s="18" t="str">
        <f aca="false">IF(COUNT(D859:F859)=0,"",ROUND(AVERAGE(D859:F859),1))</f>
        <v/>
      </c>
      <c r="I859" s="18" t="str">
        <f aca="false">IF(H859="","",IF(J859&lt;설정!$B$7,"",ROUND(AVERAGEIFS($H$2:$H$1001,$B$2:$B$1001,B859,$A$2:$A$1001,"&lt;"&amp;A859,$A$2:$A$1001,"&gt;="&amp;(A859-설정!$B$6)),1)))</f>
        <v/>
      </c>
      <c r="J859" s="18" t="str">
        <f aca="false">IF(H859="","",COUNTIFS($B$2:$B$1001,B859,$A$2:$A$1001,"&lt;"&amp;A859,$A$2:$A$1001,"&gt;="&amp;(A859-설정!$B$6),$H$2:$H$1001,"&gt;=0"))</f>
        <v/>
      </c>
      <c r="K859" s="21" t="str">
        <f aca="false">IF(I859="","",H859/I859-1)</f>
        <v/>
      </c>
      <c r="L859" s="19" t="str">
        <f aca="false">IF(H859="","",IF(J859&lt;설정!$B$7,"baseline 수집 중",IF(K859&lt;=-설정!$B$8,"저하","정상")))</f>
        <v/>
      </c>
      <c r="M859" s="20"/>
    </row>
    <row r="860" customFormat="false" ht="15" hidden="false" customHeight="false" outlineLevel="0" collapsed="false">
      <c r="A860" s="16"/>
      <c r="B860" s="17"/>
      <c r="C860" s="17"/>
      <c r="D860" s="17"/>
      <c r="E860" s="17"/>
      <c r="F860" s="17"/>
      <c r="G860" s="18" t="str">
        <f aca="false">IF(COUNT(D860:F860)=0,"",MAX(D860:F860))</f>
        <v/>
      </c>
      <c r="H860" s="18" t="str">
        <f aca="false">IF(COUNT(D860:F860)=0,"",ROUND(AVERAGE(D860:F860),1))</f>
        <v/>
      </c>
      <c r="I860" s="18" t="str">
        <f aca="false">IF(H860="","",IF(J860&lt;설정!$B$7,"",ROUND(AVERAGEIFS($H$2:$H$1001,$B$2:$B$1001,B860,$A$2:$A$1001,"&lt;"&amp;A860,$A$2:$A$1001,"&gt;="&amp;(A860-설정!$B$6)),1)))</f>
        <v/>
      </c>
      <c r="J860" s="18" t="str">
        <f aca="false">IF(H860="","",COUNTIFS($B$2:$B$1001,B860,$A$2:$A$1001,"&lt;"&amp;A860,$A$2:$A$1001,"&gt;="&amp;(A860-설정!$B$6),$H$2:$H$1001,"&gt;=0"))</f>
        <v/>
      </c>
      <c r="K860" s="21" t="str">
        <f aca="false">IF(I860="","",H860/I860-1)</f>
        <v/>
      </c>
      <c r="L860" s="19" t="str">
        <f aca="false">IF(H860="","",IF(J860&lt;설정!$B$7,"baseline 수집 중",IF(K860&lt;=-설정!$B$8,"저하","정상")))</f>
        <v/>
      </c>
      <c r="M860" s="20"/>
    </row>
    <row r="861" customFormat="false" ht="15" hidden="false" customHeight="false" outlineLevel="0" collapsed="false">
      <c r="A861" s="16"/>
      <c r="B861" s="17"/>
      <c r="C861" s="17"/>
      <c r="D861" s="17"/>
      <c r="E861" s="17"/>
      <c r="F861" s="17"/>
      <c r="G861" s="18" t="str">
        <f aca="false">IF(COUNT(D861:F861)=0,"",MAX(D861:F861))</f>
        <v/>
      </c>
      <c r="H861" s="18" t="str">
        <f aca="false">IF(COUNT(D861:F861)=0,"",ROUND(AVERAGE(D861:F861),1))</f>
        <v/>
      </c>
      <c r="I861" s="18" t="str">
        <f aca="false">IF(H861="","",IF(J861&lt;설정!$B$7,"",ROUND(AVERAGEIFS($H$2:$H$1001,$B$2:$B$1001,B861,$A$2:$A$1001,"&lt;"&amp;A861,$A$2:$A$1001,"&gt;="&amp;(A861-설정!$B$6)),1)))</f>
        <v/>
      </c>
      <c r="J861" s="18" t="str">
        <f aca="false">IF(H861="","",COUNTIFS($B$2:$B$1001,B861,$A$2:$A$1001,"&lt;"&amp;A861,$A$2:$A$1001,"&gt;="&amp;(A861-설정!$B$6),$H$2:$H$1001,"&gt;=0"))</f>
        <v/>
      </c>
      <c r="K861" s="21" t="str">
        <f aca="false">IF(I861="","",H861/I861-1)</f>
        <v/>
      </c>
      <c r="L861" s="19" t="str">
        <f aca="false">IF(H861="","",IF(J861&lt;설정!$B$7,"baseline 수집 중",IF(K861&lt;=-설정!$B$8,"저하","정상")))</f>
        <v/>
      </c>
      <c r="M861" s="20"/>
    </row>
    <row r="862" customFormat="false" ht="15" hidden="false" customHeight="false" outlineLevel="0" collapsed="false">
      <c r="A862" s="16"/>
      <c r="B862" s="17"/>
      <c r="C862" s="17"/>
      <c r="D862" s="17"/>
      <c r="E862" s="17"/>
      <c r="F862" s="17"/>
      <c r="G862" s="18" t="str">
        <f aca="false">IF(COUNT(D862:F862)=0,"",MAX(D862:F862))</f>
        <v/>
      </c>
      <c r="H862" s="18" t="str">
        <f aca="false">IF(COUNT(D862:F862)=0,"",ROUND(AVERAGE(D862:F862),1))</f>
        <v/>
      </c>
      <c r="I862" s="18" t="str">
        <f aca="false">IF(H862="","",IF(J862&lt;설정!$B$7,"",ROUND(AVERAGEIFS($H$2:$H$1001,$B$2:$B$1001,B862,$A$2:$A$1001,"&lt;"&amp;A862,$A$2:$A$1001,"&gt;="&amp;(A862-설정!$B$6)),1)))</f>
        <v/>
      </c>
      <c r="J862" s="18" t="str">
        <f aca="false">IF(H862="","",COUNTIFS($B$2:$B$1001,B862,$A$2:$A$1001,"&lt;"&amp;A862,$A$2:$A$1001,"&gt;="&amp;(A862-설정!$B$6),$H$2:$H$1001,"&gt;=0"))</f>
        <v/>
      </c>
      <c r="K862" s="21" t="str">
        <f aca="false">IF(I862="","",H862/I862-1)</f>
        <v/>
      </c>
      <c r="L862" s="19" t="str">
        <f aca="false">IF(H862="","",IF(J862&lt;설정!$B$7,"baseline 수집 중",IF(K862&lt;=-설정!$B$8,"저하","정상")))</f>
        <v/>
      </c>
      <c r="M862" s="20"/>
    </row>
    <row r="863" customFormat="false" ht="15" hidden="false" customHeight="false" outlineLevel="0" collapsed="false">
      <c r="A863" s="16"/>
      <c r="B863" s="17"/>
      <c r="C863" s="17"/>
      <c r="D863" s="17"/>
      <c r="E863" s="17"/>
      <c r="F863" s="17"/>
      <c r="G863" s="18" t="str">
        <f aca="false">IF(COUNT(D863:F863)=0,"",MAX(D863:F863))</f>
        <v/>
      </c>
      <c r="H863" s="18" t="str">
        <f aca="false">IF(COUNT(D863:F863)=0,"",ROUND(AVERAGE(D863:F863),1))</f>
        <v/>
      </c>
      <c r="I863" s="18" t="str">
        <f aca="false">IF(H863="","",IF(J863&lt;설정!$B$7,"",ROUND(AVERAGEIFS($H$2:$H$1001,$B$2:$B$1001,B863,$A$2:$A$1001,"&lt;"&amp;A863,$A$2:$A$1001,"&gt;="&amp;(A863-설정!$B$6)),1)))</f>
        <v/>
      </c>
      <c r="J863" s="18" t="str">
        <f aca="false">IF(H863="","",COUNTIFS($B$2:$B$1001,B863,$A$2:$A$1001,"&lt;"&amp;A863,$A$2:$A$1001,"&gt;="&amp;(A863-설정!$B$6),$H$2:$H$1001,"&gt;=0"))</f>
        <v/>
      </c>
      <c r="K863" s="21" t="str">
        <f aca="false">IF(I863="","",H863/I863-1)</f>
        <v/>
      </c>
      <c r="L863" s="19" t="str">
        <f aca="false">IF(H863="","",IF(J863&lt;설정!$B$7,"baseline 수집 중",IF(K863&lt;=-설정!$B$8,"저하","정상")))</f>
        <v/>
      </c>
      <c r="M863" s="20"/>
    </row>
    <row r="864" customFormat="false" ht="15" hidden="false" customHeight="false" outlineLevel="0" collapsed="false">
      <c r="A864" s="16"/>
      <c r="B864" s="17"/>
      <c r="C864" s="17"/>
      <c r="D864" s="17"/>
      <c r="E864" s="17"/>
      <c r="F864" s="17"/>
      <c r="G864" s="18" t="str">
        <f aca="false">IF(COUNT(D864:F864)=0,"",MAX(D864:F864))</f>
        <v/>
      </c>
      <c r="H864" s="18" t="str">
        <f aca="false">IF(COUNT(D864:F864)=0,"",ROUND(AVERAGE(D864:F864),1))</f>
        <v/>
      </c>
      <c r="I864" s="18" t="str">
        <f aca="false">IF(H864="","",IF(J864&lt;설정!$B$7,"",ROUND(AVERAGEIFS($H$2:$H$1001,$B$2:$B$1001,B864,$A$2:$A$1001,"&lt;"&amp;A864,$A$2:$A$1001,"&gt;="&amp;(A864-설정!$B$6)),1)))</f>
        <v/>
      </c>
      <c r="J864" s="18" t="str">
        <f aca="false">IF(H864="","",COUNTIFS($B$2:$B$1001,B864,$A$2:$A$1001,"&lt;"&amp;A864,$A$2:$A$1001,"&gt;="&amp;(A864-설정!$B$6),$H$2:$H$1001,"&gt;=0"))</f>
        <v/>
      </c>
      <c r="K864" s="21" t="str">
        <f aca="false">IF(I864="","",H864/I864-1)</f>
        <v/>
      </c>
      <c r="L864" s="19" t="str">
        <f aca="false">IF(H864="","",IF(J864&lt;설정!$B$7,"baseline 수집 중",IF(K864&lt;=-설정!$B$8,"저하","정상")))</f>
        <v/>
      </c>
      <c r="M864" s="20"/>
    </row>
    <row r="865" customFormat="false" ht="15" hidden="false" customHeight="false" outlineLevel="0" collapsed="false">
      <c r="A865" s="16"/>
      <c r="B865" s="17"/>
      <c r="C865" s="17"/>
      <c r="D865" s="17"/>
      <c r="E865" s="17"/>
      <c r="F865" s="17"/>
      <c r="G865" s="18" t="str">
        <f aca="false">IF(COUNT(D865:F865)=0,"",MAX(D865:F865))</f>
        <v/>
      </c>
      <c r="H865" s="18" t="str">
        <f aca="false">IF(COUNT(D865:F865)=0,"",ROUND(AVERAGE(D865:F865),1))</f>
        <v/>
      </c>
      <c r="I865" s="18" t="str">
        <f aca="false">IF(H865="","",IF(J865&lt;설정!$B$7,"",ROUND(AVERAGEIFS($H$2:$H$1001,$B$2:$B$1001,B865,$A$2:$A$1001,"&lt;"&amp;A865,$A$2:$A$1001,"&gt;="&amp;(A865-설정!$B$6)),1)))</f>
        <v/>
      </c>
      <c r="J865" s="18" t="str">
        <f aca="false">IF(H865="","",COUNTIFS($B$2:$B$1001,B865,$A$2:$A$1001,"&lt;"&amp;A865,$A$2:$A$1001,"&gt;="&amp;(A865-설정!$B$6),$H$2:$H$1001,"&gt;=0"))</f>
        <v/>
      </c>
      <c r="K865" s="21" t="str">
        <f aca="false">IF(I865="","",H865/I865-1)</f>
        <v/>
      </c>
      <c r="L865" s="19" t="str">
        <f aca="false">IF(H865="","",IF(J865&lt;설정!$B$7,"baseline 수집 중",IF(K865&lt;=-설정!$B$8,"저하","정상")))</f>
        <v/>
      </c>
      <c r="M865" s="20"/>
    </row>
    <row r="866" customFormat="false" ht="15" hidden="false" customHeight="false" outlineLevel="0" collapsed="false">
      <c r="A866" s="16"/>
      <c r="B866" s="17"/>
      <c r="C866" s="17"/>
      <c r="D866" s="17"/>
      <c r="E866" s="17"/>
      <c r="F866" s="17"/>
      <c r="G866" s="18" t="str">
        <f aca="false">IF(COUNT(D866:F866)=0,"",MAX(D866:F866))</f>
        <v/>
      </c>
      <c r="H866" s="18" t="str">
        <f aca="false">IF(COUNT(D866:F866)=0,"",ROUND(AVERAGE(D866:F866),1))</f>
        <v/>
      </c>
      <c r="I866" s="18" t="str">
        <f aca="false">IF(H866="","",IF(J866&lt;설정!$B$7,"",ROUND(AVERAGEIFS($H$2:$H$1001,$B$2:$B$1001,B866,$A$2:$A$1001,"&lt;"&amp;A866,$A$2:$A$1001,"&gt;="&amp;(A866-설정!$B$6)),1)))</f>
        <v/>
      </c>
      <c r="J866" s="18" t="str">
        <f aca="false">IF(H866="","",COUNTIFS($B$2:$B$1001,B866,$A$2:$A$1001,"&lt;"&amp;A866,$A$2:$A$1001,"&gt;="&amp;(A866-설정!$B$6),$H$2:$H$1001,"&gt;=0"))</f>
        <v/>
      </c>
      <c r="K866" s="21" t="str">
        <f aca="false">IF(I866="","",H866/I866-1)</f>
        <v/>
      </c>
      <c r="L866" s="19" t="str">
        <f aca="false">IF(H866="","",IF(J866&lt;설정!$B$7,"baseline 수집 중",IF(K866&lt;=-설정!$B$8,"저하","정상")))</f>
        <v/>
      </c>
      <c r="M866" s="20"/>
    </row>
    <row r="867" customFormat="false" ht="15" hidden="false" customHeight="false" outlineLevel="0" collapsed="false">
      <c r="A867" s="16"/>
      <c r="B867" s="17"/>
      <c r="C867" s="17"/>
      <c r="D867" s="17"/>
      <c r="E867" s="17"/>
      <c r="F867" s="17"/>
      <c r="G867" s="18" t="str">
        <f aca="false">IF(COUNT(D867:F867)=0,"",MAX(D867:F867))</f>
        <v/>
      </c>
      <c r="H867" s="18" t="str">
        <f aca="false">IF(COUNT(D867:F867)=0,"",ROUND(AVERAGE(D867:F867),1))</f>
        <v/>
      </c>
      <c r="I867" s="18" t="str">
        <f aca="false">IF(H867="","",IF(J867&lt;설정!$B$7,"",ROUND(AVERAGEIFS($H$2:$H$1001,$B$2:$B$1001,B867,$A$2:$A$1001,"&lt;"&amp;A867,$A$2:$A$1001,"&gt;="&amp;(A867-설정!$B$6)),1)))</f>
        <v/>
      </c>
      <c r="J867" s="18" t="str">
        <f aca="false">IF(H867="","",COUNTIFS($B$2:$B$1001,B867,$A$2:$A$1001,"&lt;"&amp;A867,$A$2:$A$1001,"&gt;="&amp;(A867-설정!$B$6),$H$2:$H$1001,"&gt;=0"))</f>
        <v/>
      </c>
      <c r="K867" s="21" t="str">
        <f aca="false">IF(I867="","",H867/I867-1)</f>
        <v/>
      </c>
      <c r="L867" s="19" t="str">
        <f aca="false">IF(H867="","",IF(J867&lt;설정!$B$7,"baseline 수집 중",IF(K867&lt;=-설정!$B$8,"저하","정상")))</f>
        <v/>
      </c>
      <c r="M867" s="20"/>
    </row>
    <row r="868" customFormat="false" ht="15" hidden="false" customHeight="false" outlineLevel="0" collapsed="false">
      <c r="A868" s="16"/>
      <c r="B868" s="17"/>
      <c r="C868" s="17"/>
      <c r="D868" s="17"/>
      <c r="E868" s="17"/>
      <c r="F868" s="17"/>
      <c r="G868" s="18" t="str">
        <f aca="false">IF(COUNT(D868:F868)=0,"",MAX(D868:F868))</f>
        <v/>
      </c>
      <c r="H868" s="18" t="str">
        <f aca="false">IF(COUNT(D868:F868)=0,"",ROUND(AVERAGE(D868:F868),1))</f>
        <v/>
      </c>
      <c r="I868" s="18" t="str">
        <f aca="false">IF(H868="","",IF(J868&lt;설정!$B$7,"",ROUND(AVERAGEIFS($H$2:$H$1001,$B$2:$B$1001,B868,$A$2:$A$1001,"&lt;"&amp;A868,$A$2:$A$1001,"&gt;="&amp;(A868-설정!$B$6)),1)))</f>
        <v/>
      </c>
      <c r="J868" s="18" t="str">
        <f aca="false">IF(H868="","",COUNTIFS($B$2:$B$1001,B868,$A$2:$A$1001,"&lt;"&amp;A868,$A$2:$A$1001,"&gt;="&amp;(A868-설정!$B$6),$H$2:$H$1001,"&gt;=0"))</f>
        <v/>
      </c>
      <c r="K868" s="21" t="str">
        <f aca="false">IF(I868="","",H868/I868-1)</f>
        <v/>
      </c>
      <c r="L868" s="19" t="str">
        <f aca="false">IF(H868="","",IF(J868&lt;설정!$B$7,"baseline 수집 중",IF(K868&lt;=-설정!$B$8,"저하","정상")))</f>
        <v/>
      </c>
      <c r="M868" s="20"/>
    </row>
    <row r="869" customFormat="false" ht="15" hidden="false" customHeight="false" outlineLevel="0" collapsed="false">
      <c r="A869" s="16"/>
      <c r="B869" s="17"/>
      <c r="C869" s="17"/>
      <c r="D869" s="17"/>
      <c r="E869" s="17"/>
      <c r="F869" s="17"/>
      <c r="G869" s="18" t="str">
        <f aca="false">IF(COUNT(D869:F869)=0,"",MAX(D869:F869))</f>
        <v/>
      </c>
      <c r="H869" s="18" t="str">
        <f aca="false">IF(COUNT(D869:F869)=0,"",ROUND(AVERAGE(D869:F869),1))</f>
        <v/>
      </c>
      <c r="I869" s="18" t="str">
        <f aca="false">IF(H869="","",IF(J869&lt;설정!$B$7,"",ROUND(AVERAGEIFS($H$2:$H$1001,$B$2:$B$1001,B869,$A$2:$A$1001,"&lt;"&amp;A869,$A$2:$A$1001,"&gt;="&amp;(A869-설정!$B$6)),1)))</f>
        <v/>
      </c>
      <c r="J869" s="18" t="str">
        <f aca="false">IF(H869="","",COUNTIFS($B$2:$B$1001,B869,$A$2:$A$1001,"&lt;"&amp;A869,$A$2:$A$1001,"&gt;="&amp;(A869-설정!$B$6),$H$2:$H$1001,"&gt;=0"))</f>
        <v/>
      </c>
      <c r="K869" s="21" t="str">
        <f aca="false">IF(I869="","",H869/I869-1)</f>
        <v/>
      </c>
      <c r="L869" s="19" t="str">
        <f aca="false">IF(H869="","",IF(J869&lt;설정!$B$7,"baseline 수집 중",IF(K869&lt;=-설정!$B$8,"저하","정상")))</f>
        <v/>
      </c>
      <c r="M869" s="20"/>
    </row>
    <row r="870" customFormat="false" ht="15" hidden="false" customHeight="false" outlineLevel="0" collapsed="false">
      <c r="A870" s="16"/>
      <c r="B870" s="17"/>
      <c r="C870" s="17"/>
      <c r="D870" s="17"/>
      <c r="E870" s="17"/>
      <c r="F870" s="17"/>
      <c r="G870" s="18" t="str">
        <f aca="false">IF(COUNT(D870:F870)=0,"",MAX(D870:F870))</f>
        <v/>
      </c>
      <c r="H870" s="18" t="str">
        <f aca="false">IF(COUNT(D870:F870)=0,"",ROUND(AVERAGE(D870:F870),1))</f>
        <v/>
      </c>
      <c r="I870" s="18" t="str">
        <f aca="false">IF(H870="","",IF(J870&lt;설정!$B$7,"",ROUND(AVERAGEIFS($H$2:$H$1001,$B$2:$B$1001,B870,$A$2:$A$1001,"&lt;"&amp;A870,$A$2:$A$1001,"&gt;="&amp;(A870-설정!$B$6)),1)))</f>
        <v/>
      </c>
      <c r="J870" s="18" t="str">
        <f aca="false">IF(H870="","",COUNTIFS($B$2:$B$1001,B870,$A$2:$A$1001,"&lt;"&amp;A870,$A$2:$A$1001,"&gt;="&amp;(A870-설정!$B$6),$H$2:$H$1001,"&gt;=0"))</f>
        <v/>
      </c>
      <c r="K870" s="21" t="str">
        <f aca="false">IF(I870="","",H870/I870-1)</f>
        <v/>
      </c>
      <c r="L870" s="19" t="str">
        <f aca="false">IF(H870="","",IF(J870&lt;설정!$B$7,"baseline 수집 중",IF(K870&lt;=-설정!$B$8,"저하","정상")))</f>
        <v/>
      </c>
      <c r="M870" s="20"/>
    </row>
    <row r="871" customFormat="false" ht="15" hidden="false" customHeight="false" outlineLevel="0" collapsed="false">
      <c r="A871" s="16"/>
      <c r="B871" s="17"/>
      <c r="C871" s="17"/>
      <c r="D871" s="17"/>
      <c r="E871" s="17"/>
      <c r="F871" s="17"/>
      <c r="G871" s="18" t="str">
        <f aca="false">IF(COUNT(D871:F871)=0,"",MAX(D871:F871))</f>
        <v/>
      </c>
      <c r="H871" s="18" t="str">
        <f aca="false">IF(COUNT(D871:F871)=0,"",ROUND(AVERAGE(D871:F871),1))</f>
        <v/>
      </c>
      <c r="I871" s="18" t="str">
        <f aca="false">IF(H871="","",IF(J871&lt;설정!$B$7,"",ROUND(AVERAGEIFS($H$2:$H$1001,$B$2:$B$1001,B871,$A$2:$A$1001,"&lt;"&amp;A871,$A$2:$A$1001,"&gt;="&amp;(A871-설정!$B$6)),1)))</f>
        <v/>
      </c>
      <c r="J871" s="18" t="str">
        <f aca="false">IF(H871="","",COUNTIFS($B$2:$B$1001,B871,$A$2:$A$1001,"&lt;"&amp;A871,$A$2:$A$1001,"&gt;="&amp;(A871-설정!$B$6),$H$2:$H$1001,"&gt;=0"))</f>
        <v/>
      </c>
      <c r="K871" s="21" t="str">
        <f aca="false">IF(I871="","",H871/I871-1)</f>
        <v/>
      </c>
      <c r="L871" s="19" t="str">
        <f aca="false">IF(H871="","",IF(J871&lt;설정!$B$7,"baseline 수집 중",IF(K871&lt;=-설정!$B$8,"저하","정상")))</f>
        <v/>
      </c>
      <c r="M871" s="20"/>
    </row>
    <row r="872" customFormat="false" ht="15" hidden="false" customHeight="false" outlineLevel="0" collapsed="false">
      <c r="A872" s="16"/>
      <c r="B872" s="17"/>
      <c r="C872" s="17"/>
      <c r="D872" s="17"/>
      <c r="E872" s="17"/>
      <c r="F872" s="17"/>
      <c r="G872" s="18" t="str">
        <f aca="false">IF(COUNT(D872:F872)=0,"",MAX(D872:F872))</f>
        <v/>
      </c>
      <c r="H872" s="18" t="str">
        <f aca="false">IF(COUNT(D872:F872)=0,"",ROUND(AVERAGE(D872:F872),1))</f>
        <v/>
      </c>
      <c r="I872" s="18" t="str">
        <f aca="false">IF(H872="","",IF(J872&lt;설정!$B$7,"",ROUND(AVERAGEIFS($H$2:$H$1001,$B$2:$B$1001,B872,$A$2:$A$1001,"&lt;"&amp;A872,$A$2:$A$1001,"&gt;="&amp;(A872-설정!$B$6)),1)))</f>
        <v/>
      </c>
      <c r="J872" s="18" t="str">
        <f aca="false">IF(H872="","",COUNTIFS($B$2:$B$1001,B872,$A$2:$A$1001,"&lt;"&amp;A872,$A$2:$A$1001,"&gt;="&amp;(A872-설정!$B$6),$H$2:$H$1001,"&gt;=0"))</f>
        <v/>
      </c>
      <c r="K872" s="21" t="str">
        <f aca="false">IF(I872="","",H872/I872-1)</f>
        <v/>
      </c>
      <c r="L872" s="19" t="str">
        <f aca="false">IF(H872="","",IF(J872&lt;설정!$B$7,"baseline 수집 중",IF(K872&lt;=-설정!$B$8,"저하","정상")))</f>
        <v/>
      </c>
      <c r="M872" s="20"/>
    </row>
    <row r="873" customFormat="false" ht="15" hidden="false" customHeight="false" outlineLevel="0" collapsed="false">
      <c r="A873" s="16"/>
      <c r="B873" s="17"/>
      <c r="C873" s="17"/>
      <c r="D873" s="17"/>
      <c r="E873" s="17"/>
      <c r="F873" s="17"/>
      <c r="G873" s="18" t="str">
        <f aca="false">IF(COUNT(D873:F873)=0,"",MAX(D873:F873))</f>
        <v/>
      </c>
      <c r="H873" s="18" t="str">
        <f aca="false">IF(COUNT(D873:F873)=0,"",ROUND(AVERAGE(D873:F873),1))</f>
        <v/>
      </c>
      <c r="I873" s="18" t="str">
        <f aca="false">IF(H873="","",IF(J873&lt;설정!$B$7,"",ROUND(AVERAGEIFS($H$2:$H$1001,$B$2:$B$1001,B873,$A$2:$A$1001,"&lt;"&amp;A873,$A$2:$A$1001,"&gt;="&amp;(A873-설정!$B$6)),1)))</f>
        <v/>
      </c>
      <c r="J873" s="18" t="str">
        <f aca="false">IF(H873="","",COUNTIFS($B$2:$B$1001,B873,$A$2:$A$1001,"&lt;"&amp;A873,$A$2:$A$1001,"&gt;="&amp;(A873-설정!$B$6),$H$2:$H$1001,"&gt;=0"))</f>
        <v/>
      </c>
      <c r="K873" s="21" t="str">
        <f aca="false">IF(I873="","",H873/I873-1)</f>
        <v/>
      </c>
      <c r="L873" s="19" t="str">
        <f aca="false">IF(H873="","",IF(J873&lt;설정!$B$7,"baseline 수집 중",IF(K873&lt;=-설정!$B$8,"저하","정상")))</f>
        <v/>
      </c>
      <c r="M873" s="20"/>
    </row>
    <row r="874" customFormat="false" ht="15" hidden="false" customHeight="false" outlineLevel="0" collapsed="false">
      <c r="A874" s="16"/>
      <c r="B874" s="17"/>
      <c r="C874" s="17"/>
      <c r="D874" s="17"/>
      <c r="E874" s="17"/>
      <c r="F874" s="17"/>
      <c r="G874" s="18" t="str">
        <f aca="false">IF(COUNT(D874:F874)=0,"",MAX(D874:F874))</f>
        <v/>
      </c>
      <c r="H874" s="18" t="str">
        <f aca="false">IF(COUNT(D874:F874)=0,"",ROUND(AVERAGE(D874:F874),1))</f>
        <v/>
      </c>
      <c r="I874" s="18" t="str">
        <f aca="false">IF(H874="","",IF(J874&lt;설정!$B$7,"",ROUND(AVERAGEIFS($H$2:$H$1001,$B$2:$B$1001,B874,$A$2:$A$1001,"&lt;"&amp;A874,$A$2:$A$1001,"&gt;="&amp;(A874-설정!$B$6)),1)))</f>
        <v/>
      </c>
      <c r="J874" s="18" t="str">
        <f aca="false">IF(H874="","",COUNTIFS($B$2:$B$1001,B874,$A$2:$A$1001,"&lt;"&amp;A874,$A$2:$A$1001,"&gt;="&amp;(A874-설정!$B$6),$H$2:$H$1001,"&gt;=0"))</f>
        <v/>
      </c>
      <c r="K874" s="21" t="str">
        <f aca="false">IF(I874="","",H874/I874-1)</f>
        <v/>
      </c>
      <c r="L874" s="19" t="str">
        <f aca="false">IF(H874="","",IF(J874&lt;설정!$B$7,"baseline 수집 중",IF(K874&lt;=-설정!$B$8,"저하","정상")))</f>
        <v/>
      </c>
      <c r="M874" s="20"/>
    </row>
    <row r="875" customFormat="false" ht="15" hidden="false" customHeight="false" outlineLevel="0" collapsed="false">
      <c r="A875" s="16"/>
      <c r="B875" s="17"/>
      <c r="C875" s="17"/>
      <c r="D875" s="17"/>
      <c r="E875" s="17"/>
      <c r="F875" s="17"/>
      <c r="G875" s="18" t="str">
        <f aca="false">IF(COUNT(D875:F875)=0,"",MAX(D875:F875))</f>
        <v/>
      </c>
      <c r="H875" s="18" t="str">
        <f aca="false">IF(COUNT(D875:F875)=0,"",ROUND(AVERAGE(D875:F875),1))</f>
        <v/>
      </c>
      <c r="I875" s="18" t="str">
        <f aca="false">IF(H875="","",IF(J875&lt;설정!$B$7,"",ROUND(AVERAGEIFS($H$2:$H$1001,$B$2:$B$1001,B875,$A$2:$A$1001,"&lt;"&amp;A875,$A$2:$A$1001,"&gt;="&amp;(A875-설정!$B$6)),1)))</f>
        <v/>
      </c>
      <c r="J875" s="18" t="str">
        <f aca="false">IF(H875="","",COUNTIFS($B$2:$B$1001,B875,$A$2:$A$1001,"&lt;"&amp;A875,$A$2:$A$1001,"&gt;="&amp;(A875-설정!$B$6),$H$2:$H$1001,"&gt;=0"))</f>
        <v/>
      </c>
      <c r="K875" s="21" t="str">
        <f aca="false">IF(I875="","",H875/I875-1)</f>
        <v/>
      </c>
      <c r="L875" s="19" t="str">
        <f aca="false">IF(H875="","",IF(J875&lt;설정!$B$7,"baseline 수집 중",IF(K875&lt;=-설정!$B$8,"저하","정상")))</f>
        <v/>
      </c>
      <c r="M875" s="20"/>
    </row>
    <row r="876" customFormat="false" ht="15" hidden="false" customHeight="false" outlineLevel="0" collapsed="false">
      <c r="A876" s="16"/>
      <c r="B876" s="17"/>
      <c r="C876" s="17"/>
      <c r="D876" s="17"/>
      <c r="E876" s="17"/>
      <c r="F876" s="17"/>
      <c r="G876" s="18" t="str">
        <f aca="false">IF(COUNT(D876:F876)=0,"",MAX(D876:F876))</f>
        <v/>
      </c>
      <c r="H876" s="18" t="str">
        <f aca="false">IF(COUNT(D876:F876)=0,"",ROUND(AVERAGE(D876:F876),1))</f>
        <v/>
      </c>
      <c r="I876" s="18" t="str">
        <f aca="false">IF(H876="","",IF(J876&lt;설정!$B$7,"",ROUND(AVERAGEIFS($H$2:$H$1001,$B$2:$B$1001,B876,$A$2:$A$1001,"&lt;"&amp;A876,$A$2:$A$1001,"&gt;="&amp;(A876-설정!$B$6)),1)))</f>
        <v/>
      </c>
      <c r="J876" s="18" t="str">
        <f aca="false">IF(H876="","",COUNTIFS($B$2:$B$1001,B876,$A$2:$A$1001,"&lt;"&amp;A876,$A$2:$A$1001,"&gt;="&amp;(A876-설정!$B$6),$H$2:$H$1001,"&gt;=0"))</f>
        <v/>
      </c>
      <c r="K876" s="21" t="str">
        <f aca="false">IF(I876="","",H876/I876-1)</f>
        <v/>
      </c>
      <c r="L876" s="19" t="str">
        <f aca="false">IF(H876="","",IF(J876&lt;설정!$B$7,"baseline 수집 중",IF(K876&lt;=-설정!$B$8,"저하","정상")))</f>
        <v/>
      </c>
      <c r="M876" s="20"/>
    </row>
    <row r="877" customFormat="false" ht="15" hidden="false" customHeight="false" outlineLevel="0" collapsed="false">
      <c r="A877" s="16"/>
      <c r="B877" s="17"/>
      <c r="C877" s="17"/>
      <c r="D877" s="17"/>
      <c r="E877" s="17"/>
      <c r="F877" s="17"/>
      <c r="G877" s="18" t="str">
        <f aca="false">IF(COUNT(D877:F877)=0,"",MAX(D877:F877))</f>
        <v/>
      </c>
      <c r="H877" s="18" t="str">
        <f aca="false">IF(COUNT(D877:F877)=0,"",ROUND(AVERAGE(D877:F877),1))</f>
        <v/>
      </c>
      <c r="I877" s="18" t="str">
        <f aca="false">IF(H877="","",IF(J877&lt;설정!$B$7,"",ROUND(AVERAGEIFS($H$2:$H$1001,$B$2:$B$1001,B877,$A$2:$A$1001,"&lt;"&amp;A877,$A$2:$A$1001,"&gt;="&amp;(A877-설정!$B$6)),1)))</f>
        <v/>
      </c>
      <c r="J877" s="18" t="str">
        <f aca="false">IF(H877="","",COUNTIFS($B$2:$B$1001,B877,$A$2:$A$1001,"&lt;"&amp;A877,$A$2:$A$1001,"&gt;="&amp;(A877-설정!$B$6),$H$2:$H$1001,"&gt;=0"))</f>
        <v/>
      </c>
      <c r="K877" s="21" t="str">
        <f aca="false">IF(I877="","",H877/I877-1)</f>
        <v/>
      </c>
      <c r="L877" s="19" t="str">
        <f aca="false">IF(H877="","",IF(J877&lt;설정!$B$7,"baseline 수집 중",IF(K877&lt;=-설정!$B$8,"저하","정상")))</f>
        <v/>
      </c>
      <c r="M877" s="20"/>
    </row>
    <row r="878" customFormat="false" ht="15" hidden="false" customHeight="false" outlineLevel="0" collapsed="false">
      <c r="A878" s="16"/>
      <c r="B878" s="17"/>
      <c r="C878" s="17"/>
      <c r="D878" s="17"/>
      <c r="E878" s="17"/>
      <c r="F878" s="17"/>
      <c r="G878" s="18" t="str">
        <f aca="false">IF(COUNT(D878:F878)=0,"",MAX(D878:F878))</f>
        <v/>
      </c>
      <c r="H878" s="18" t="str">
        <f aca="false">IF(COUNT(D878:F878)=0,"",ROUND(AVERAGE(D878:F878),1))</f>
        <v/>
      </c>
      <c r="I878" s="18" t="str">
        <f aca="false">IF(H878="","",IF(J878&lt;설정!$B$7,"",ROUND(AVERAGEIFS($H$2:$H$1001,$B$2:$B$1001,B878,$A$2:$A$1001,"&lt;"&amp;A878,$A$2:$A$1001,"&gt;="&amp;(A878-설정!$B$6)),1)))</f>
        <v/>
      </c>
      <c r="J878" s="18" t="str">
        <f aca="false">IF(H878="","",COUNTIFS($B$2:$B$1001,B878,$A$2:$A$1001,"&lt;"&amp;A878,$A$2:$A$1001,"&gt;="&amp;(A878-설정!$B$6),$H$2:$H$1001,"&gt;=0"))</f>
        <v/>
      </c>
      <c r="K878" s="21" t="str">
        <f aca="false">IF(I878="","",H878/I878-1)</f>
        <v/>
      </c>
      <c r="L878" s="19" t="str">
        <f aca="false">IF(H878="","",IF(J878&lt;설정!$B$7,"baseline 수집 중",IF(K878&lt;=-설정!$B$8,"저하","정상")))</f>
        <v/>
      </c>
      <c r="M878" s="20"/>
    </row>
    <row r="879" customFormat="false" ht="15" hidden="false" customHeight="false" outlineLevel="0" collapsed="false">
      <c r="A879" s="16"/>
      <c r="B879" s="17"/>
      <c r="C879" s="17"/>
      <c r="D879" s="17"/>
      <c r="E879" s="17"/>
      <c r="F879" s="17"/>
      <c r="G879" s="18" t="str">
        <f aca="false">IF(COUNT(D879:F879)=0,"",MAX(D879:F879))</f>
        <v/>
      </c>
      <c r="H879" s="18" t="str">
        <f aca="false">IF(COUNT(D879:F879)=0,"",ROUND(AVERAGE(D879:F879),1))</f>
        <v/>
      </c>
      <c r="I879" s="18" t="str">
        <f aca="false">IF(H879="","",IF(J879&lt;설정!$B$7,"",ROUND(AVERAGEIFS($H$2:$H$1001,$B$2:$B$1001,B879,$A$2:$A$1001,"&lt;"&amp;A879,$A$2:$A$1001,"&gt;="&amp;(A879-설정!$B$6)),1)))</f>
        <v/>
      </c>
      <c r="J879" s="18" t="str">
        <f aca="false">IF(H879="","",COUNTIFS($B$2:$B$1001,B879,$A$2:$A$1001,"&lt;"&amp;A879,$A$2:$A$1001,"&gt;="&amp;(A879-설정!$B$6),$H$2:$H$1001,"&gt;=0"))</f>
        <v/>
      </c>
      <c r="K879" s="21" t="str">
        <f aca="false">IF(I879="","",H879/I879-1)</f>
        <v/>
      </c>
      <c r="L879" s="19" t="str">
        <f aca="false">IF(H879="","",IF(J879&lt;설정!$B$7,"baseline 수집 중",IF(K879&lt;=-설정!$B$8,"저하","정상")))</f>
        <v/>
      </c>
      <c r="M879" s="20"/>
    </row>
    <row r="880" customFormat="false" ht="15" hidden="false" customHeight="false" outlineLevel="0" collapsed="false">
      <c r="A880" s="16"/>
      <c r="B880" s="17"/>
      <c r="C880" s="17"/>
      <c r="D880" s="17"/>
      <c r="E880" s="17"/>
      <c r="F880" s="17"/>
      <c r="G880" s="18" t="str">
        <f aca="false">IF(COUNT(D880:F880)=0,"",MAX(D880:F880))</f>
        <v/>
      </c>
      <c r="H880" s="18" t="str">
        <f aca="false">IF(COUNT(D880:F880)=0,"",ROUND(AVERAGE(D880:F880),1))</f>
        <v/>
      </c>
      <c r="I880" s="18" t="str">
        <f aca="false">IF(H880="","",IF(J880&lt;설정!$B$7,"",ROUND(AVERAGEIFS($H$2:$H$1001,$B$2:$B$1001,B880,$A$2:$A$1001,"&lt;"&amp;A880,$A$2:$A$1001,"&gt;="&amp;(A880-설정!$B$6)),1)))</f>
        <v/>
      </c>
      <c r="J880" s="18" t="str">
        <f aca="false">IF(H880="","",COUNTIFS($B$2:$B$1001,B880,$A$2:$A$1001,"&lt;"&amp;A880,$A$2:$A$1001,"&gt;="&amp;(A880-설정!$B$6),$H$2:$H$1001,"&gt;=0"))</f>
        <v/>
      </c>
      <c r="K880" s="21" t="str">
        <f aca="false">IF(I880="","",H880/I880-1)</f>
        <v/>
      </c>
      <c r="L880" s="19" t="str">
        <f aca="false">IF(H880="","",IF(J880&lt;설정!$B$7,"baseline 수집 중",IF(K880&lt;=-설정!$B$8,"저하","정상")))</f>
        <v/>
      </c>
      <c r="M880" s="20"/>
    </row>
    <row r="881" customFormat="false" ht="15" hidden="false" customHeight="false" outlineLevel="0" collapsed="false">
      <c r="A881" s="16"/>
      <c r="B881" s="17"/>
      <c r="C881" s="17"/>
      <c r="D881" s="17"/>
      <c r="E881" s="17"/>
      <c r="F881" s="17"/>
      <c r="G881" s="18" t="str">
        <f aca="false">IF(COUNT(D881:F881)=0,"",MAX(D881:F881))</f>
        <v/>
      </c>
      <c r="H881" s="18" t="str">
        <f aca="false">IF(COUNT(D881:F881)=0,"",ROUND(AVERAGE(D881:F881),1))</f>
        <v/>
      </c>
      <c r="I881" s="18" t="str">
        <f aca="false">IF(H881="","",IF(J881&lt;설정!$B$7,"",ROUND(AVERAGEIFS($H$2:$H$1001,$B$2:$B$1001,B881,$A$2:$A$1001,"&lt;"&amp;A881,$A$2:$A$1001,"&gt;="&amp;(A881-설정!$B$6)),1)))</f>
        <v/>
      </c>
      <c r="J881" s="18" t="str">
        <f aca="false">IF(H881="","",COUNTIFS($B$2:$B$1001,B881,$A$2:$A$1001,"&lt;"&amp;A881,$A$2:$A$1001,"&gt;="&amp;(A881-설정!$B$6),$H$2:$H$1001,"&gt;=0"))</f>
        <v/>
      </c>
      <c r="K881" s="21" t="str">
        <f aca="false">IF(I881="","",H881/I881-1)</f>
        <v/>
      </c>
      <c r="L881" s="19" t="str">
        <f aca="false">IF(H881="","",IF(J881&lt;설정!$B$7,"baseline 수집 중",IF(K881&lt;=-설정!$B$8,"저하","정상")))</f>
        <v/>
      </c>
      <c r="M881" s="20"/>
    </row>
    <row r="882" customFormat="false" ht="15" hidden="false" customHeight="false" outlineLevel="0" collapsed="false">
      <c r="A882" s="16"/>
      <c r="B882" s="17"/>
      <c r="C882" s="17"/>
      <c r="D882" s="17"/>
      <c r="E882" s="17"/>
      <c r="F882" s="17"/>
      <c r="G882" s="18" t="str">
        <f aca="false">IF(COUNT(D882:F882)=0,"",MAX(D882:F882))</f>
        <v/>
      </c>
      <c r="H882" s="18" t="str">
        <f aca="false">IF(COUNT(D882:F882)=0,"",ROUND(AVERAGE(D882:F882),1))</f>
        <v/>
      </c>
      <c r="I882" s="18" t="str">
        <f aca="false">IF(H882="","",IF(J882&lt;설정!$B$7,"",ROUND(AVERAGEIFS($H$2:$H$1001,$B$2:$B$1001,B882,$A$2:$A$1001,"&lt;"&amp;A882,$A$2:$A$1001,"&gt;="&amp;(A882-설정!$B$6)),1)))</f>
        <v/>
      </c>
      <c r="J882" s="18" t="str">
        <f aca="false">IF(H882="","",COUNTIFS($B$2:$B$1001,B882,$A$2:$A$1001,"&lt;"&amp;A882,$A$2:$A$1001,"&gt;="&amp;(A882-설정!$B$6),$H$2:$H$1001,"&gt;=0"))</f>
        <v/>
      </c>
      <c r="K882" s="21" t="str">
        <f aca="false">IF(I882="","",H882/I882-1)</f>
        <v/>
      </c>
      <c r="L882" s="19" t="str">
        <f aca="false">IF(H882="","",IF(J882&lt;설정!$B$7,"baseline 수집 중",IF(K882&lt;=-설정!$B$8,"저하","정상")))</f>
        <v/>
      </c>
      <c r="M882" s="20"/>
    </row>
    <row r="883" customFormat="false" ht="15" hidden="false" customHeight="false" outlineLevel="0" collapsed="false">
      <c r="A883" s="16"/>
      <c r="B883" s="17"/>
      <c r="C883" s="17"/>
      <c r="D883" s="17"/>
      <c r="E883" s="17"/>
      <c r="F883" s="17"/>
      <c r="G883" s="18" t="str">
        <f aca="false">IF(COUNT(D883:F883)=0,"",MAX(D883:F883))</f>
        <v/>
      </c>
      <c r="H883" s="18" t="str">
        <f aca="false">IF(COUNT(D883:F883)=0,"",ROUND(AVERAGE(D883:F883),1))</f>
        <v/>
      </c>
      <c r="I883" s="18" t="str">
        <f aca="false">IF(H883="","",IF(J883&lt;설정!$B$7,"",ROUND(AVERAGEIFS($H$2:$H$1001,$B$2:$B$1001,B883,$A$2:$A$1001,"&lt;"&amp;A883,$A$2:$A$1001,"&gt;="&amp;(A883-설정!$B$6)),1)))</f>
        <v/>
      </c>
      <c r="J883" s="18" t="str">
        <f aca="false">IF(H883="","",COUNTIFS($B$2:$B$1001,B883,$A$2:$A$1001,"&lt;"&amp;A883,$A$2:$A$1001,"&gt;="&amp;(A883-설정!$B$6),$H$2:$H$1001,"&gt;=0"))</f>
        <v/>
      </c>
      <c r="K883" s="21" t="str">
        <f aca="false">IF(I883="","",H883/I883-1)</f>
        <v/>
      </c>
      <c r="L883" s="19" t="str">
        <f aca="false">IF(H883="","",IF(J883&lt;설정!$B$7,"baseline 수집 중",IF(K883&lt;=-설정!$B$8,"저하","정상")))</f>
        <v/>
      </c>
      <c r="M883" s="20"/>
    </row>
    <row r="884" customFormat="false" ht="15" hidden="false" customHeight="false" outlineLevel="0" collapsed="false">
      <c r="A884" s="16"/>
      <c r="B884" s="17"/>
      <c r="C884" s="17"/>
      <c r="D884" s="17"/>
      <c r="E884" s="17"/>
      <c r="F884" s="17"/>
      <c r="G884" s="18" t="str">
        <f aca="false">IF(COUNT(D884:F884)=0,"",MAX(D884:F884))</f>
        <v/>
      </c>
      <c r="H884" s="18" t="str">
        <f aca="false">IF(COUNT(D884:F884)=0,"",ROUND(AVERAGE(D884:F884),1))</f>
        <v/>
      </c>
      <c r="I884" s="18" t="str">
        <f aca="false">IF(H884="","",IF(J884&lt;설정!$B$7,"",ROUND(AVERAGEIFS($H$2:$H$1001,$B$2:$B$1001,B884,$A$2:$A$1001,"&lt;"&amp;A884,$A$2:$A$1001,"&gt;="&amp;(A884-설정!$B$6)),1)))</f>
        <v/>
      </c>
      <c r="J884" s="18" t="str">
        <f aca="false">IF(H884="","",COUNTIFS($B$2:$B$1001,B884,$A$2:$A$1001,"&lt;"&amp;A884,$A$2:$A$1001,"&gt;="&amp;(A884-설정!$B$6),$H$2:$H$1001,"&gt;=0"))</f>
        <v/>
      </c>
      <c r="K884" s="21" t="str">
        <f aca="false">IF(I884="","",H884/I884-1)</f>
        <v/>
      </c>
      <c r="L884" s="19" t="str">
        <f aca="false">IF(H884="","",IF(J884&lt;설정!$B$7,"baseline 수집 중",IF(K884&lt;=-설정!$B$8,"저하","정상")))</f>
        <v/>
      </c>
      <c r="M884" s="20"/>
    </row>
    <row r="885" customFormat="false" ht="15" hidden="false" customHeight="false" outlineLevel="0" collapsed="false">
      <c r="A885" s="16"/>
      <c r="B885" s="17"/>
      <c r="C885" s="17"/>
      <c r="D885" s="17"/>
      <c r="E885" s="17"/>
      <c r="F885" s="17"/>
      <c r="G885" s="18" t="str">
        <f aca="false">IF(COUNT(D885:F885)=0,"",MAX(D885:F885))</f>
        <v/>
      </c>
      <c r="H885" s="18" t="str">
        <f aca="false">IF(COUNT(D885:F885)=0,"",ROUND(AVERAGE(D885:F885),1))</f>
        <v/>
      </c>
      <c r="I885" s="18" t="str">
        <f aca="false">IF(H885="","",IF(J885&lt;설정!$B$7,"",ROUND(AVERAGEIFS($H$2:$H$1001,$B$2:$B$1001,B885,$A$2:$A$1001,"&lt;"&amp;A885,$A$2:$A$1001,"&gt;="&amp;(A885-설정!$B$6)),1)))</f>
        <v/>
      </c>
      <c r="J885" s="18" t="str">
        <f aca="false">IF(H885="","",COUNTIFS($B$2:$B$1001,B885,$A$2:$A$1001,"&lt;"&amp;A885,$A$2:$A$1001,"&gt;="&amp;(A885-설정!$B$6),$H$2:$H$1001,"&gt;=0"))</f>
        <v/>
      </c>
      <c r="K885" s="21" t="str">
        <f aca="false">IF(I885="","",H885/I885-1)</f>
        <v/>
      </c>
      <c r="L885" s="19" t="str">
        <f aca="false">IF(H885="","",IF(J885&lt;설정!$B$7,"baseline 수집 중",IF(K885&lt;=-설정!$B$8,"저하","정상")))</f>
        <v/>
      </c>
      <c r="M885" s="20"/>
    </row>
    <row r="886" customFormat="false" ht="15" hidden="false" customHeight="false" outlineLevel="0" collapsed="false">
      <c r="A886" s="16"/>
      <c r="B886" s="17"/>
      <c r="C886" s="17"/>
      <c r="D886" s="17"/>
      <c r="E886" s="17"/>
      <c r="F886" s="17"/>
      <c r="G886" s="18" t="str">
        <f aca="false">IF(COUNT(D886:F886)=0,"",MAX(D886:F886))</f>
        <v/>
      </c>
      <c r="H886" s="18" t="str">
        <f aca="false">IF(COUNT(D886:F886)=0,"",ROUND(AVERAGE(D886:F886),1))</f>
        <v/>
      </c>
      <c r="I886" s="18" t="str">
        <f aca="false">IF(H886="","",IF(J886&lt;설정!$B$7,"",ROUND(AVERAGEIFS($H$2:$H$1001,$B$2:$B$1001,B886,$A$2:$A$1001,"&lt;"&amp;A886,$A$2:$A$1001,"&gt;="&amp;(A886-설정!$B$6)),1)))</f>
        <v/>
      </c>
      <c r="J886" s="18" t="str">
        <f aca="false">IF(H886="","",COUNTIFS($B$2:$B$1001,B886,$A$2:$A$1001,"&lt;"&amp;A886,$A$2:$A$1001,"&gt;="&amp;(A886-설정!$B$6),$H$2:$H$1001,"&gt;=0"))</f>
        <v/>
      </c>
      <c r="K886" s="21" t="str">
        <f aca="false">IF(I886="","",H886/I886-1)</f>
        <v/>
      </c>
      <c r="L886" s="19" t="str">
        <f aca="false">IF(H886="","",IF(J886&lt;설정!$B$7,"baseline 수집 중",IF(K886&lt;=-설정!$B$8,"저하","정상")))</f>
        <v/>
      </c>
      <c r="M886" s="20"/>
    </row>
    <row r="887" customFormat="false" ht="15" hidden="false" customHeight="false" outlineLevel="0" collapsed="false">
      <c r="A887" s="16"/>
      <c r="B887" s="17"/>
      <c r="C887" s="17"/>
      <c r="D887" s="17"/>
      <c r="E887" s="17"/>
      <c r="F887" s="17"/>
      <c r="G887" s="18" t="str">
        <f aca="false">IF(COUNT(D887:F887)=0,"",MAX(D887:F887))</f>
        <v/>
      </c>
      <c r="H887" s="18" t="str">
        <f aca="false">IF(COUNT(D887:F887)=0,"",ROUND(AVERAGE(D887:F887),1))</f>
        <v/>
      </c>
      <c r="I887" s="18" t="str">
        <f aca="false">IF(H887="","",IF(J887&lt;설정!$B$7,"",ROUND(AVERAGEIFS($H$2:$H$1001,$B$2:$B$1001,B887,$A$2:$A$1001,"&lt;"&amp;A887,$A$2:$A$1001,"&gt;="&amp;(A887-설정!$B$6)),1)))</f>
        <v/>
      </c>
      <c r="J887" s="18" t="str">
        <f aca="false">IF(H887="","",COUNTIFS($B$2:$B$1001,B887,$A$2:$A$1001,"&lt;"&amp;A887,$A$2:$A$1001,"&gt;="&amp;(A887-설정!$B$6),$H$2:$H$1001,"&gt;=0"))</f>
        <v/>
      </c>
      <c r="K887" s="21" t="str">
        <f aca="false">IF(I887="","",H887/I887-1)</f>
        <v/>
      </c>
      <c r="L887" s="19" t="str">
        <f aca="false">IF(H887="","",IF(J887&lt;설정!$B$7,"baseline 수집 중",IF(K887&lt;=-설정!$B$8,"저하","정상")))</f>
        <v/>
      </c>
      <c r="M887" s="20"/>
    </row>
    <row r="888" customFormat="false" ht="15" hidden="false" customHeight="false" outlineLevel="0" collapsed="false">
      <c r="A888" s="16"/>
      <c r="B888" s="17"/>
      <c r="C888" s="17"/>
      <c r="D888" s="17"/>
      <c r="E888" s="17"/>
      <c r="F888" s="17"/>
      <c r="G888" s="18" t="str">
        <f aca="false">IF(COUNT(D888:F888)=0,"",MAX(D888:F888))</f>
        <v/>
      </c>
      <c r="H888" s="18" t="str">
        <f aca="false">IF(COUNT(D888:F888)=0,"",ROUND(AVERAGE(D888:F888),1))</f>
        <v/>
      </c>
      <c r="I888" s="18" t="str">
        <f aca="false">IF(H888="","",IF(J888&lt;설정!$B$7,"",ROUND(AVERAGEIFS($H$2:$H$1001,$B$2:$B$1001,B888,$A$2:$A$1001,"&lt;"&amp;A888,$A$2:$A$1001,"&gt;="&amp;(A888-설정!$B$6)),1)))</f>
        <v/>
      </c>
      <c r="J888" s="18" t="str">
        <f aca="false">IF(H888="","",COUNTIFS($B$2:$B$1001,B888,$A$2:$A$1001,"&lt;"&amp;A888,$A$2:$A$1001,"&gt;="&amp;(A888-설정!$B$6),$H$2:$H$1001,"&gt;=0"))</f>
        <v/>
      </c>
      <c r="K888" s="21" t="str">
        <f aca="false">IF(I888="","",H888/I888-1)</f>
        <v/>
      </c>
      <c r="L888" s="19" t="str">
        <f aca="false">IF(H888="","",IF(J888&lt;설정!$B$7,"baseline 수집 중",IF(K888&lt;=-설정!$B$8,"저하","정상")))</f>
        <v/>
      </c>
      <c r="M888" s="20"/>
    </row>
    <row r="889" customFormat="false" ht="15" hidden="false" customHeight="false" outlineLevel="0" collapsed="false">
      <c r="A889" s="16"/>
      <c r="B889" s="17"/>
      <c r="C889" s="17"/>
      <c r="D889" s="17"/>
      <c r="E889" s="17"/>
      <c r="F889" s="17"/>
      <c r="G889" s="18" t="str">
        <f aca="false">IF(COUNT(D889:F889)=0,"",MAX(D889:F889))</f>
        <v/>
      </c>
      <c r="H889" s="18" t="str">
        <f aca="false">IF(COUNT(D889:F889)=0,"",ROUND(AVERAGE(D889:F889),1))</f>
        <v/>
      </c>
      <c r="I889" s="18" t="str">
        <f aca="false">IF(H889="","",IF(J889&lt;설정!$B$7,"",ROUND(AVERAGEIFS($H$2:$H$1001,$B$2:$B$1001,B889,$A$2:$A$1001,"&lt;"&amp;A889,$A$2:$A$1001,"&gt;="&amp;(A889-설정!$B$6)),1)))</f>
        <v/>
      </c>
      <c r="J889" s="18" t="str">
        <f aca="false">IF(H889="","",COUNTIFS($B$2:$B$1001,B889,$A$2:$A$1001,"&lt;"&amp;A889,$A$2:$A$1001,"&gt;="&amp;(A889-설정!$B$6),$H$2:$H$1001,"&gt;=0"))</f>
        <v/>
      </c>
      <c r="K889" s="21" t="str">
        <f aca="false">IF(I889="","",H889/I889-1)</f>
        <v/>
      </c>
      <c r="L889" s="19" t="str">
        <f aca="false">IF(H889="","",IF(J889&lt;설정!$B$7,"baseline 수집 중",IF(K889&lt;=-설정!$B$8,"저하","정상")))</f>
        <v/>
      </c>
      <c r="M889" s="20"/>
    </row>
    <row r="890" customFormat="false" ht="15" hidden="false" customHeight="false" outlineLevel="0" collapsed="false">
      <c r="A890" s="16"/>
      <c r="B890" s="17"/>
      <c r="C890" s="17"/>
      <c r="D890" s="17"/>
      <c r="E890" s="17"/>
      <c r="F890" s="17"/>
      <c r="G890" s="18" t="str">
        <f aca="false">IF(COUNT(D890:F890)=0,"",MAX(D890:F890))</f>
        <v/>
      </c>
      <c r="H890" s="18" t="str">
        <f aca="false">IF(COUNT(D890:F890)=0,"",ROUND(AVERAGE(D890:F890),1))</f>
        <v/>
      </c>
      <c r="I890" s="18" t="str">
        <f aca="false">IF(H890="","",IF(J890&lt;설정!$B$7,"",ROUND(AVERAGEIFS($H$2:$H$1001,$B$2:$B$1001,B890,$A$2:$A$1001,"&lt;"&amp;A890,$A$2:$A$1001,"&gt;="&amp;(A890-설정!$B$6)),1)))</f>
        <v/>
      </c>
      <c r="J890" s="18" t="str">
        <f aca="false">IF(H890="","",COUNTIFS($B$2:$B$1001,B890,$A$2:$A$1001,"&lt;"&amp;A890,$A$2:$A$1001,"&gt;="&amp;(A890-설정!$B$6),$H$2:$H$1001,"&gt;=0"))</f>
        <v/>
      </c>
      <c r="K890" s="21" t="str">
        <f aca="false">IF(I890="","",H890/I890-1)</f>
        <v/>
      </c>
      <c r="L890" s="19" t="str">
        <f aca="false">IF(H890="","",IF(J890&lt;설정!$B$7,"baseline 수집 중",IF(K890&lt;=-설정!$B$8,"저하","정상")))</f>
        <v/>
      </c>
      <c r="M890" s="20"/>
    </row>
    <row r="891" customFormat="false" ht="15" hidden="false" customHeight="false" outlineLevel="0" collapsed="false">
      <c r="A891" s="16"/>
      <c r="B891" s="17"/>
      <c r="C891" s="17"/>
      <c r="D891" s="17"/>
      <c r="E891" s="17"/>
      <c r="F891" s="17"/>
      <c r="G891" s="18" t="str">
        <f aca="false">IF(COUNT(D891:F891)=0,"",MAX(D891:F891))</f>
        <v/>
      </c>
      <c r="H891" s="18" t="str">
        <f aca="false">IF(COUNT(D891:F891)=0,"",ROUND(AVERAGE(D891:F891),1))</f>
        <v/>
      </c>
      <c r="I891" s="18" t="str">
        <f aca="false">IF(H891="","",IF(J891&lt;설정!$B$7,"",ROUND(AVERAGEIFS($H$2:$H$1001,$B$2:$B$1001,B891,$A$2:$A$1001,"&lt;"&amp;A891,$A$2:$A$1001,"&gt;="&amp;(A891-설정!$B$6)),1)))</f>
        <v/>
      </c>
      <c r="J891" s="18" t="str">
        <f aca="false">IF(H891="","",COUNTIFS($B$2:$B$1001,B891,$A$2:$A$1001,"&lt;"&amp;A891,$A$2:$A$1001,"&gt;="&amp;(A891-설정!$B$6),$H$2:$H$1001,"&gt;=0"))</f>
        <v/>
      </c>
      <c r="K891" s="21" t="str">
        <f aca="false">IF(I891="","",H891/I891-1)</f>
        <v/>
      </c>
      <c r="L891" s="19" t="str">
        <f aca="false">IF(H891="","",IF(J891&lt;설정!$B$7,"baseline 수집 중",IF(K891&lt;=-설정!$B$8,"저하","정상")))</f>
        <v/>
      </c>
      <c r="M891" s="20"/>
    </row>
    <row r="892" customFormat="false" ht="15" hidden="false" customHeight="false" outlineLevel="0" collapsed="false">
      <c r="A892" s="16"/>
      <c r="B892" s="17"/>
      <c r="C892" s="17"/>
      <c r="D892" s="17"/>
      <c r="E892" s="17"/>
      <c r="F892" s="17"/>
      <c r="G892" s="18" t="str">
        <f aca="false">IF(COUNT(D892:F892)=0,"",MAX(D892:F892))</f>
        <v/>
      </c>
      <c r="H892" s="18" t="str">
        <f aca="false">IF(COUNT(D892:F892)=0,"",ROUND(AVERAGE(D892:F892),1))</f>
        <v/>
      </c>
      <c r="I892" s="18" t="str">
        <f aca="false">IF(H892="","",IF(J892&lt;설정!$B$7,"",ROUND(AVERAGEIFS($H$2:$H$1001,$B$2:$B$1001,B892,$A$2:$A$1001,"&lt;"&amp;A892,$A$2:$A$1001,"&gt;="&amp;(A892-설정!$B$6)),1)))</f>
        <v/>
      </c>
      <c r="J892" s="18" t="str">
        <f aca="false">IF(H892="","",COUNTIFS($B$2:$B$1001,B892,$A$2:$A$1001,"&lt;"&amp;A892,$A$2:$A$1001,"&gt;="&amp;(A892-설정!$B$6),$H$2:$H$1001,"&gt;=0"))</f>
        <v/>
      </c>
      <c r="K892" s="21" t="str">
        <f aca="false">IF(I892="","",H892/I892-1)</f>
        <v/>
      </c>
      <c r="L892" s="19" t="str">
        <f aca="false">IF(H892="","",IF(J892&lt;설정!$B$7,"baseline 수집 중",IF(K892&lt;=-설정!$B$8,"저하","정상")))</f>
        <v/>
      </c>
      <c r="M892" s="20"/>
    </row>
    <row r="893" customFormat="false" ht="15" hidden="false" customHeight="false" outlineLevel="0" collapsed="false">
      <c r="A893" s="16"/>
      <c r="B893" s="17"/>
      <c r="C893" s="17"/>
      <c r="D893" s="17"/>
      <c r="E893" s="17"/>
      <c r="F893" s="17"/>
      <c r="G893" s="18" t="str">
        <f aca="false">IF(COUNT(D893:F893)=0,"",MAX(D893:F893))</f>
        <v/>
      </c>
      <c r="H893" s="18" t="str">
        <f aca="false">IF(COUNT(D893:F893)=0,"",ROUND(AVERAGE(D893:F893),1))</f>
        <v/>
      </c>
      <c r="I893" s="18" t="str">
        <f aca="false">IF(H893="","",IF(J893&lt;설정!$B$7,"",ROUND(AVERAGEIFS($H$2:$H$1001,$B$2:$B$1001,B893,$A$2:$A$1001,"&lt;"&amp;A893,$A$2:$A$1001,"&gt;="&amp;(A893-설정!$B$6)),1)))</f>
        <v/>
      </c>
      <c r="J893" s="18" t="str">
        <f aca="false">IF(H893="","",COUNTIFS($B$2:$B$1001,B893,$A$2:$A$1001,"&lt;"&amp;A893,$A$2:$A$1001,"&gt;="&amp;(A893-설정!$B$6),$H$2:$H$1001,"&gt;=0"))</f>
        <v/>
      </c>
      <c r="K893" s="21" t="str">
        <f aca="false">IF(I893="","",H893/I893-1)</f>
        <v/>
      </c>
      <c r="L893" s="19" t="str">
        <f aca="false">IF(H893="","",IF(J893&lt;설정!$B$7,"baseline 수집 중",IF(K893&lt;=-설정!$B$8,"저하","정상")))</f>
        <v/>
      </c>
      <c r="M893" s="20"/>
    </row>
    <row r="894" customFormat="false" ht="15" hidden="false" customHeight="false" outlineLevel="0" collapsed="false">
      <c r="A894" s="16"/>
      <c r="B894" s="17"/>
      <c r="C894" s="17"/>
      <c r="D894" s="17"/>
      <c r="E894" s="17"/>
      <c r="F894" s="17"/>
      <c r="G894" s="18" t="str">
        <f aca="false">IF(COUNT(D894:F894)=0,"",MAX(D894:F894))</f>
        <v/>
      </c>
      <c r="H894" s="18" t="str">
        <f aca="false">IF(COUNT(D894:F894)=0,"",ROUND(AVERAGE(D894:F894),1))</f>
        <v/>
      </c>
      <c r="I894" s="18" t="str">
        <f aca="false">IF(H894="","",IF(J894&lt;설정!$B$7,"",ROUND(AVERAGEIFS($H$2:$H$1001,$B$2:$B$1001,B894,$A$2:$A$1001,"&lt;"&amp;A894,$A$2:$A$1001,"&gt;="&amp;(A894-설정!$B$6)),1)))</f>
        <v/>
      </c>
      <c r="J894" s="18" t="str">
        <f aca="false">IF(H894="","",COUNTIFS($B$2:$B$1001,B894,$A$2:$A$1001,"&lt;"&amp;A894,$A$2:$A$1001,"&gt;="&amp;(A894-설정!$B$6),$H$2:$H$1001,"&gt;=0"))</f>
        <v/>
      </c>
      <c r="K894" s="21" t="str">
        <f aca="false">IF(I894="","",H894/I894-1)</f>
        <v/>
      </c>
      <c r="L894" s="19" t="str">
        <f aca="false">IF(H894="","",IF(J894&lt;설정!$B$7,"baseline 수집 중",IF(K894&lt;=-설정!$B$8,"저하","정상")))</f>
        <v/>
      </c>
      <c r="M894" s="20"/>
    </row>
    <row r="895" customFormat="false" ht="15" hidden="false" customHeight="false" outlineLevel="0" collapsed="false">
      <c r="A895" s="16"/>
      <c r="B895" s="17"/>
      <c r="C895" s="17"/>
      <c r="D895" s="17"/>
      <c r="E895" s="17"/>
      <c r="F895" s="17"/>
      <c r="G895" s="18" t="str">
        <f aca="false">IF(COUNT(D895:F895)=0,"",MAX(D895:F895))</f>
        <v/>
      </c>
      <c r="H895" s="18" t="str">
        <f aca="false">IF(COUNT(D895:F895)=0,"",ROUND(AVERAGE(D895:F895),1))</f>
        <v/>
      </c>
      <c r="I895" s="18" t="str">
        <f aca="false">IF(H895="","",IF(J895&lt;설정!$B$7,"",ROUND(AVERAGEIFS($H$2:$H$1001,$B$2:$B$1001,B895,$A$2:$A$1001,"&lt;"&amp;A895,$A$2:$A$1001,"&gt;="&amp;(A895-설정!$B$6)),1)))</f>
        <v/>
      </c>
      <c r="J895" s="18" t="str">
        <f aca="false">IF(H895="","",COUNTIFS($B$2:$B$1001,B895,$A$2:$A$1001,"&lt;"&amp;A895,$A$2:$A$1001,"&gt;="&amp;(A895-설정!$B$6),$H$2:$H$1001,"&gt;=0"))</f>
        <v/>
      </c>
      <c r="K895" s="21" t="str">
        <f aca="false">IF(I895="","",H895/I895-1)</f>
        <v/>
      </c>
      <c r="L895" s="19" t="str">
        <f aca="false">IF(H895="","",IF(J895&lt;설정!$B$7,"baseline 수집 중",IF(K895&lt;=-설정!$B$8,"저하","정상")))</f>
        <v/>
      </c>
      <c r="M895" s="20"/>
    </row>
    <row r="896" customFormat="false" ht="15" hidden="false" customHeight="false" outlineLevel="0" collapsed="false">
      <c r="A896" s="16"/>
      <c r="B896" s="17"/>
      <c r="C896" s="17"/>
      <c r="D896" s="17"/>
      <c r="E896" s="17"/>
      <c r="F896" s="17"/>
      <c r="G896" s="18" t="str">
        <f aca="false">IF(COUNT(D896:F896)=0,"",MAX(D896:F896))</f>
        <v/>
      </c>
      <c r="H896" s="18" t="str">
        <f aca="false">IF(COUNT(D896:F896)=0,"",ROUND(AVERAGE(D896:F896),1))</f>
        <v/>
      </c>
      <c r="I896" s="18" t="str">
        <f aca="false">IF(H896="","",IF(J896&lt;설정!$B$7,"",ROUND(AVERAGEIFS($H$2:$H$1001,$B$2:$B$1001,B896,$A$2:$A$1001,"&lt;"&amp;A896,$A$2:$A$1001,"&gt;="&amp;(A896-설정!$B$6)),1)))</f>
        <v/>
      </c>
      <c r="J896" s="18" t="str">
        <f aca="false">IF(H896="","",COUNTIFS($B$2:$B$1001,B896,$A$2:$A$1001,"&lt;"&amp;A896,$A$2:$A$1001,"&gt;="&amp;(A896-설정!$B$6),$H$2:$H$1001,"&gt;=0"))</f>
        <v/>
      </c>
      <c r="K896" s="21" t="str">
        <f aca="false">IF(I896="","",H896/I896-1)</f>
        <v/>
      </c>
      <c r="L896" s="19" t="str">
        <f aca="false">IF(H896="","",IF(J896&lt;설정!$B$7,"baseline 수집 중",IF(K896&lt;=-설정!$B$8,"저하","정상")))</f>
        <v/>
      </c>
      <c r="M896" s="20"/>
    </row>
    <row r="897" customFormat="false" ht="15" hidden="false" customHeight="false" outlineLevel="0" collapsed="false">
      <c r="A897" s="16"/>
      <c r="B897" s="17"/>
      <c r="C897" s="17"/>
      <c r="D897" s="17"/>
      <c r="E897" s="17"/>
      <c r="F897" s="17"/>
      <c r="G897" s="18" t="str">
        <f aca="false">IF(COUNT(D897:F897)=0,"",MAX(D897:F897))</f>
        <v/>
      </c>
      <c r="H897" s="18" t="str">
        <f aca="false">IF(COUNT(D897:F897)=0,"",ROUND(AVERAGE(D897:F897),1))</f>
        <v/>
      </c>
      <c r="I897" s="18" t="str">
        <f aca="false">IF(H897="","",IF(J897&lt;설정!$B$7,"",ROUND(AVERAGEIFS($H$2:$H$1001,$B$2:$B$1001,B897,$A$2:$A$1001,"&lt;"&amp;A897,$A$2:$A$1001,"&gt;="&amp;(A897-설정!$B$6)),1)))</f>
        <v/>
      </c>
      <c r="J897" s="18" t="str">
        <f aca="false">IF(H897="","",COUNTIFS($B$2:$B$1001,B897,$A$2:$A$1001,"&lt;"&amp;A897,$A$2:$A$1001,"&gt;="&amp;(A897-설정!$B$6),$H$2:$H$1001,"&gt;=0"))</f>
        <v/>
      </c>
      <c r="K897" s="21" t="str">
        <f aca="false">IF(I897="","",H897/I897-1)</f>
        <v/>
      </c>
      <c r="L897" s="19" t="str">
        <f aca="false">IF(H897="","",IF(J897&lt;설정!$B$7,"baseline 수집 중",IF(K897&lt;=-설정!$B$8,"저하","정상")))</f>
        <v/>
      </c>
      <c r="M897" s="20"/>
    </row>
    <row r="898" customFormat="false" ht="15" hidden="false" customHeight="false" outlineLevel="0" collapsed="false">
      <c r="A898" s="16"/>
      <c r="B898" s="17"/>
      <c r="C898" s="17"/>
      <c r="D898" s="17"/>
      <c r="E898" s="17"/>
      <c r="F898" s="17"/>
      <c r="G898" s="18" t="str">
        <f aca="false">IF(COUNT(D898:F898)=0,"",MAX(D898:F898))</f>
        <v/>
      </c>
      <c r="H898" s="18" t="str">
        <f aca="false">IF(COUNT(D898:F898)=0,"",ROUND(AVERAGE(D898:F898),1))</f>
        <v/>
      </c>
      <c r="I898" s="18" t="str">
        <f aca="false">IF(H898="","",IF(J898&lt;설정!$B$7,"",ROUND(AVERAGEIFS($H$2:$H$1001,$B$2:$B$1001,B898,$A$2:$A$1001,"&lt;"&amp;A898,$A$2:$A$1001,"&gt;="&amp;(A898-설정!$B$6)),1)))</f>
        <v/>
      </c>
      <c r="J898" s="18" t="str">
        <f aca="false">IF(H898="","",COUNTIFS($B$2:$B$1001,B898,$A$2:$A$1001,"&lt;"&amp;A898,$A$2:$A$1001,"&gt;="&amp;(A898-설정!$B$6),$H$2:$H$1001,"&gt;=0"))</f>
        <v/>
      </c>
      <c r="K898" s="21" t="str">
        <f aca="false">IF(I898="","",H898/I898-1)</f>
        <v/>
      </c>
      <c r="L898" s="19" t="str">
        <f aca="false">IF(H898="","",IF(J898&lt;설정!$B$7,"baseline 수집 중",IF(K898&lt;=-설정!$B$8,"저하","정상")))</f>
        <v/>
      </c>
      <c r="M898" s="20"/>
    </row>
    <row r="899" customFormat="false" ht="15" hidden="false" customHeight="false" outlineLevel="0" collapsed="false">
      <c r="A899" s="16"/>
      <c r="B899" s="17"/>
      <c r="C899" s="17"/>
      <c r="D899" s="17"/>
      <c r="E899" s="17"/>
      <c r="F899" s="17"/>
      <c r="G899" s="18" t="str">
        <f aca="false">IF(COUNT(D899:F899)=0,"",MAX(D899:F899))</f>
        <v/>
      </c>
      <c r="H899" s="18" t="str">
        <f aca="false">IF(COUNT(D899:F899)=0,"",ROUND(AVERAGE(D899:F899),1))</f>
        <v/>
      </c>
      <c r="I899" s="18" t="str">
        <f aca="false">IF(H899="","",IF(J899&lt;설정!$B$7,"",ROUND(AVERAGEIFS($H$2:$H$1001,$B$2:$B$1001,B899,$A$2:$A$1001,"&lt;"&amp;A899,$A$2:$A$1001,"&gt;="&amp;(A899-설정!$B$6)),1)))</f>
        <v/>
      </c>
      <c r="J899" s="18" t="str">
        <f aca="false">IF(H899="","",COUNTIFS($B$2:$B$1001,B899,$A$2:$A$1001,"&lt;"&amp;A899,$A$2:$A$1001,"&gt;="&amp;(A899-설정!$B$6),$H$2:$H$1001,"&gt;=0"))</f>
        <v/>
      </c>
      <c r="K899" s="21" t="str">
        <f aca="false">IF(I899="","",H899/I899-1)</f>
        <v/>
      </c>
      <c r="L899" s="19" t="str">
        <f aca="false">IF(H899="","",IF(J899&lt;설정!$B$7,"baseline 수집 중",IF(K899&lt;=-설정!$B$8,"저하","정상")))</f>
        <v/>
      </c>
      <c r="M899" s="20"/>
    </row>
    <row r="900" customFormat="false" ht="15" hidden="false" customHeight="false" outlineLevel="0" collapsed="false">
      <c r="A900" s="16"/>
      <c r="B900" s="17"/>
      <c r="C900" s="17"/>
      <c r="D900" s="17"/>
      <c r="E900" s="17"/>
      <c r="F900" s="17"/>
      <c r="G900" s="18" t="str">
        <f aca="false">IF(COUNT(D900:F900)=0,"",MAX(D900:F900))</f>
        <v/>
      </c>
      <c r="H900" s="18" t="str">
        <f aca="false">IF(COUNT(D900:F900)=0,"",ROUND(AVERAGE(D900:F900),1))</f>
        <v/>
      </c>
      <c r="I900" s="18" t="str">
        <f aca="false">IF(H900="","",IF(J900&lt;설정!$B$7,"",ROUND(AVERAGEIFS($H$2:$H$1001,$B$2:$B$1001,B900,$A$2:$A$1001,"&lt;"&amp;A900,$A$2:$A$1001,"&gt;="&amp;(A900-설정!$B$6)),1)))</f>
        <v/>
      </c>
      <c r="J900" s="18" t="str">
        <f aca="false">IF(H900="","",COUNTIFS($B$2:$B$1001,B900,$A$2:$A$1001,"&lt;"&amp;A900,$A$2:$A$1001,"&gt;="&amp;(A900-설정!$B$6),$H$2:$H$1001,"&gt;=0"))</f>
        <v/>
      </c>
      <c r="K900" s="21" t="str">
        <f aca="false">IF(I900="","",H900/I900-1)</f>
        <v/>
      </c>
      <c r="L900" s="19" t="str">
        <f aca="false">IF(H900="","",IF(J900&lt;설정!$B$7,"baseline 수집 중",IF(K900&lt;=-설정!$B$8,"저하","정상")))</f>
        <v/>
      </c>
      <c r="M900" s="20"/>
    </row>
    <row r="901" customFormat="false" ht="15" hidden="false" customHeight="false" outlineLevel="0" collapsed="false">
      <c r="A901" s="16"/>
      <c r="B901" s="17"/>
      <c r="C901" s="17"/>
      <c r="D901" s="17"/>
      <c r="E901" s="17"/>
      <c r="F901" s="17"/>
      <c r="G901" s="18" t="str">
        <f aca="false">IF(COUNT(D901:F901)=0,"",MAX(D901:F901))</f>
        <v/>
      </c>
      <c r="H901" s="18" t="str">
        <f aca="false">IF(COUNT(D901:F901)=0,"",ROUND(AVERAGE(D901:F901),1))</f>
        <v/>
      </c>
      <c r="I901" s="18" t="str">
        <f aca="false">IF(H901="","",IF(J901&lt;설정!$B$7,"",ROUND(AVERAGEIFS($H$2:$H$1001,$B$2:$B$1001,B901,$A$2:$A$1001,"&lt;"&amp;A901,$A$2:$A$1001,"&gt;="&amp;(A901-설정!$B$6)),1)))</f>
        <v/>
      </c>
      <c r="J901" s="18" t="str">
        <f aca="false">IF(H901="","",COUNTIFS($B$2:$B$1001,B901,$A$2:$A$1001,"&lt;"&amp;A901,$A$2:$A$1001,"&gt;="&amp;(A901-설정!$B$6),$H$2:$H$1001,"&gt;=0"))</f>
        <v/>
      </c>
      <c r="K901" s="21" t="str">
        <f aca="false">IF(I901="","",H901/I901-1)</f>
        <v/>
      </c>
      <c r="L901" s="19" t="str">
        <f aca="false">IF(H901="","",IF(J901&lt;설정!$B$7,"baseline 수집 중",IF(K901&lt;=-설정!$B$8,"저하","정상")))</f>
        <v/>
      </c>
      <c r="M901" s="20"/>
    </row>
    <row r="902" customFormat="false" ht="15" hidden="false" customHeight="false" outlineLevel="0" collapsed="false">
      <c r="A902" s="16"/>
      <c r="B902" s="17"/>
      <c r="C902" s="17"/>
      <c r="D902" s="17"/>
      <c r="E902" s="17"/>
      <c r="F902" s="17"/>
      <c r="G902" s="18" t="str">
        <f aca="false">IF(COUNT(D902:F902)=0,"",MAX(D902:F902))</f>
        <v/>
      </c>
      <c r="H902" s="18" t="str">
        <f aca="false">IF(COUNT(D902:F902)=0,"",ROUND(AVERAGE(D902:F902),1))</f>
        <v/>
      </c>
      <c r="I902" s="18" t="str">
        <f aca="false">IF(H902="","",IF(J902&lt;설정!$B$7,"",ROUND(AVERAGEIFS($H$2:$H$1001,$B$2:$B$1001,B902,$A$2:$A$1001,"&lt;"&amp;A902,$A$2:$A$1001,"&gt;="&amp;(A902-설정!$B$6)),1)))</f>
        <v/>
      </c>
      <c r="J902" s="18" t="str">
        <f aca="false">IF(H902="","",COUNTIFS($B$2:$B$1001,B902,$A$2:$A$1001,"&lt;"&amp;A902,$A$2:$A$1001,"&gt;="&amp;(A902-설정!$B$6),$H$2:$H$1001,"&gt;=0"))</f>
        <v/>
      </c>
      <c r="K902" s="21" t="str">
        <f aca="false">IF(I902="","",H902/I902-1)</f>
        <v/>
      </c>
      <c r="L902" s="19" t="str">
        <f aca="false">IF(H902="","",IF(J902&lt;설정!$B$7,"baseline 수집 중",IF(K902&lt;=-설정!$B$8,"저하","정상")))</f>
        <v/>
      </c>
      <c r="M902" s="20"/>
    </row>
    <row r="903" customFormat="false" ht="15" hidden="false" customHeight="false" outlineLevel="0" collapsed="false">
      <c r="A903" s="16"/>
      <c r="B903" s="17"/>
      <c r="C903" s="17"/>
      <c r="D903" s="17"/>
      <c r="E903" s="17"/>
      <c r="F903" s="17"/>
      <c r="G903" s="18" t="str">
        <f aca="false">IF(COUNT(D903:F903)=0,"",MAX(D903:F903))</f>
        <v/>
      </c>
      <c r="H903" s="18" t="str">
        <f aca="false">IF(COUNT(D903:F903)=0,"",ROUND(AVERAGE(D903:F903),1))</f>
        <v/>
      </c>
      <c r="I903" s="18" t="str">
        <f aca="false">IF(H903="","",IF(J903&lt;설정!$B$7,"",ROUND(AVERAGEIFS($H$2:$H$1001,$B$2:$B$1001,B903,$A$2:$A$1001,"&lt;"&amp;A903,$A$2:$A$1001,"&gt;="&amp;(A903-설정!$B$6)),1)))</f>
        <v/>
      </c>
      <c r="J903" s="18" t="str">
        <f aca="false">IF(H903="","",COUNTIFS($B$2:$B$1001,B903,$A$2:$A$1001,"&lt;"&amp;A903,$A$2:$A$1001,"&gt;="&amp;(A903-설정!$B$6),$H$2:$H$1001,"&gt;=0"))</f>
        <v/>
      </c>
      <c r="K903" s="21" t="str">
        <f aca="false">IF(I903="","",H903/I903-1)</f>
        <v/>
      </c>
      <c r="L903" s="19" t="str">
        <f aca="false">IF(H903="","",IF(J903&lt;설정!$B$7,"baseline 수집 중",IF(K903&lt;=-설정!$B$8,"저하","정상")))</f>
        <v/>
      </c>
      <c r="M903" s="20"/>
    </row>
    <row r="904" customFormat="false" ht="15" hidden="false" customHeight="false" outlineLevel="0" collapsed="false">
      <c r="A904" s="16"/>
      <c r="B904" s="17"/>
      <c r="C904" s="17"/>
      <c r="D904" s="17"/>
      <c r="E904" s="17"/>
      <c r="F904" s="17"/>
      <c r="G904" s="18" t="str">
        <f aca="false">IF(COUNT(D904:F904)=0,"",MAX(D904:F904))</f>
        <v/>
      </c>
      <c r="H904" s="18" t="str">
        <f aca="false">IF(COUNT(D904:F904)=0,"",ROUND(AVERAGE(D904:F904),1))</f>
        <v/>
      </c>
      <c r="I904" s="18" t="str">
        <f aca="false">IF(H904="","",IF(J904&lt;설정!$B$7,"",ROUND(AVERAGEIFS($H$2:$H$1001,$B$2:$B$1001,B904,$A$2:$A$1001,"&lt;"&amp;A904,$A$2:$A$1001,"&gt;="&amp;(A904-설정!$B$6)),1)))</f>
        <v/>
      </c>
      <c r="J904" s="18" t="str">
        <f aca="false">IF(H904="","",COUNTIFS($B$2:$B$1001,B904,$A$2:$A$1001,"&lt;"&amp;A904,$A$2:$A$1001,"&gt;="&amp;(A904-설정!$B$6),$H$2:$H$1001,"&gt;=0"))</f>
        <v/>
      </c>
      <c r="K904" s="21" t="str">
        <f aca="false">IF(I904="","",H904/I904-1)</f>
        <v/>
      </c>
      <c r="L904" s="19" t="str">
        <f aca="false">IF(H904="","",IF(J904&lt;설정!$B$7,"baseline 수집 중",IF(K904&lt;=-설정!$B$8,"저하","정상")))</f>
        <v/>
      </c>
      <c r="M904" s="20"/>
    </row>
    <row r="905" customFormat="false" ht="15" hidden="false" customHeight="false" outlineLevel="0" collapsed="false">
      <c r="A905" s="16"/>
      <c r="B905" s="17"/>
      <c r="C905" s="17"/>
      <c r="D905" s="17"/>
      <c r="E905" s="17"/>
      <c r="F905" s="17"/>
      <c r="G905" s="18" t="str">
        <f aca="false">IF(COUNT(D905:F905)=0,"",MAX(D905:F905))</f>
        <v/>
      </c>
      <c r="H905" s="18" t="str">
        <f aca="false">IF(COUNT(D905:F905)=0,"",ROUND(AVERAGE(D905:F905),1))</f>
        <v/>
      </c>
      <c r="I905" s="18" t="str">
        <f aca="false">IF(H905="","",IF(J905&lt;설정!$B$7,"",ROUND(AVERAGEIFS($H$2:$H$1001,$B$2:$B$1001,B905,$A$2:$A$1001,"&lt;"&amp;A905,$A$2:$A$1001,"&gt;="&amp;(A905-설정!$B$6)),1)))</f>
        <v/>
      </c>
      <c r="J905" s="18" t="str">
        <f aca="false">IF(H905="","",COUNTIFS($B$2:$B$1001,B905,$A$2:$A$1001,"&lt;"&amp;A905,$A$2:$A$1001,"&gt;="&amp;(A905-설정!$B$6),$H$2:$H$1001,"&gt;=0"))</f>
        <v/>
      </c>
      <c r="K905" s="21" t="str">
        <f aca="false">IF(I905="","",H905/I905-1)</f>
        <v/>
      </c>
      <c r="L905" s="19" t="str">
        <f aca="false">IF(H905="","",IF(J905&lt;설정!$B$7,"baseline 수집 중",IF(K905&lt;=-설정!$B$8,"저하","정상")))</f>
        <v/>
      </c>
      <c r="M905" s="20"/>
    </row>
    <row r="906" customFormat="false" ht="15" hidden="false" customHeight="false" outlineLevel="0" collapsed="false">
      <c r="A906" s="16"/>
      <c r="B906" s="17"/>
      <c r="C906" s="17"/>
      <c r="D906" s="17"/>
      <c r="E906" s="17"/>
      <c r="F906" s="17"/>
      <c r="G906" s="18" t="str">
        <f aca="false">IF(COUNT(D906:F906)=0,"",MAX(D906:F906))</f>
        <v/>
      </c>
      <c r="H906" s="18" t="str">
        <f aca="false">IF(COUNT(D906:F906)=0,"",ROUND(AVERAGE(D906:F906),1))</f>
        <v/>
      </c>
      <c r="I906" s="18" t="str">
        <f aca="false">IF(H906="","",IF(J906&lt;설정!$B$7,"",ROUND(AVERAGEIFS($H$2:$H$1001,$B$2:$B$1001,B906,$A$2:$A$1001,"&lt;"&amp;A906,$A$2:$A$1001,"&gt;="&amp;(A906-설정!$B$6)),1)))</f>
        <v/>
      </c>
      <c r="J906" s="18" t="str">
        <f aca="false">IF(H906="","",COUNTIFS($B$2:$B$1001,B906,$A$2:$A$1001,"&lt;"&amp;A906,$A$2:$A$1001,"&gt;="&amp;(A906-설정!$B$6),$H$2:$H$1001,"&gt;=0"))</f>
        <v/>
      </c>
      <c r="K906" s="21" t="str">
        <f aca="false">IF(I906="","",H906/I906-1)</f>
        <v/>
      </c>
      <c r="L906" s="19" t="str">
        <f aca="false">IF(H906="","",IF(J906&lt;설정!$B$7,"baseline 수집 중",IF(K906&lt;=-설정!$B$8,"저하","정상")))</f>
        <v/>
      </c>
      <c r="M906" s="20"/>
    </row>
    <row r="907" customFormat="false" ht="15" hidden="false" customHeight="false" outlineLevel="0" collapsed="false">
      <c r="A907" s="16"/>
      <c r="B907" s="17"/>
      <c r="C907" s="17"/>
      <c r="D907" s="17"/>
      <c r="E907" s="17"/>
      <c r="F907" s="17"/>
      <c r="G907" s="18" t="str">
        <f aca="false">IF(COUNT(D907:F907)=0,"",MAX(D907:F907))</f>
        <v/>
      </c>
      <c r="H907" s="18" t="str">
        <f aca="false">IF(COUNT(D907:F907)=0,"",ROUND(AVERAGE(D907:F907),1))</f>
        <v/>
      </c>
      <c r="I907" s="18" t="str">
        <f aca="false">IF(H907="","",IF(J907&lt;설정!$B$7,"",ROUND(AVERAGEIFS($H$2:$H$1001,$B$2:$B$1001,B907,$A$2:$A$1001,"&lt;"&amp;A907,$A$2:$A$1001,"&gt;="&amp;(A907-설정!$B$6)),1)))</f>
        <v/>
      </c>
      <c r="J907" s="18" t="str">
        <f aca="false">IF(H907="","",COUNTIFS($B$2:$B$1001,B907,$A$2:$A$1001,"&lt;"&amp;A907,$A$2:$A$1001,"&gt;="&amp;(A907-설정!$B$6),$H$2:$H$1001,"&gt;=0"))</f>
        <v/>
      </c>
      <c r="K907" s="21" t="str">
        <f aca="false">IF(I907="","",H907/I907-1)</f>
        <v/>
      </c>
      <c r="L907" s="19" t="str">
        <f aca="false">IF(H907="","",IF(J907&lt;설정!$B$7,"baseline 수집 중",IF(K907&lt;=-설정!$B$8,"저하","정상")))</f>
        <v/>
      </c>
      <c r="M907" s="20"/>
    </row>
    <row r="908" customFormat="false" ht="15" hidden="false" customHeight="false" outlineLevel="0" collapsed="false">
      <c r="A908" s="16"/>
      <c r="B908" s="17"/>
      <c r="C908" s="17"/>
      <c r="D908" s="17"/>
      <c r="E908" s="17"/>
      <c r="F908" s="17"/>
      <c r="G908" s="18" t="str">
        <f aca="false">IF(COUNT(D908:F908)=0,"",MAX(D908:F908))</f>
        <v/>
      </c>
      <c r="H908" s="18" t="str">
        <f aca="false">IF(COUNT(D908:F908)=0,"",ROUND(AVERAGE(D908:F908),1))</f>
        <v/>
      </c>
      <c r="I908" s="18" t="str">
        <f aca="false">IF(H908="","",IF(J908&lt;설정!$B$7,"",ROUND(AVERAGEIFS($H$2:$H$1001,$B$2:$B$1001,B908,$A$2:$A$1001,"&lt;"&amp;A908,$A$2:$A$1001,"&gt;="&amp;(A908-설정!$B$6)),1)))</f>
        <v/>
      </c>
      <c r="J908" s="18" t="str">
        <f aca="false">IF(H908="","",COUNTIFS($B$2:$B$1001,B908,$A$2:$A$1001,"&lt;"&amp;A908,$A$2:$A$1001,"&gt;="&amp;(A908-설정!$B$6),$H$2:$H$1001,"&gt;=0"))</f>
        <v/>
      </c>
      <c r="K908" s="21" t="str">
        <f aca="false">IF(I908="","",H908/I908-1)</f>
        <v/>
      </c>
      <c r="L908" s="19" t="str">
        <f aca="false">IF(H908="","",IF(J908&lt;설정!$B$7,"baseline 수집 중",IF(K908&lt;=-설정!$B$8,"저하","정상")))</f>
        <v/>
      </c>
      <c r="M908" s="20"/>
    </row>
    <row r="909" customFormat="false" ht="15" hidden="false" customHeight="false" outlineLevel="0" collapsed="false">
      <c r="A909" s="16"/>
      <c r="B909" s="17"/>
      <c r="C909" s="17"/>
      <c r="D909" s="17"/>
      <c r="E909" s="17"/>
      <c r="F909" s="17"/>
      <c r="G909" s="18" t="str">
        <f aca="false">IF(COUNT(D909:F909)=0,"",MAX(D909:F909))</f>
        <v/>
      </c>
      <c r="H909" s="18" t="str">
        <f aca="false">IF(COUNT(D909:F909)=0,"",ROUND(AVERAGE(D909:F909),1))</f>
        <v/>
      </c>
      <c r="I909" s="18" t="str">
        <f aca="false">IF(H909="","",IF(J909&lt;설정!$B$7,"",ROUND(AVERAGEIFS($H$2:$H$1001,$B$2:$B$1001,B909,$A$2:$A$1001,"&lt;"&amp;A909,$A$2:$A$1001,"&gt;="&amp;(A909-설정!$B$6)),1)))</f>
        <v/>
      </c>
      <c r="J909" s="18" t="str">
        <f aca="false">IF(H909="","",COUNTIFS($B$2:$B$1001,B909,$A$2:$A$1001,"&lt;"&amp;A909,$A$2:$A$1001,"&gt;="&amp;(A909-설정!$B$6),$H$2:$H$1001,"&gt;=0"))</f>
        <v/>
      </c>
      <c r="K909" s="21" t="str">
        <f aca="false">IF(I909="","",H909/I909-1)</f>
        <v/>
      </c>
      <c r="L909" s="19" t="str">
        <f aca="false">IF(H909="","",IF(J909&lt;설정!$B$7,"baseline 수집 중",IF(K909&lt;=-설정!$B$8,"저하","정상")))</f>
        <v/>
      </c>
      <c r="M909" s="20"/>
    </row>
    <row r="910" customFormat="false" ht="15" hidden="false" customHeight="false" outlineLevel="0" collapsed="false">
      <c r="A910" s="16"/>
      <c r="B910" s="17"/>
      <c r="C910" s="17"/>
      <c r="D910" s="17"/>
      <c r="E910" s="17"/>
      <c r="F910" s="17"/>
      <c r="G910" s="18" t="str">
        <f aca="false">IF(COUNT(D910:F910)=0,"",MAX(D910:F910))</f>
        <v/>
      </c>
      <c r="H910" s="18" t="str">
        <f aca="false">IF(COUNT(D910:F910)=0,"",ROUND(AVERAGE(D910:F910),1))</f>
        <v/>
      </c>
      <c r="I910" s="18" t="str">
        <f aca="false">IF(H910="","",IF(J910&lt;설정!$B$7,"",ROUND(AVERAGEIFS($H$2:$H$1001,$B$2:$B$1001,B910,$A$2:$A$1001,"&lt;"&amp;A910,$A$2:$A$1001,"&gt;="&amp;(A910-설정!$B$6)),1)))</f>
        <v/>
      </c>
      <c r="J910" s="18" t="str">
        <f aca="false">IF(H910="","",COUNTIFS($B$2:$B$1001,B910,$A$2:$A$1001,"&lt;"&amp;A910,$A$2:$A$1001,"&gt;="&amp;(A910-설정!$B$6),$H$2:$H$1001,"&gt;=0"))</f>
        <v/>
      </c>
      <c r="K910" s="21" t="str">
        <f aca="false">IF(I910="","",H910/I910-1)</f>
        <v/>
      </c>
      <c r="L910" s="19" t="str">
        <f aca="false">IF(H910="","",IF(J910&lt;설정!$B$7,"baseline 수집 중",IF(K910&lt;=-설정!$B$8,"저하","정상")))</f>
        <v/>
      </c>
      <c r="M910" s="20"/>
    </row>
    <row r="911" customFormat="false" ht="15" hidden="false" customHeight="false" outlineLevel="0" collapsed="false">
      <c r="A911" s="16"/>
      <c r="B911" s="17"/>
      <c r="C911" s="17"/>
      <c r="D911" s="17"/>
      <c r="E911" s="17"/>
      <c r="F911" s="17"/>
      <c r="G911" s="18" t="str">
        <f aca="false">IF(COUNT(D911:F911)=0,"",MAX(D911:F911))</f>
        <v/>
      </c>
      <c r="H911" s="18" t="str">
        <f aca="false">IF(COUNT(D911:F911)=0,"",ROUND(AVERAGE(D911:F911),1))</f>
        <v/>
      </c>
      <c r="I911" s="18" t="str">
        <f aca="false">IF(H911="","",IF(J911&lt;설정!$B$7,"",ROUND(AVERAGEIFS($H$2:$H$1001,$B$2:$B$1001,B911,$A$2:$A$1001,"&lt;"&amp;A911,$A$2:$A$1001,"&gt;="&amp;(A911-설정!$B$6)),1)))</f>
        <v/>
      </c>
      <c r="J911" s="18" t="str">
        <f aca="false">IF(H911="","",COUNTIFS($B$2:$B$1001,B911,$A$2:$A$1001,"&lt;"&amp;A911,$A$2:$A$1001,"&gt;="&amp;(A911-설정!$B$6),$H$2:$H$1001,"&gt;=0"))</f>
        <v/>
      </c>
      <c r="K911" s="21" t="str">
        <f aca="false">IF(I911="","",H911/I911-1)</f>
        <v/>
      </c>
      <c r="L911" s="19" t="str">
        <f aca="false">IF(H911="","",IF(J911&lt;설정!$B$7,"baseline 수집 중",IF(K911&lt;=-설정!$B$8,"저하","정상")))</f>
        <v/>
      </c>
      <c r="M911" s="20"/>
    </row>
    <row r="912" customFormat="false" ht="15" hidden="false" customHeight="false" outlineLevel="0" collapsed="false">
      <c r="A912" s="16"/>
      <c r="B912" s="17"/>
      <c r="C912" s="17"/>
      <c r="D912" s="17"/>
      <c r="E912" s="17"/>
      <c r="F912" s="17"/>
      <c r="G912" s="18" t="str">
        <f aca="false">IF(COUNT(D912:F912)=0,"",MAX(D912:F912))</f>
        <v/>
      </c>
      <c r="H912" s="18" t="str">
        <f aca="false">IF(COUNT(D912:F912)=0,"",ROUND(AVERAGE(D912:F912),1))</f>
        <v/>
      </c>
      <c r="I912" s="18" t="str">
        <f aca="false">IF(H912="","",IF(J912&lt;설정!$B$7,"",ROUND(AVERAGEIFS($H$2:$H$1001,$B$2:$B$1001,B912,$A$2:$A$1001,"&lt;"&amp;A912,$A$2:$A$1001,"&gt;="&amp;(A912-설정!$B$6)),1)))</f>
        <v/>
      </c>
      <c r="J912" s="18" t="str">
        <f aca="false">IF(H912="","",COUNTIFS($B$2:$B$1001,B912,$A$2:$A$1001,"&lt;"&amp;A912,$A$2:$A$1001,"&gt;="&amp;(A912-설정!$B$6),$H$2:$H$1001,"&gt;=0"))</f>
        <v/>
      </c>
      <c r="K912" s="21" t="str">
        <f aca="false">IF(I912="","",H912/I912-1)</f>
        <v/>
      </c>
      <c r="L912" s="19" t="str">
        <f aca="false">IF(H912="","",IF(J912&lt;설정!$B$7,"baseline 수집 중",IF(K912&lt;=-설정!$B$8,"저하","정상")))</f>
        <v/>
      </c>
      <c r="M912" s="20"/>
    </row>
    <row r="913" customFormat="false" ht="15" hidden="false" customHeight="false" outlineLevel="0" collapsed="false">
      <c r="A913" s="16"/>
      <c r="B913" s="17"/>
      <c r="C913" s="17"/>
      <c r="D913" s="17"/>
      <c r="E913" s="17"/>
      <c r="F913" s="17"/>
      <c r="G913" s="18" t="str">
        <f aca="false">IF(COUNT(D913:F913)=0,"",MAX(D913:F913))</f>
        <v/>
      </c>
      <c r="H913" s="18" t="str">
        <f aca="false">IF(COUNT(D913:F913)=0,"",ROUND(AVERAGE(D913:F913),1))</f>
        <v/>
      </c>
      <c r="I913" s="18" t="str">
        <f aca="false">IF(H913="","",IF(J913&lt;설정!$B$7,"",ROUND(AVERAGEIFS($H$2:$H$1001,$B$2:$B$1001,B913,$A$2:$A$1001,"&lt;"&amp;A913,$A$2:$A$1001,"&gt;="&amp;(A913-설정!$B$6)),1)))</f>
        <v/>
      </c>
      <c r="J913" s="18" t="str">
        <f aca="false">IF(H913="","",COUNTIFS($B$2:$B$1001,B913,$A$2:$A$1001,"&lt;"&amp;A913,$A$2:$A$1001,"&gt;="&amp;(A913-설정!$B$6),$H$2:$H$1001,"&gt;=0"))</f>
        <v/>
      </c>
      <c r="K913" s="21" t="str">
        <f aca="false">IF(I913="","",H913/I913-1)</f>
        <v/>
      </c>
      <c r="L913" s="19" t="str">
        <f aca="false">IF(H913="","",IF(J913&lt;설정!$B$7,"baseline 수집 중",IF(K913&lt;=-설정!$B$8,"저하","정상")))</f>
        <v/>
      </c>
      <c r="M913" s="20"/>
    </row>
    <row r="914" customFormat="false" ht="15" hidden="false" customHeight="false" outlineLevel="0" collapsed="false">
      <c r="A914" s="16"/>
      <c r="B914" s="17"/>
      <c r="C914" s="17"/>
      <c r="D914" s="17"/>
      <c r="E914" s="17"/>
      <c r="F914" s="17"/>
      <c r="G914" s="18" t="str">
        <f aca="false">IF(COUNT(D914:F914)=0,"",MAX(D914:F914))</f>
        <v/>
      </c>
      <c r="H914" s="18" t="str">
        <f aca="false">IF(COUNT(D914:F914)=0,"",ROUND(AVERAGE(D914:F914),1))</f>
        <v/>
      </c>
      <c r="I914" s="18" t="str">
        <f aca="false">IF(H914="","",IF(J914&lt;설정!$B$7,"",ROUND(AVERAGEIFS($H$2:$H$1001,$B$2:$B$1001,B914,$A$2:$A$1001,"&lt;"&amp;A914,$A$2:$A$1001,"&gt;="&amp;(A914-설정!$B$6)),1)))</f>
        <v/>
      </c>
      <c r="J914" s="18" t="str">
        <f aca="false">IF(H914="","",COUNTIFS($B$2:$B$1001,B914,$A$2:$A$1001,"&lt;"&amp;A914,$A$2:$A$1001,"&gt;="&amp;(A914-설정!$B$6),$H$2:$H$1001,"&gt;=0"))</f>
        <v/>
      </c>
      <c r="K914" s="21" t="str">
        <f aca="false">IF(I914="","",H914/I914-1)</f>
        <v/>
      </c>
      <c r="L914" s="19" t="str">
        <f aca="false">IF(H914="","",IF(J914&lt;설정!$B$7,"baseline 수집 중",IF(K914&lt;=-설정!$B$8,"저하","정상")))</f>
        <v/>
      </c>
      <c r="M914" s="20"/>
    </row>
    <row r="915" customFormat="false" ht="15" hidden="false" customHeight="false" outlineLevel="0" collapsed="false">
      <c r="A915" s="16"/>
      <c r="B915" s="17"/>
      <c r="C915" s="17"/>
      <c r="D915" s="17"/>
      <c r="E915" s="17"/>
      <c r="F915" s="17"/>
      <c r="G915" s="18" t="str">
        <f aca="false">IF(COUNT(D915:F915)=0,"",MAX(D915:F915))</f>
        <v/>
      </c>
      <c r="H915" s="18" t="str">
        <f aca="false">IF(COUNT(D915:F915)=0,"",ROUND(AVERAGE(D915:F915),1))</f>
        <v/>
      </c>
      <c r="I915" s="18" t="str">
        <f aca="false">IF(H915="","",IF(J915&lt;설정!$B$7,"",ROUND(AVERAGEIFS($H$2:$H$1001,$B$2:$B$1001,B915,$A$2:$A$1001,"&lt;"&amp;A915,$A$2:$A$1001,"&gt;="&amp;(A915-설정!$B$6)),1)))</f>
        <v/>
      </c>
      <c r="J915" s="18" t="str">
        <f aca="false">IF(H915="","",COUNTIFS($B$2:$B$1001,B915,$A$2:$A$1001,"&lt;"&amp;A915,$A$2:$A$1001,"&gt;="&amp;(A915-설정!$B$6),$H$2:$H$1001,"&gt;=0"))</f>
        <v/>
      </c>
      <c r="K915" s="21" t="str">
        <f aca="false">IF(I915="","",H915/I915-1)</f>
        <v/>
      </c>
      <c r="L915" s="19" t="str">
        <f aca="false">IF(H915="","",IF(J915&lt;설정!$B$7,"baseline 수집 중",IF(K915&lt;=-설정!$B$8,"저하","정상")))</f>
        <v/>
      </c>
      <c r="M915" s="20"/>
    </row>
    <row r="916" customFormat="false" ht="15" hidden="false" customHeight="false" outlineLevel="0" collapsed="false">
      <c r="A916" s="16"/>
      <c r="B916" s="17"/>
      <c r="C916" s="17"/>
      <c r="D916" s="17"/>
      <c r="E916" s="17"/>
      <c r="F916" s="17"/>
      <c r="G916" s="18" t="str">
        <f aca="false">IF(COUNT(D916:F916)=0,"",MAX(D916:F916))</f>
        <v/>
      </c>
      <c r="H916" s="18" t="str">
        <f aca="false">IF(COUNT(D916:F916)=0,"",ROUND(AVERAGE(D916:F916),1))</f>
        <v/>
      </c>
      <c r="I916" s="18" t="str">
        <f aca="false">IF(H916="","",IF(J916&lt;설정!$B$7,"",ROUND(AVERAGEIFS($H$2:$H$1001,$B$2:$B$1001,B916,$A$2:$A$1001,"&lt;"&amp;A916,$A$2:$A$1001,"&gt;="&amp;(A916-설정!$B$6)),1)))</f>
        <v/>
      </c>
      <c r="J916" s="18" t="str">
        <f aca="false">IF(H916="","",COUNTIFS($B$2:$B$1001,B916,$A$2:$A$1001,"&lt;"&amp;A916,$A$2:$A$1001,"&gt;="&amp;(A916-설정!$B$6),$H$2:$H$1001,"&gt;=0"))</f>
        <v/>
      </c>
      <c r="K916" s="21" t="str">
        <f aca="false">IF(I916="","",H916/I916-1)</f>
        <v/>
      </c>
      <c r="L916" s="19" t="str">
        <f aca="false">IF(H916="","",IF(J916&lt;설정!$B$7,"baseline 수집 중",IF(K916&lt;=-설정!$B$8,"저하","정상")))</f>
        <v/>
      </c>
      <c r="M916" s="20"/>
    </row>
    <row r="917" customFormat="false" ht="15" hidden="false" customHeight="false" outlineLevel="0" collapsed="false">
      <c r="A917" s="16"/>
      <c r="B917" s="17"/>
      <c r="C917" s="17"/>
      <c r="D917" s="17"/>
      <c r="E917" s="17"/>
      <c r="F917" s="17"/>
      <c r="G917" s="18" t="str">
        <f aca="false">IF(COUNT(D917:F917)=0,"",MAX(D917:F917))</f>
        <v/>
      </c>
      <c r="H917" s="18" t="str">
        <f aca="false">IF(COUNT(D917:F917)=0,"",ROUND(AVERAGE(D917:F917),1))</f>
        <v/>
      </c>
      <c r="I917" s="18" t="str">
        <f aca="false">IF(H917="","",IF(J917&lt;설정!$B$7,"",ROUND(AVERAGEIFS($H$2:$H$1001,$B$2:$B$1001,B917,$A$2:$A$1001,"&lt;"&amp;A917,$A$2:$A$1001,"&gt;="&amp;(A917-설정!$B$6)),1)))</f>
        <v/>
      </c>
      <c r="J917" s="18" t="str">
        <f aca="false">IF(H917="","",COUNTIFS($B$2:$B$1001,B917,$A$2:$A$1001,"&lt;"&amp;A917,$A$2:$A$1001,"&gt;="&amp;(A917-설정!$B$6),$H$2:$H$1001,"&gt;=0"))</f>
        <v/>
      </c>
      <c r="K917" s="21" t="str">
        <f aca="false">IF(I917="","",H917/I917-1)</f>
        <v/>
      </c>
      <c r="L917" s="19" t="str">
        <f aca="false">IF(H917="","",IF(J917&lt;설정!$B$7,"baseline 수집 중",IF(K917&lt;=-설정!$B$8,"저하","정상")))</f>
        <v/>
      </c>
      <c r="M917" s="20"/>
    </row>
    <row r="918" customFormat="false" ht="15" hidden="false" customHeight="false" outlineLevel="0" collapsed="false">
      <c r="A918" s="16"/>
      <c r="B918" s="17"/>
      <c r="C918" s="17"/>
      <c r="D918" s="17"/>
      <c r="E918" s="17"/>
      <c r="F918" s="17"/>
      <c r="G918" s="18" t="str">
        <f aca="false">IF(COUNT(D918:F918)=0,"",MAX(D918:F918))</f>
        <v/>
      </c>
      <c r="H918" s="18" t="str">
        <f aca="false">IF(COUNT(D918:F918)=0,"",ROUND(AVERAGE(D918:F918),1))</f>
        <v/>
      </c>
      <c r="I918" s="18" t="str">
        <f aca="false">IF(H918="","",IF(J918&lt;설정!$B$7,"",ROUND(AVERAGEIFS($H$2:$H$1001,$B$2:$B$1001,B918,$A$2:$A$1001,"&lt;"&amp;A918,$A$2:$A$1001,"&gt;="&amp;(A918-설정!$B$6)),1)))</f>
        <v/>
      </c>
      <c r="J918" s="18" t="str">
        <f aca="false">IF(H918="","",COUNTIFS($B$2:$B$1001,B918,$A$2:$A$1001,"&lt;"&amp;A918,$A$2:$A$1001,"&gt;="&amp;(A918-설정!$B$6),$H$2:$H$1001,"&gt;=0"))</f>
        <v/>
      </c>
      <c r="K918" s="21" t="str">
        <f aca="false">IF(I918="","",H918/I918-1)</f>
        <v/>
      </c>
      <c r="L918" s="19" t="str">
        <f aca="false">IF(H918="","",IF(J918&lt;설정!$B$7,"baseline 수집 중",IF(K918&lt;=-설정!$B$8,"저하","정상")))</f>
        <v/>
      </c>
      <c r="M918" s="20"/>
    </row>
    <row r="919" customFormat="false" ht="15" hidden="false" customHeight="false" outlineLevel="0" collapsed="false">
      <c r="A919" s="16"/>
      <c r="B919" s="17"/>
      <c r="C919" s="17"/>
      <c r="D919" s="17"/>
      <c r="E919" s="17"/>
      <c r="F919" s="17"/>
      <c r="G919" s="18" t="str">
        <f aca="false">IF(COUNT(D919:F919)=0,"",MAX(D919:F919))</f>
        <v/>
      </c>
      <c r="H919" s="18" t="str">
        <f aca="false">IF(COUNT(D919:F919)=0,"",ROUND(AVERAGE(D919:F919),1))</f>
        <v/>
      </c>
      <c r="I919" s="18" t="str">
        <f aca="false">IF(H919="","",IF(J919&lt;설정!$B$7,"",ROUND(AVERAGEIFS($H$2:$H$1001,$B$2:$B$1001,B919,$A$2:$A$1001,"&lt;"&amp;A919,$A$2:$A$1001,"&gt;="&amp;(A919-설정!$B$6)),1)))</f>
        <v/>
      </c>
      <c r="J919" s="18" t="str">
        <f aca="false">IF(H919="","",COUNTIFS($B$2:$B$1001,B919,$A$2:$A$1001,"&lt;"&amp;A919,$A$2:$A$1001,"&gt;="&amp;(A919-설정!$B$6),$H$2:$H$1001,"&gt;=0"))</f>
        <v/>
      </c>
      <c r="K919" s="21" t="str">
        <f aca="false">IF(I919="","",H919/I919-1)</f>
        <v/>
      </c>
      <c r="L919" s="19" t="str">
        <f aca="false">IF(H919="","",IF(J919&lt;설정!$B$7,"baseline 수집 중",IF(K919&lt;=-설정!$B$8,"저하","정상")))</f>
        <v/>
      </c>
      <c r="M919" s="20"/>
    </row>
    <row r="920" customFormat="false" ht="15" hidden="false" customHeight="false" outlineLevel="0" collapsed="false">
      <c r="A920" s="16"/>
      <c r="B920" s="17"/>
      <c r="C920" s="17"/>
      <c r="D920" s="17"/>
      <c r="E920" s="17"/>
      <c r="F920" s="17"/>
      <c r="G920" s="18" t="str">
        <f aca="false">IF(COUNT(D920:F920)=0,"",MAX(D920:F920))</f>
        <v/>
      </c>
      <c r="H920" s="18" t="str">
        <f aca="false">IF(COUNT(D920:F920)=0,"",ROUND(AVERAGE(D920:F920),1))</f>
        <v/>
      </c>
      <c r="I920" s="18" t="str">
        <f aca="false">IF(H920="","",IF(J920&lt;설정!$B$7,"",ROUND(AVERAGEIFS($H$2:$H$1001,$B$2:$B$1001,B920,$A$2:$A$1001,"&lt;"&amp;A920,$A$2:$A$1001,"&gt;="&amp;(A920-설정!$B$6)),1)))</f>
        <v/>
      </c>
      <c r="J920" s="18" t="str">
        <f aca="false">IF(H920="","",COUNTIFS($B$2:$B$1001,B920,$A$2:$A$1001,"&lt;"&amp;A920,$A$2:$A$1001,"&gt;="&amp;(A920-설정!$B$6),$H$2:$H$1001,"&gt;=0"))</f>
        <v/>
      </c>
      <c r="K920" s="21" t="str">
        <f aca="false">IF(I920="","",H920/I920-1)</f>
        <v/>
      </c>
      <c r="L920" s="19" t="str">
        <f aca="false">IF(H920="","",IF(J920&lt;설정!$B$7,"baseline 수집 중",IF(K920&lt;=-설정!$B$8,"저하","정상")))</f>
        <v/>
      </c>
      <c r="M920" s="20"/>
    </row>
    <row r="921" customFormat="false" ht="15" hidden="false" customHeight="false" outlineLevel="0" collapsed="false">
      <c r="A921" s="16"/>
      <c r="B921" s="17"/>
      <c r="C921" s="17"/>
      <c r="D921" s="17"/>
      <c r="E921" s="17"/>
      <c r="F921" s="17"/>
      <c r="G921" s="18" t="str">
        <f aca="false">IF(COUNT(D921:F921)=0,"",MAX(D921:F921))</f>
        <v/>
      </c>
      <c r="H921" s="18" t="str">
        <f aca="false">IF(COUNT(D921:F921)=0,"",ROUND(AVERAGE(D921:F921),1))</f>
        <v/>
      </c>
      <c r="I921" s="18" t="str">
        <f aca="false">IF(H921="","",IF(J921&lt;설정!$B$7,"",ROUND(AVERAGEIFS($H$2:$H$1001,$B$2:$B$1001,B921,$A$2:$A$1001,"&lt;"&amp;A921,$A$2:$A$1001,"&gt;="&amp;(A921-설정!$B$6)),1)))</f>
        <v/>
      </c>
      <c r="J921" s="18" t="str">
        <f aca="false">IF(H921="","",COUNTIFS($B$2:$B$1001,B921,$A$2:$A$1001,"&lt;"&amp;A921,$A$2:$A$1001,"&gt;="&amp;(A921-설정!$B$6),$H$2:$H$1001,"&gt;=0"))</f>
        <v/>
      </c>
      <c r="K921" s="21" t="str">
        <f aca="false">IF(I921="","",H921/I921-1)</f>
        <v/>
      </c>
      <c r="L921" s="19" t="str">
        <f aca="false">IF(H921="","",IF(J921&lt;설정!$B$7,"baseline 수집 중",IF(K921&lt;=-설정!$B$8,"저하","정상")))</f>
        <v/>
      </c>
      <c r="M921" s="20"/>
    </row>
    <row r="922" customFormat="false" ht="15" hidden="false" customHeight="false" outlineLevel="0" collapsed="false">
      <c r="A922" s="16"/>
      <c r="B922" s="17"/>
      <c r="C922" s="17"/>
      <c r="D922" s="17"/>
      <c r="E922" s="17"/>
      <c r="F922" s="17"/>
      <c r="G922" s="18" t="str">
        <f aca="false">IF(COUNT(D922:F922)=0,"",MAX(D922:F922))</f>
        <v/>
      </c>
      <c r="H922" s="18" t="str">
        <f aca="false">IF(COUNT(D922:F922)=0,"",ROUND(AVERAGE(D922:F922),1))</f>
        <v/>
      </c>
      <c r="I922" s="18" t="str">
        <f aca="false">IF(H922="","",IF(J922&lt;설정!$B$7,"",ROUND(AVERAGEIFS($H$2:$H$1001,$B$2:$B$1001,B922,$A$2:$A$1001,"&lt;"&amp;A922,$A$2:$A$1001,"&gt;="&amp;(A922-설정!$B$6)),1)))</f>
        <v/>
      </c>
      <c r="J922" s="18" t="str">
        <f aca="false">IF(H922="","",COUNTIFS($B$2:$B$1001,B922,$A$2:$A$1001,"&lt;"&amp;A922,$A$2:$A$1001,"&gt;="&amp;(A922-설정!$B$6),$H$2:$H$1001,"&gt;=0"))</f>
        <v/>
      </c>
      <c r="K922" s="21" t="str">
        <f aca="false">IF(I922="","",H922/I922-1)</f>
        <v/>
      </c>
      <c r="L922" s="19" t="str">
        <f aca="false">IF(H922="","",IF(J922&lt;설정!$B$7,"baseline 수집 중",IF(K922&lt;=-설정!$B$8,"저하","정상")))</f>
        <v/>
      </c>
      <c r="M922" s="20"/>
    </row>
    <row r="923" customFormat="false" ht="15" hidden="false" customHeight="false" outlineLevel="0" collapsed="false">
      <c r="A923" s="16"/>
      <c r="B923" s="17"/>
      <c r="C923" s="17"/>
      <c r="D923" s="17"/>
      <c r="E923" s="17"/>
      <c r="F923" s="17"/>
      <c r="G923" s="18" t="str">
        <f aca="false">IF(COUNT(D923:F923)=0,"",MAX(D923:F923))</f>
        <v/>
      </c>
      <c r="H923" s="18" t="str">
        <f aca="false">IF(COUNT(D923:F923)=0,"",ROUND(AVERAGE(D923:F923),1))</f>
        <v/>
      </c>
      <c r="I923" s="18" t="str">
        <f aca="false">IF(H923="","",IF(J923&lt;설정!$B$7,"",ROUND(AVERAGEIFS($H$2:$H$1001,$B$2:$B$1001,B923,$A$2:$A$1001,"&lt;"&amp;A923,$A$2:$A$1001,"&gt;="&amp;(A923-설정!$B$6)),1)))</f>
        <v/>
      </c>
      <c r="J923" s="18" t="str">
        <f aca="false">IF(H923="","",COUNTIFS($B$2:$B$1001,B923,$A$2:$A$1001,"&lt;"&amp;A923,$A$2:$A$1001,"&gt;="&amp;(A923-설정!$B$6),$H$2:$H$1001,"&gt;=0"))</f>
        <v/>
      </c>
      <c r="K923" s="21" t="str">
        <f aca="false">IF(I923="","",H923/I923-1)</f>
        <v/>
      </c>
      <c r="L923" s="19" t="str">
        <f aca="false">IF(H923="","",IF(J923&lt;설정!$B$7,"baseline 수집 중",IF(K923&lt;=-설정!$B$8,"저하","정상")))</f>
        <v/>
      </c>
      <c r="M923" s="20"/>
    </row>
    <row r="924" customFormat="false" ht="15" hidden="false" customHeight="false" outlineLevel="0" collapsed="false">
      <c r="A924" s="16"/>
      <c r="B924" s="17"/>
      <c r="C924" s="17"/>
      <c r="D924" s="17"/>
      <c r="E924" s="17"/>
      <c r="F924" s="17"/>
      <c r="G924" s="18" t="str">
        <f aca="false">IF(COUNT(D924:F924)=0,"",MAX(D924:F924))</f>
        <v/>
      </c>
      <c r="H924" s="18" t="str">
        <f aca="false">IF(COUNT(D924:F924)=0,"",ROUND(AVERAGE(D924:F924),1))</f>
        <v/>
      </c>
      <c r="I924" s="18" t="str">
        <f aca="false">IF(H924="","",IF(J924&lt;설정!$B$7,"",ROUND(AVERAGEIFS($H$2:$H$1001,$B$2:$B$1001,B924,$A$2:$A$1001,"&lt;"&amp;A924,$A$2:$A$1001,"&gt;="&amp;(A924-설정!$B$6)),1)))</f>
        <v/>
      </c>
      <c r="J924" s="18" t="str">
        <f aca="false">IF(H924="","",COUNTIFS($B$2:$B$1001,B924,$A$2:$A$1001,"&lt;"&amp;A924,$A$2:$A$1001,"&gt;="&amp;(A924-설정!$B$6),$H$2:$H$1001,"&gt;=0"))</f>
        <v/>
      </c>
      <c r="K924" s="21" t="str">
        <f aca="false">IF(I924="","",H924/I924-1)</f>
        <v/>
      </c>
      <c r="L924" s="19" t="str">
        <f aca="false">IF(H924="","",IF(J924&lt;설정!$B$7,"baseline 수집 중",IF(K924&lt;=-설정!$B$8,"저하","정상")))</f>
        <v/>
      </c>
      <c r="M924" s="20"/>
    </row>
    <row r="925" customFormat="false" ht="15" hidden="false" customHeight="false" outlineLevel="0" collapsed="false">
      <c r="A925" s="16"/>
      <c r="B925" s="17"/>
      <c r="C925" s="17"/>
      <c r="D925" s="17"/>
      <c r="E925" s="17"/>
      <c r="F925" s="17"/>
      <c r="G925" s="18" t="str">
        <f aca="false">IF(COUNT(D925:F925)=0,"",MAX(D925:F925))</f>
        <v/>
      </c>
      <c r="H925" s="18" t="str">
        <f aca="false">IF(COUNT(D925:F925)=0,"",ROUND(AVERAGE(D925:F925),1))</f>
        <v/>
      </c>
      <c r="I925" s="18" t="str">
        <f aca="false">IF(H925="","",IF(J925&lt;설정!$B$7,"",ROUND(AVERAGEIFS($H$2:$H$1001,$B$2:$B$1001,B925,$A$2:$A$1001,"&lt;"&amp;A925,$A$2:$A$1001,"&gt;="&amp;(A925-설정!$B$6)),1)))</f>
        <v/>
      </c>
      <c r="J925" s="18" t="str">
        <f aca="false">IF(H925="","",COUNTIFS($B$2:$B$1001,B925,$A$2:$A$1001,"&lt;"&amp;A925,$A$2:$A$1001,"&gt;="&amp;(A925-설정!$B$6),$H$2:$H$1001,"&gt;=0"))</f>
        <v/>
      </c>
      <c r="K925" s="21" t="str">
        <f aca="false">IF(I925="","",H925/I925-1)</f>
        <v/>
      </c>
      <c r="L925" s="19" t="str">
        <f aca="false">IF(H925="","",IF(J925&lt;설정!$B$7,"baseline 수집 중",IF(K925&lt;=-설정!$B$8,"저하","정상")))</f>
        <v/>
      </c>
      <c r="M925" s="20"/>
    </row>
    <row r="926" customFormat="false" ht="15" hidden="false" customHeight="false" outlineLevel="0" collapsed="false">
      <c r="A926" s="16"/>
      <c r="B926" s="17"/>
      <c r="C926" s="17"/>
      <c r="D926" s="17"/>
      <c r="E926" s="17"/>
      <c r="F926" s="17"/>
      <c r="G926" s="18" t="str">
        <f aca="false">IF(COUNT(D926:F926)=0,"",MAX(D926:F926))</f>
        <v/>
      </c>
      <c r="H926" s="18" t="str">
        <f aca="false">IF(COUNT(D926:F926)=0,"",ROUND(AVERAGE(D926:F926),1))</f>
        <v/>
      </c>
      <c r="I926" s="18" t="str">
        <f aca="false">IF(H926="","",IF(J926&lt;설정!$B$7,"",ROUND(AVERAGEIFS($H$2:$H$1001,$B$2:$B$1001,B926,$A$2:$A$1001,"&lt;"&amp;A926,$A$2:$A$1001,"&gt;="&amp;(A926-설정!$B$6)),1)))</f>
        <v/>
      </c>
      <c r="J926" s="18" t="str">
        <f aca="false">IF(H926="","",COUNTIFS($B$2:$B$1001,B926,$A$2:$A$1001,"&lt;"&amp;A926,$A$2:$A$1001,"&gt;="&amp;(A926-설정!$B$6),$H$2:$H$1001,"&gt;=0"))</f>
        <v/>
      </c>
      <c r="K926" s="21" t="str">
        <f aca="false">IF(I926="","",H926/I926-1)</f>
        <v/>
      </c>
      <c r="L926" s="19" t="str">
        <f aca="false">IF(H926="","",IF(J926&lt;설정!$B$7,"baseline 수집 중",IF(K926&lt;=-설정!$B$8,"저하","정상")))</f>
        <v/>
      </c>
      <c r="M926" s="20"/>
    </row>
    <row r="927" customFormat="false" ht="15" hidden="false" customHeight="false" outlineLevel="0" collapsed="false">
      <c r="A927" s="16"/>
      <c r="B927" s="17"/>
      <c r="C927" s="17"/>
      <c r="D927" s="17"/>
      <c r="E927" s="17"/>
      <c r="F927" s="17"/>
      <c r="G927" s="18" t="str">
        <f aca="false">IF(COUNT(D927:F927)=0,"",MAX(D927:F927))</f>
        <v/>
      </c>
      <c r="H927" s="18" t="str">
        <f aca="false">IF(COUNT(D927:F927)=0,"",ROUND(AVERAGE(D927:F927),1))</f>
        <v/>
      </c>
      <c r="I927" s="18" t="str">
        <f aca="false">IF(H927="","",IF(J927&lt;설정!$B$7,"",ROUND(AVERAGEIFS($H$2:$H$1001,$B$2:$B$1001,B927,$A$2:$A$1001,"&lt;"&amp;A927,$A$2:$A$1001,"&gt;="&amp;(A927-설정!$B$6)),1)))</f>
        <v/>
      </c>
      <c r="J927" s="18" t="str">
        <f aca="false">IF(H927="","",COUNTIFS($B$2:$B$1001,B927,$A$2:$A$1001,"&lt;"&amp;A927,$A$2:$A$1001,"&gt;="&amp;(A927-설정!$B$6),$H$2:$H$1001,"&gt;=0"))</f>
        <v/>
      </c>
      <c r="K927" s="21" t="str">
        <f aca="false">IF(I927="","",H927/I927-1)</f>
        <v/>
      </c>
      <c r="L927" s="19" t="str">
        <f aca="false">IF(H927="","",IF(J927&lt;설정!$B$7,"baseline 수집 중",IF(K927&lt;=-설정!$B$8,"저하","정상")))</f>
        <v/>
      </c>
      <c r="M927" s="20"/>
    </row>
    <row r="928" customFormat="false" ht="15" hidden="false" customHeight="false" outlineLevel="0" collapsed="false">
      <c r="A928" s="16"/>
      <c r="B928" s="17"/>
      <c r="C928" s="17"/>
      <c r="D928" s="17"/>
      <c r="E928" s="17"/>
      <c r="F928" s="17"/>
      <c r="G928" s="18" t="str">
        <f aca="false">IF(COUNT(D928:F928)=0,"",MAX(D928:F928))</f>
        <v/>
      </c>
      <c r="H928" s="18" t="str">
        <f aca="false">IF(COUNT(D928:F928)=0,"",ROUND(AVERAGE(D928:F928),1))</f>
        <v/>
      </c>
      <c r="I928" s="18" t="str">
        <f aca="false">IF(H928="","",IF(J928&lt;설정!$B$7,"",ROUND(AVERAGEIFS($H$2:$H$1001,$B$2:$B$1001,B928,$A$2:$A$1001,"&lt;"&amp;A928,$A$2:$A$1001,"&gt;="&amp;(A928-설정!$B$6)),1)))</f>
        <v/>
      </c>
      <c r="J928" s="18" t="str">
        <f aca="false">IF(H928="","",COUNTIFS($B$2:$B$1001,B928,$A$2:$A$1001,"&lt;"&amp;A928,$A$2:$A$1001,"&gt;="&amp;(A928-설정!$B$6),$H$2:$H$1001,"&gt;=0"))</f>
        <v/>
      </c>
      <c r="K928" s="21" t="str">
        <f aca="false">IF(I928="","",H928/I928-1)</f>
        <v/>
      </c>
      <c r="L928" s="19" t="str">
        <f aca="false">IF(H928="","",IF(J928&lt;설정!$B$7,"baseline 수집 중",IF(K928&lt;=-설정!$B$8,"저하","정상")))</f>
        <v/>
      </c>
      <c r="M928" s="20"/>
    </row>
    <row r="929" customFormat="false" ht="15" hidden="false" customHeight="false" outlineLevel="0" collapsed="false">
      <c r="A929" s="16"/>
      <c r="B929" s="17"/>
      <c r="C929" s="17"/>
      <c r="D929" s="17"/>
      <c r="E929" s="17"/>
      <c r="F929" s="17"/>
      <c r="G929" s="18" t="str">
        <f aca="false">IF(COUNT(D929:F929)=0,"",MAX(D929:F929))</f>
        <v/>
      </c>
      <c r="H929" s="18" t="str">
        <f aca="false">IF(COUNT(D929:F929)=0,"",ROUND(AVERAGE(D929:F929),1))</f>
        <v/>
      </c>
      <c r="I929" s="18" t="str">
        <f aca="false">IF(H929="","",IF(J929&lt;설정!$B$7,"",ROUND(AVERAGEIFS($H$2:$H$1001,$B$2:$B$1001,B929,$A$2:$A$1001,"&lt;"&amp;A929,$A$2:$A$1001,"&gt;="&amp;(A929-설정!$B$6)),1)))</f>
        <v/>
      </c>
      <c r="J929" s="18" t="str">
        <f aca="false">IF(H929="","",COUNTIFS($B$2:$B$1001,B929,$A$2:$A$1001,"&lt;"&amp;A929,$A$2:$A$1001,"&gt;="&amp;(A929-설정!$B$6),$H$2:$H$1001,"&gt;=0"))</f>
        <v/>
      </c>
      <c r="K929" s="21" t="str">
        <f aca="false">IF(I929="","",H929/I929-1)</f>
        <v/>
      </c>
      <c r="L929" s="19" t="str">
        <f aca="false">IF(H929="","",IF(J929&lt;설정!$B$7,"baseline 수집 중",IF(K929&lt;=-설정!$B$8,"저하","정상")))</f>
        <v/>
      </c>
      <c r="M929" s="20"/>
    </row>
    <row r="930" customFormat="false" ht="15" hidden="false" customHeight="false" outlineLevel="0" collapsed="false">
      <c r="A930" s="16"/>
      <c r="B930" s="17"/>
      <c r="C930" s="17"/>
      <c r="D930" s="17"/>
      <c r="E930" s="17"/>
      <c r="F930" s="17"/>
      <c r="G930" s="18" t="str">
        <f aca="false">IF(COUNT(D930:F930)=0,"",MAX(D930:F930))</f>
        <v/>
      </c>
      <c r="H930" s="18" t="str">
        <f aca="false">IF(COUNT(D930:F930)=0,"",ROUND(AVERAGE(D930:F930),1))</f>
        <v/>
      </c>
      <c r="I930" s="18" t="str">
        <f aca="false">IF(H930="","",IF(J930&lt;설정!$B$7,"",ROUND(AVERAGEIFS($H$2:$H$1001,$B$2:$B$1001,B930,$A$2:$A$1001,"&lt;"&amp;A930,$A$2:$A$1001,"&gt;="&amp;(A930-설정!$B$6)),1)))</f>
        <v/>
      </c>
      <c r="J930" s="18" t="str">
        <f aca="false">IF(H930="","",COUNTIFS($B$2:$B$1001,B930,$A$2:$A$1001,"&lt;"&amp;A930,$A$2:$A$1001,"&gt;="&amp;(A930-설정!$B$6),$H$2:$H$1001,"&gt;=0"))</f>
        <v/>
      </c>
      <c r="K930" s="21" t="str">
        <f aca="false">IF(I930="","",H930/I930-1)</f>
        <v/>
      </c>
      <c r="L930" s="19" t="str">
        <f aca="false">IF(H930="","",IF(J930&lt;설정!$B$7,"baseline 수집 중",IF(K930&lt;=-설정!$B$8,"저하","정상")))</f>
        <v/>
      </c>
      <c r="M930" s="20"/>
    </row>
    <row r="931" customFormat="false" ht="15" hidden="false" customHeight="false" outlineLevel="0" collapsed="false">
      <c r="A931" s="16"/>
      <c r="B931" s="17"/>
      <c r="C931" s="17"/>
      <c r="D931" s="17"/>
      <c r="E931" s="17"/>
      <c r="F931" s="17"/>
      <c r="G931" s="18" t="str">
        <f aca="false">IF(COUNT(D931:F931)=0,"",MAX(D931:F931))</f>
        <v/>
      </c>
      <c r="H931" s="18" t="str">
        <f aca="false">IF(COUNT(D931:F931)=0,"",ROUND(AVERAGE(D931:F931),1))</f>
        <v/>
      </c>
      <c r="I931" s="18" t="str">
        <f aca="false">IF(H931="","",IF(J931&lt;설정!$B$7,"",ROUND(AVERAGEIFS($H$2:$H$1001,$B$2:$B$1001,B931,$A$2:$A$1001,"&lt;"&amp;A931,$A$2:$A$1001,"&gt;="&amp;(A931-설정!$B$6)),1)))</f>
        <v/>
      </c>
      <c r="J931" s="18" t="str">
        <f aca="false">IF(H931="","",COUNTIFS($B$2:$B$1001,B931,$A$2:$A$1001,"&lt;"&amp;A931,$A$2:$A$1001,"&gt;="&amp;(A931-설정!$B$6),$H$2:$H$1001,"&gt;=0"))</f>
        <v/>
      </c>
      <c r="K931" s="21" t="str">
        <f aca="false">IF(I931="","",H931/I931-1)</f>
        <v/>
      </c>
      <c r="L931" s="19" t="str">
        <f aca="false">IF(H931="","",IF(J931&lt;설정!$B$7,"baseline 수집 중",IF(K931&lt;=-설정!$B$8,"저하","정상")))</f>
        <v/>
      </c>
      <c r="M931" s="20"/>
    </row>
    <row r="932" customFormat="false" ht="15" hidden="false" customHeight="false" outlineLevel="0" collapsed="false">
      <c r="A932" s="16"/>
      <c r="B932" s="17"/>
      <c r="C932" s="17"/>
      <c r="D932" s="17"/>
      <c r="E932" s="17"/>
      <c r="F932" s="17"/>
      <c r="G932" s="18" t="str">
        <f aca="false">IF(COUNT(D932:F932)=0,"",MAX(D932:F932))</f>
        <v/>
      </c>
      <c r="H932" s="18" t="str">
        <f aca="false">IF(COUNT(D932:F932)=0,"",ROUND(AVERAGE(D932:F932),1))</f>
        <v/>
      </c>
      <c r="I932" s="18" t="str">
        <f aca="false">IF(H932="","",IF(J932&lt;설정!$B$7,"",ROUND(AVERAGEIFS($H$2:$H$1001,$B$2:$B$1001,B932,$A$2:$A$1001,"&lt;"&amp;A932,$A$2:$A$1001,"&gt;="&amp;(A932-설정!$B$6)),1)))</f>
        <v/>
      </c>
      <c r="J932" s="18" t="str">
        <f aca="false">IF(H932="","",COUNTIFS($B$2:$B$1001,B932,$A$2:$A$1001,"&lt;"&amp;A932,$A$2:$A$1001,"&gt;="&amp;(A932-설정!$B$6),$H$2:$H$1001,"&gt;=0"))</f>
        <v/>
      </c>
      <c r="K932" s="21" t="str">
        <f aca="false">IF(I932="","",H932/I932-1)</f>
        <v/>
      </c>
      <c r="L932" s="19" t="str">
        <f aca="false">IF(H932="","",IF(J932&lt;설정!$B$7,"baseline 수집 중",IF(K932&lt;=-설정!$B$8,"저하","정상")))</f>
        <v/>
      </c>
      <c r="M932" s="20"/>
    </row>
    <row r="933" customFormat="false" ht="15" hidden="false" customHeight="false" outlineLevel="0" collapsed="false">
      <c r="A933" s="16"/>
      <c r="B933" s="17"/>
      <c r="C933" s="17"/>
      <c r="D933" s="17"/>
      <c r="E933" s="17"/>
      <c r="F933" s="17"/>
      <c r="G933" s="18" t="str">
        <f aca="false">IF(COUNT(D933:F933)=0,"",MAX(D933:F933))</f>
        <v/>
      </c>
      <c r="H933" s="18" t="str">
        <f aca="false">IF(COUNT(D933:F933)=0,"",ROUND(AVERAGE(D933:F933),1))</f>
        <v/>
      </c>
      <c r="I933" s="18" t="str">
        <f aca="false">IF(H933="","",IF(J933&lt;설정!$B$7,"",ROUND(AVERAGEIFS($H$2:$H$1001,$B$2:$B$1001,B933,$A$2:$A$1001,"&lt;"&amp;A933,$A$2:$A$1001,"&gt;="&amp;(A933-설정!$B$6)),1)))</f>
        <v/>
      </c>
      <c r="J933" s="18" t="str">
        <f aca="false">IF(H933="","",COUNTIFS($B$2:$B$1001,B933,$A$2:$A$1001,"&lt;"&amp;A933,$A$2:$A$1001,"&gt;="&amp;(A933-설정!$B$6),$H$2:$H$1001,"&gt;=0"))</f>
        <v/>
      </c>
      <c r="K933" s="21" t="str">
        <f aca="false">IF(I933="","",H933/I933-1)</f>
        <v/>
      </c>
      <c r="L933" s="19" t="str">
        <f aca="false">IF(H933="","",IF(J933&lt;설정!$B$7,"baseline 수집 중",IF(K933&lt;=-설정!$B$8,"저하","정상")))</f>
        <v/>
      </c>
      <c r="M933" s="20"/>
    </row>
    <row r="934" customFormat="false" ht="15" hidden="false" customHeight="false" outlineLevel="0" collapsed="false">
      <c r="A934" s="16"/>
      <c r="B934" s="17"/>
      <c r="C934" s="17"/>
      <c r="D934" s="17"/>
      <c r="E934" s="17"/>
      <c r="F934" s="17"/>
      <c r="G934" s="18" t="str">
        <f aca="false">IF(COUNT(D934:F934)=0,"",MAX(D934:F934))</f>
        <v/>
      </c>
      <c r="H934" s="18" t="str">
        <f aca="false">IF(COUNT(D934:F934)=0,"",ROUND(AVERAGE(D934:F934),1))</f>
        <v/>
      </c>
      <c r="I934" s="18" t="str">
        <f aca="false">IF(H934="","",IF(J934&lt;설정!$B$7,"",ROUND(AVERAGEIFS($H$2:$H$1001,$B$2:$B$1001,B934,$A$2:$A$1001,"&lt;"&amp;A934,$A$2:$A$1001,"&gt;="&amp;(A934-설정!$B$6)),1)))</f>
        <v/>
      </c>
      <c r="J934" s="18" t="str">
        <f aca="false">IF(H934="","",COUNTIFS($B$2:$B$1001,B934,$A$2:$A$1001,"&lt;"&amp;A934,$A$2:$A$1001,"&gt;="&amp;(A934-설정!$B$6),$H$2:$H$1001,"&gt;=0"))</f>
        <v/>
      </c>
      <c r="K934" s="21" t="str">
        <f aca="false">IF(I934="","",H934/I934-1)</f>
        <v/>
      </c>
      <c r="L934" s="19" t="str">
        <f aca="false">IF(H934="","",IF(J934&lt;설정!$B$7,"baseline 수집 중",IF(K934&lt;=-설정!$B$8,"저하","정상")))</f>
        <v/>
      </c>
      <c r="M934" s="20"/>
    </row>
    <row r="935" customFormat="false" ht="15" hidden="false" customHeight="false" outlineLevel="0" collapsed="false">
      <c r="A935" s="16"/>
      <c r="B935" s="17"/>
      <c r="C935" s="17"/>
      <c r="D935" s="17"/>
      <c r="E935" s="17"/>
      <c r="F935" s="17"/>
      <c r="G935" s="18" t="str">
        <f aca="false">IF(COUNT(D935:F935)=0,"",MAX(D935:F935))</f>
        <v/>
      </c>
      <c r="H935" s="18" t="str">
        <f aca="false">IF(COUNT(D935:F935)=0,"",ROUND(AVERAGE(D935:F935),1))</f>
        <v/>
      </c>
      <c r="I935" s="18" t="str">
        <f aca="false">IF(H935="","",IF(J935&lt;설정!$B$7,"",ROUND(AVERAGEIFS($H$2:$H$1001,$B$2:$B$1001,B935,$A$2:$A$1001,"&lt;"&amp;A935,$A$2:$A$1001,"&gt;="&amp;(A935-설정!$B$6)),1)))</f>
        <v/>
      </c>
      <c r="J935" s="18" t="str">
        <f aca="false">IF(H935="","",COUNTIFS($B$2:$B$1001,B935,$A$2:$A$1001,"&lt;"&amp;A935,$A$2:$A$1001,"&gt;="&amp;(A935-설정!$B$6),$H$2:$H$1001,"&gt;=0"))</f>
        <v/>
      </c>
      <c r="K935" s="21" t="str">
        <f aca="false">IF(I935="","",H935/I935-1)</f>
        <v/>
      </c>
      <c r="L935" s="19" t="str">
        <f aca="false">IF(H935="","",IF(J935&lt;설정!$B$7,"baseline 수집 중",IF(K935&lt;=-설정!$B$8,"저하","정상")))</f>
        <v/>
      </c>
      <c r="M935" s="20"/>
    </row>
    <row r="936" customFormat="false" ht="15" hidden="false" customHeight="false" outlineLevel="0" collapsed="false">
      <c r="A936" s="16"/>
      <c r="B936" s="17"/>
      <c r="C936" s="17"/>
      <c r="D936" s="17"/>
      <c r="E936" s="17"/>
      <c r="F936" s="17"/>
      <c r="G936" s="18" t="str">
        <f aca="false">IF(COUNT(D936:F936)=0,"",MAX(D936:F936))</f>
        <v/>
      </c>
      <c r="H936" s="18" t="str">
        <f aca="false">IF(COUNT(D936:F936)=0,"",ROUND(AVERAGE(D936:F936),1))</f>
        <v/>
      </c>
      <c r="I936" s="18" t="str">
        <f aca="false">IF(H936="","",IF(J936&lt;설정!$B$7,"",ROUND(AVERAGEIFS($H$2:$H$1001,$B$2:$B$1001,B936,$A$2:$A$1001,"&lt;"&amp;A936,$A$2:$A$1001,"&gt;="&amp;(A936-설정!$B$6)),1)))</f>
        <v/>
      </c>
      <c r="J936" s="18" t="str">
        <f aca="false">IF(H936="","",COUNTIFS($B$2:$B$1001,B936,$A$2:$A$1001,"&lt;"&amp;A936,$A$2:$A$1001,"&gt;="&amp;(A936-설정!$B$6),$H$2:$H$1001,"&gt;=0"))</f>
        <v/>
      </c>
      <c r="K936" s="21" t="str">
        <f aca="false">IF(I936="","",H936/I936-1)</f>
        <v/>
      </c>
      <c r="L936" s="19" t="str">
        <f aca="false">IF(H936="","",IF(J936&lt;설정!$B$7,"baseline 수집 중",IF(K936&lt;=-설정!$B$8,"저하","정상")))</f>
        <v/>
      </c>
      <c r="M936" s="20"/>
    </row>
    <row r="937" customFormat="false" ht="15" hidden="false" customHeight="false" outlineLevel="0" collapsed="false">
      <c r="A937" s="16"/>
      <c r="B937" s="17"/>
      <c r="C937" s="17"/>
      <c r="D937" s="17"/>
      <c r="E937" s="17"/>
      <c r="F937" s="17"/>
      <c r="G937" s="18" t="str">
        <f aca="false">IF(COUNT(D937:F937)=0,"",MAX(D937:F937))</f>
        <v/>
      </c>
      <c r="H937" s="18" t="str">
        <f aca="false">IF(COUNT(D937:F937)=0,"",ROUND(AVERAGE(D937:F937),1))</f>
        <v/>
      </c>
      <c r="I937" s="18" t="str">
        <f aca="false">IF(H937="","",IF(J937&lt;설정!$B$7,"",ROUND(AVERAGEIFS($H$2:$H$1001,$B$2:$B$1001,B937,$A$2:$A$1001,"&lt;"&amp;A937,$A$2:$A$1001,"&gt;="&amp;(A937-설정!$B$6)),1)))</f>
        <v/>
      </c>
      <c r="J937" s="18" t="str">
        <f aca="false">IF(H937="","",COUNTIFS($B$2:$B$1001,B937,$A$2:$A$1001,"&lt;"&amp;A937,$A$2:$A$1001,"&gt;="&amp;(A937-설정!$B$6),$H$2:$H$1001,"&gt;=0"))</f>
        <v/>
      </c>
      <c r="K937" s="21" t="str">
        <f aca="false">IF(I937="","",H937/I937-1)</f>
        <v/>
      </c>
      <c r="L937" s="19" t="str">
        <f aca="false">IF(H937="","",IF(J937&lt;설정!$B$7,"baseline 수집 중",IF(K937&lt;=-설정!$B$8,"저하","정상")))</f>
        <v/>
      </c>
      <c r="M937" s="20"/>
    </row>
    <row r="938" customFormat="false" ht="15" hidden="false" customHeight="false" outlineLevel="0" collapsed="false">
      <c r="A938" s="16"/>
      <c r="B938" s="17"/>
      <c r="C938" s="17"/>
      <c r="D938" s="17"/>
      <c r="E938" s="17"/>
      <c r="F938" s="17"/>
      <c r="G938" s="18" t="str">
        <f aca="false">IF(COUNT(D938:F938)=0,"",MAX(D938:F938))</f>
        <v/>
      </c>
      <c r="H938" s="18" t="str">
        <f aca="false">IF(COUNT(D938:F938)=0,"",ROUND(AVERAGE(D938:F938),1))</f>
        <v/>
      </c>
      <c r="I938" s="18" t="str">
        <f aca="false">IF(H938="","",IF(J938&lt;설정!$B$7,"",ROUND(AVERAGEIFS($H$2:$H$1001,$B$2:$B$1001,B938,$A$2:$A$1001,"&lt;"&amp;A938,$A$2:$A$1001,"&gt;="&amp;(A938-설정!$B$6)),1)))</f>
        <v/>
      </c>
      <c r="J938" s="18" t="str">
        <f aca="false">IF(H938="","",COUNTIFS($B$2:$B$1001,B938,$A$2:$A$1001,"&lt;"&amp;A938,$A$2:$A$1001,"&gt;="&amp;(A938-설정!$B$6),$H$2:$H$1001,"&gt;=0"))</f>
        <v/>
      </c>
      <c r="K938" s="21" t="str">
        <f aca="false">IF(I938="","",H938/I938-1)</f>
        <v/>
      </c>
      <c r="L938" s="19" t="str">
        <f aca="false">IF(H938="","",IF(J938&lt;설정!$B$7,"baseline 수집 중",IF(K938&lt;=-설정!$B$8,"저하","정상")))</f>
        <v/>
      </c>
      <c r="M938" s="20"/>
    </row>
    <row r="939" customFormat="false" ht="15" hidden="false" customHeight="false" outlineLevel="0" collapsed="false">
      <c r="A939" s="16"/>
      <c r="B939" s="17"/>
      <c r="C939" s="17"/>
      <c r="D939" s="17"/>
      <c r="E939" s="17"/>
      <c r="F939" s="17"/>
      <c r="G939" s="18" t="str">
        <f aca="false">IF(COUNT(D939:F939)=0,"",MAX(D939:F939))</f>
        <v/>
      </c>
      <c r="H939" s="18" t="str">
        <f aca="false">IF(COUNT(D939:F939)=0,"",ROUND(AVERAGE(D939:F939),1))</f>
        <v/>
      </c>
      <c r="I939" s="18" t="str">
        <f aca="false">IF(H939="","",IF(J939&lt;설정!$B$7,"",ROUND(AVERAGEIFS($H$2:$H$1001,$B$2:$B$1001,B939,$A$2:$A$1001,"&lt;"&amp;A939,$A$2:$A$1001,"&gt;="&amp;(A939-설정!$B$6)),1)))</f>
        <v/>
      </c>
      <c r="J939" s="18" t="str">
        <f aca="false">IF(H939="","",COUNTIFS($B$2:$B$1001,B939,$A$2:$A$1001,"&lt;"&amp;A939,$A$2:$A$1001,"&gt;="&amp;(A939-설정!$B$6),$H$2:$H$1001,"&gt;=0"))</f>
        <v/>
      </c>
      <c r="K939" s="21" t="str">
        <f aca="false">IF(I939="","",H939/I939-1)</f>
        <v/>
      </c>
      <c r="L939" s="19" t="str">
        <f aca="false">IF(H939="","",IF(J939&lt;설정!$B$7,"baseline 수집 중",IF(K939&lt;=-설정!$B$8,"저하","정상")))</f>
        <v/>
      </c>
      <c r="M939" s="20"/>
    </row>
    <row r="940" customFormat="false" ht="15" hidden="false" customHeight="false" outlineLevel="0" collapsed="false">
      <c r="A940" s="16"/>
      <c r="B940" s="17"/>
      <c r="C940" s="17"/>
      <c r="D940" s="17"/>
      <c r="E940" s="17"/>
      <c r="F940" s="17"/>
      <c r="G940" s="18" t="str">
        <f aca="false">IF(COUNT(D940:F940)=0,"",MAX(D940:F940))</f>
        <v/>
      </c>
      <c r="H940" s="18" t="str">
        <f aca="false">IF(COUNT(D940:F940)=0,"",ROUND(AVERAGE(D940:F940),1))</f>
        <v/>
      </c>
      <c r="I940" s="18" t="str">
        <f aca="false">IF(H940="","",IF(J940&lt;설정!$B$7,"",ROUND(AVERAGEIFS($H$2:$H$1001,$B$2:$B$1001,B940,$A$2:$A$1001,"&lt;"&amp;A940,$A$2:$A$1001,"&gt;="&amp;(A940-설정!$B$6)),1)))</f>
        <v/>
      </c>
      <c r="J940" s="18" t="str">
        <f aca="false">IF(H940="","",COUNTIFS($B$2:$B$1001,B940,$A$2:$A$1001,"&lt;"&amp;A940,$A$2:$A$1001,"&gt;="&amp;(A940-설정!$B$6),$H$2:$H$1001,"&gt;=0"))</f>
        <v/>
      </c>
      <c r="K940" s="21" t="str">
        <f aca="false">IF(I940="","",H940/I940-1)</f>
        <v/>
      </c>
      <c r="L940" s="19" t="str">
        <f aca="false">IF(H940="","",IF(J940&lt;설정!$B$7,"baseline 수집 중",IF(K940&lt;=-설정!$B$8,"저하","정상")))</f>
        <v/>
      </c>
      <c r="M940" s="20"/>
    </row>
    <row r="941" customFormat="false" ht="15" hidden="false" customHeight="false" outlineLevel="0" collapsed="false">
      <c r="A941" s="16"/>
      <c r="B941" s="17"/>
      <c r="C941" s="17"/>
      <c r="D941" s="17"/>
      <c r="E941" s="17"/>
      <c r="F941" s="17"/>
      <c r="G941" s="18" t="str">
        <f aca="false">IF(COUNT(D941:F941)=0,"",MAX(D941:F941))</f>
        <v/>
      </c>
      <c r="H941" s="18" t="str">
        <f aca="false">IF(COUNT(D941:F941)=0,"",ROUND(AVERAGE(D941:F941),1))</f>
        <v/>
      </c>
      <c r="I941" s="18" t="str">
        <f aca="false">IF(H941="","",IF(J941&lt;설정!$B$7,"",ROUND(AVERAGEIFS($H$2:$H$1001,$B$2:$B$1001,B941,$A$2:$A$1001,"&lt;"&amp;A941,$A$2:$A$1001,"&gt;="&amp;(A941-설정!$B$6)),1)))</f>
        <v/>
      </c>
      <c r="J941" s="18" t="str">
        <f aca="false">IF(H941="","",COUNTIFS($B$2:$B$1001,B941,$A$2:$A$1001,"&lt;"&amp;A941,$A$2:$A$1001,"&gt;="&amp;(A941-설정!$B$6),$H$2:$H$1001,"&gt;=0"))</f>
        <v/>
      </c>
      <c r="K941" s="21" t="str">
        <f aca="false">IF(I941="","",H941/I941-1)</f>
        <v/>
      </c>
      <c r="L941" s="19" t="str">
        <f aca="false">IF(H941="","",IF(J941&lt;설정!$B$7,"baseline 수집 중",IF(K941&lt;=-설정!$B$8,"저하","정상")))</f>
        <v/>
      </c>
      <c r="M941" s="20"/>
    </row>
    <row r="942" customFormat="false" ht="15" hidden="false" customHeight="false" outlineLevel="0" collapsed="false">
      <c r="A942" s="16"/>
      <c r="B942" s="17"/>
      <c r="C942" s="17"/>
      <c r="D942" s="17"/>
      <c r="E942" s="17"/>
      <c r="F942" s="17"/>
      <c r="G942" s="18" t="str">
        <f aca="false">IF(COUNT(D942:F942)=0,"",MAX(D942:F942))</f>
        <v/>
      </c>
      <c r="H942" s="18" t="str">
        <f aca="false">IF(COUNT(D942:F942)=0,"",ROUND(AVERAGE(D942:F942),1))</f>
        <v/>
      </c>
      <c r="I942" s="18" t="str">
        <f aca="false">IF(H942="","",IF(J942&lt;설정!$B$7,"",ROUND(AVERAGEIFS($H$2:$H$1001,$B$2:$B$1001,B942,$A$2:$A$1001,"&lt;"&amp;A942,$A$2:$A$1001,"&gt;="&amp;(A942-설정!$B$6)),1)))</f>
        <v/>
      </c>
      <c r="J942" s="18" t="str">
        <f aca="false">IF(H942="","",COUNTIFS($B$2:$B$1001,B942,$A$2:$A$1001,"&lt;"&amp;A942,$A$2:$A$1001,"&gt;="&amp;(A942-설정!$B$6),$H$2:$H$1001,"&gt;=0"))</f>
        <v/>
      </c>
      <c r="K942" s="21" t="str">
        <f aca="false">IF(I942="","",H942/I942-1)</f>
        <v/>
      </c>
      <c r="L942" s="19" t="str">
        <f aca="false">IF(H942="","",IF(J942&lt;설정!$B$7,"baseline 수집 중",IF(K942&lt;=-설정!$B$8,"저하","정상")))</f>
        <v/>
      </c>
      <c r="M942" s="20"/>
    </row>
    <row r="943" customFormat="false" ht="15" hidden="false" customHeight="false" outlineLevel="0" collapsed="false">
      <c r="A943" s="16"/>
      <c r="B943" s="17"/>
      <c r="C943" s="17"/>
      <c r="D943" s="17"/>
      <c r="E943" s="17"/>
      <c r="F943" s="17"/>
      <c r="G943" s="18" t="str">
        <f aca="false">IF(COUNT(D943:F943)=0,"",MAX(D943:F943))</f>
        <v/>
      </c>
      <c r="H943" s="18" t="str">
        <f aca="false">IF(COUNT(D943:F943)=0,"",ROUND(AVERAGE(D943:F943),1))</f>
        <v/>
      </c>
      <c r="I943" s="18" t="str">
        <f aca="false">IF(H943="","",IF(J943&lt;설정!$B$7,"",ROUND(AVERAGEIFS($H$2:$H$1001,$B$2:$B$1001,B943,$A$2:$A$1001,"&lt;"&amp;A943,$A$2:$A$1001,"&gt;="&amp;(A943-설정!$B$6)),1)))</f>
        <v/>
      </c>
      <c r="J943" s="18" t="str">
        <f aca="false">IF(H943="","",COUNTIFS($B$2:$B$1001,B943,$A$2:$A$1001,"&lt;"&amp;A943,$A$2:$A$1001,"&gt;="&amp;(A943-설정!$B$6),$H$2:$H$1001,"&gt;=0"))</f>
        <v/>
      </c>
      <c r="K943" s="21" t="str">
        <f aca="false">IF(I943="","",H943/I943-1)</f>
        <v/>
      </c>
      <c r="L943" s="19" t="str">
        <f aca="false">IF(H943="","",IF(J943&lt;설정!$B$7,"baseline 수집 중",IF(K943&lt;=-설정!$B$8,"저하","정상")))</f>
        <v/>
      </c>
      <c r="M943" s="20"/>
    </row>
    <row r="944" customFormat="false" ht="15" hidden="false" customHeight="false" outlineLevel="0" collapsed="false">
      <c r="A944" s="16"/>
      <c r="B944" s="17"/>
      <c r="C944" s="17"/>
      <c r="D944" s="17"/>
      <c r="E944" s="17"/>
      <c r="F944" s="17"/>
      <c r="G944" s="18" t="str">
        <f aca="false">IF(COUNT(D944:F944)=0,"",MAX(D944:F944))</f>
        <v/>
      </c>
      <c r="H944" s="18" t="str">
        <f aca="false">IF(COUNT(D944:F944)=0,"",ROUND(AVERAGE(D944:F944),1))</f>
        <v/>
      </c>
      <c r="I944" s="18" t="str">
        <f aca="false">IF(H944="","",IF(J944&lt;설정!$B$7,"",ROUND(AVERAGEIFS($H$2:$H$1001,$B$2:$B$1001,B944,$A$2:$A$1001,"&lt;"&amp;A944,$A$2:$A$1001,"&gt;="&amp;(A944-설정!$B$6)),1)))</f>
        <v/>
      </c>
      <c r="J944" s="18" t="str">
        <f aca="false">IF(H944="","",COUNTIFS($B$2:$B$1001,B944,$A$2:$A$1001,"&lt;"&amp;A944,$A$2:$A$1001,"&gt;="&amp;(A944-설정!$B$6),$H$2:$H$1001,"&gt;=0"))</f>
        <v/>
      </c>
      <c r="K944" s="21" t="str">
        <f aca="false">IF(I944="","",H944/I944-1)</f>
        <v/>
      </c>
      <c r="L944" s="19" t="str">
        <f aca="false">IF(H944="","",IF(J944&lt;설정!$B$7,"baseline 수집 중",IF(K944&lt;=-설정!$B$8,"저하","정상")))</f>
        <v/>
      </c>
      <c r="M944" s="20"/>
    </row>
    <row r="945" customFormat="false" ht="15" hidden="false" customHeight="false" outlineLevel="0" collapsed="false">
      <c r="A945" s="16"/>
      <c r="B945" s="17"/>
      <c r="C945" s="17"/>
      <c r="D945" s="17"/>
      <c r="E945" s="17"/>
      <c r="F945" s="17"/>
      <c r="G945" s="18" t="str">
        <f aca="false">IF(COUNT(D945:F945)=0,"",MAX(D945:F945))</f>
        <v/>
      </c>
      <c r="H945" s="18" t="str">
        <f aca="false">IF(COUNT(D945:F945)=0,"",ROUND(AVERAGE(D945:F945),1))</f>
        <v/>
      </c>
      <c r="I945" s="18" t="str">
        <f aca="false">IF(H945="","",IF(J945&lt;설정!$B$7,"",ROUND(AVERAGEIFS($H$2:$H$1001,$B$2:$B$1001,B945,$A$2:$A$1001,"&lt;"&amp;A945,$A$2:$A$1001,"&gt;="&amp;(A945-설정!$B$6)),1)))</f>
        <v/>
      </c>
      <c r="J945" s="18" t="str">
        <f aca="false">IF(H945="","",COUNTIFS($B$2:$B$1001,B945,$A$2:$A$1001,"&lt;"&amp;A945,$A$2:$A$1001,"&gt;="&amp;(A945-설정!$B$6),$H$2:$H$1001,"&gt;=0"))</f>
        <v/>
      </c>
      <c r="K945" s="21" t="str">
        <f aca="false">IF(I945="","",H945/I945-1)</f>
        <v/>
      </c>
      <c r="L945" s="19" t="str">
        <f aca="false">IF(H945="","",IF(J945&lt;설정!$B$7,"baseline 수집 중",IF(K945&lt;=-설정!$B$8,"저하","정상")))</f>
        <v/>
      </c>
      <c r="M945" s="20"/>
    </row>
    <row r="946" customFormat="false" ht="15" hidden="false" customHeight="false" outlineLevel="0" collapsed="false">
      <c r="A946" s="16"/>
      <c r="B946" s="17"/>
      <c r="C946" s="17"/>
      <c r="D946" s="17"/>
      <c r="E946" s="17"/>
      <c r="F946" s="17"/>
      <c r="G946" s="18" t="str">
        <f aca="false">IF(COUNT(D946:F946)=0,"",MAX(D946:F946))</f>
        <v/>
      </c>
      <c r="H946" s="18" t="str">
        <f aca="false">IF(COUNT(D946:F946)=0,"",ROUND(AVERAGE(D946:F946),1))</f>
        <v/>
      </c>
      <c r="I946" s="18" t="str">
        <f aca="false">IF(H946="","",IF(J946&lt;설정!$B$7,"",ROUND(AVERAGEIFS($H$2:$H$1001,$B$2:$B$1001,B946,$A$2:$A$1001,"&lt;"&amp;A946,$A$2:$A$1001,"&gt;="&amp;(A946-설정!$B$6)),1)))</f>
        <v/>
      </c>
      <c r="J946" s="18" t="str">
        <f aca="false">IF(H946="","",COUNTIFS($B$2:$B$1001,B946,$A$2:$A$1001,"&lt;"&amp;A946,$A$2:$A$1001,"&gt;="&amp;(A946-설정!$B$6),$H$2:$H$1001,"&gt;=0"))</f>
        <v/>
      </c>
      <c r="K946" s="21" t="str">
        <f aca="false">IF(I946="","",H946/I946-1)</f>
        <v/>
      </c>
      <c r="L946" s="19" t="str">
        <f aca="false">IF(H946="","",IF(J946&lt;설정!$B$7,"baseline 수집 중",IF(K946&lt;=-설정!$B$8,"저하","정상")))</f>
        <v/>
      </c>
      <c r="M946" s="20"/>
    </row>
    <row r="947" customFormat="false" ht="15" hidden="false" customHeight="false" outlineLevel="0" collapsed="false">
      <c r="A947" s="16"/>
      <c r="B947" s="17"/>
      <c r="C947" s="17"/>
      <c r="D947" s="17"/>
      <c r="E947" s="17"/>
      <c r="F947" s="17"/>
      <c r="G947" s="18" t="str">
        <f aca="false">IF(COUNT(D947:F947)=0,"",MAX(D947:F947))</f>
        <v/>
      </c>
      <c r="H947" s="18" t="str">
        <f aca="false">IF(COUNT(D947:F947)=0,"",ROUND(AVERAGE(D947:F947),1))</f>
        <v/>
      </c>
      <c r="I947" s="18" t="str">
        <f aca="false">IF(H947="","",IF(J947&lt;설정!$B$7,"",ROUND(AVERAGEIFS($H$2:$H$1001,$B$2:$B$1001,B947,$A$2:$A$1001,"&lt;"&amp;A947,$A$2:$A$1001,"&gt;="&amp;(A947-설정!$B$6)),1)))</f>
        <v/>
      </c>
      <c r="J947" s="18" t="str">
        <f aca="false">IF(H947="","",COUNTIFS($B$2:$B$1001,B947,$A$2:$A$1001,"&lt;"&amp;A947,$A$2:$A$1001,"&gt;="&amp;(A947-설정!$B$6),$H$2:$H$1001,"&gt;=0"))</f>
        <v/>
      </c>
      <c r="K947" s="21" t="str">
        <f aca="false">IF(I947="","",H947/I947-1)</f>
        <v/>
      </c>
      <c r="L947" s="19" t="str">
        <f aca="false">IF(H947="","",IF(J947&lt;설정!$B$7,"baseline 수집 중",IF(K947&lt;=-설정!$B$8,"저하","정상")))</f>
        <v/>
      </c>
      <c r="M947" s="20"/>
    </row>
    <row r="948" customFormat="false" ht="15" hidden="false" customHeight="false" outlineLevel="0" collapsed="false">
      <c r="A948" s="16"/>
      <c r="B948" s="17"/>
      <c r="C948" s="17"/>
      <c r="D948" s="17"/>
      <c r="E948" s="17"/>
      <c r="F948" s="17"/>
      <c r="G948" s="18" t="str">
        <f aca="false">IF(COUNT(D948:F948)=0,"",MAX(D948:F948))</f>
        <v/>
      </c>
      <c r="H948" s="18" t="str">
        <f aca="false">IF(COUNT(D948:F948)=0,"",ROUND(AVERAGE(D948:F948),1))</f>
        <v/>
      </c>
      <c r="I948" s="18" t="str">
        <f aca="false">IF(H948="","",IF(J948&lt;설정!$B$7,"",ROUND(AVERAGEIFS($H$2:$H$1001,$B$2:$B$1001,B948,$A$2:$A$1001,"&lt;"&amp;A948,$A$2:$A$1001,"&gt;="&amp;(A948-설정!$B$6)),1)))</f>
        <v/>
      </c>
      <c r="J948" s="18" t="str">
        <f aca="false">IF(H948="","",COUNTIFS($B$2:$B$1001,B948,$A$2:$A$1001,"&lt;"&amp;A948,$A$2:$A$1001,"&gt;="&amp;(A948-설정!$B$6),$H$2:$H$1001,"&gt;=0"))</f>
        <v/>
      </c>
      <c r="K948" s="21" t="str">
        <f aca="false">IF(I948="","",H948/I948-1)</f>
        <v/>
      </c>
      <c r="L948" s="19" t="str">
        <f aca="false">IF(H948="","",IF(J948&lt;설정!$B$7,"baseline 수집 중",IF(K948&lt;=-설정!$B$8,"저하","정상")))</f>
        <v/>
      </c>
      <c r="M948" s="20"/>
    </row>
    <row r="949" customFormat="false" ht="15" hidden="false" customHeight="false" outlineLevel="0" collapsed="false">
      <c r="A949" s="16"/>
      <c r="B949" s="17"/>
      <c r="C949" s="17"/>
      <c r="D949" s="17"/>
      <c r="E949" s="17"/>
      <c r="F949" s="17"/>
      <c r="G949" s="18" t="str">
        <f aca="false">IF(COUNT(D949:F949)=0,"",MAX(D949:F949))</f>
        <v/>
      </c>
      <c r="H949" s="18" t="str">
        <f aca="false">IF(COUNT(D949:F949)=0,"",ROUND(AVERAGE(D949:F949),1))</f>
        <v/>
      </c>
      <c r="I949" s="18" t="str">
        <f aca="false">IF(H949="","",IF(J949&lt;설정!$B$7,"",ROUND(AVERAGEIFS($H$2:$H$1001,$B$2:$B$1001,B949,$A$2:$A$1001,"&lt;"&amp;A949,$A$2:$A$1001,"&gt;="&amp;(A949-설정!$B$6)),1)))</f>
        <v/>
      </c>
      <c r="J949" s="18" t="str">
        <f aca="false">IF(H949="","",COUNTIFS($B$2:$B$1001,B949,$A$2:$A$1001,"&lt;"&amp;A949,$A$2:$A$1001,"&gt;="&amp;(A949-설정!$B$6),$H$2:$H$1001,"&gt;=0"))</f>
        <v/>
      </c>
      <c r="K949" s="21" t="str">
        <f aca="false">IF(I949="","",H949/I949-1)</f>
        <v/>
      </c>
      <c r="L949" s="19" t="str">
        <f aca="false">IF(H949="","",IF(J949&lt;설정!$B$7,"baseline 수집 중",IF(K949&lt;=-설정!$B$8,"저하","정상")))</f>
        <v/>
      </c>
      <c r="M949" s="20"/>
    </row>
    <row r="950" customFormat="false" ht="15" hidden="false" customHeight="false" outlineLevel="0" collapsed="false">
      <c r="A950" s="16"/>
      <c r="B950" s="17"/>
      <c r="C950" s="17"/>
      <c r="D950" s="17"/>
      <c r="E950" s="17"/>
      <c r="F950" s="17"/>
      <c r="G950" s="18" t="str">
        <f aca="false">IF(COUNT(D950:F950)=0,"",MAX(D950:F950))</f>
        <v/>
      </c>
      <c r="H950" s="18" t="str">
        <f aca="false">IF(COUNT(D950:F950)=0,"",ROUND(AVERAGE(D950:F950),1))</f>
        <v/>
      </c>
      <c r="I950" s="18" t="str">
        <f aca="false">IF(H950="","",IF(J950&lt;설정!$B$7,"",ROUND(AVERAGEIFS($H$2:$H$1001,$B$2:$B$1001,B950,$A$2:$A$1001,"&lt;"&amp;A950,$A$2:$A$1001,"&gt;="&amp;(A950-설정!$B$6)),1)))</f>
        <v/>
      </c>
      <c r="J950" s="18" t="str">
        <f aca="false">IF(H950="","",COUNTIFS($B$2:$B$1001,B950,$A$2:$A$1001,"&lt;"&amp;A950,$A$2:$A$1001,"&gt;="&amp;(A950-설정!$B$6),$H$2:$H$1001,"&gt;=0"))</f>
        <v/>
      </c>
      <c r="K950" s="21" t="str">
        <f aca="false">IF(I950="","",H950/I950-1)</f>
        <v/>
      </c>
      <c r="L950" s="19" t="str">
        <f aca="false">IF(H950="","",IF(J950&lt;설정!$B$7,"baseline 수집 중",IF(K950&lt;=-설정!$B$8,"저하","정상")))</f>
        <v/>
      </c>
      <c r="M950" s="20"/>
    </row>
    <row r="951" customFormat="false" ht="15" hidden="false" customHeight="false" outlineLevel="0" collapsed="false">
      <c r="A951" s="16"/>
      <c r="B951" s="17"/>
      <c r="C951" s="17"/>
      <c r="D951" s="17"/>
      <c r="E951" s="17"/>
      <c r="F951" s="17"/>
      <c r="G951" s="18" t="str">
        <f aca="false">IF(COUNT(D951:F951)=0,"",MAX(D951:F951))</f>
        <v/>
      </c>
      <c r="H951" s="18" t="str">
        <f aca="false">IF(COUNT(D951:F951)=0,"",ROUND(AVERAGE(D951:F951),1))</f>
        <v/>
      </c>
      <c r="I951" s="18" t="str">
        <f aca="false">IF(H951="","",IF(J951&lt;설정!$B$7,"",ROUND(AVERAGEIFS($H$2:$H$1001,$B$2:$B$1001,B951,$A$2:$A$1001,"&lt;"&amp;A951,$A$2:$A$1001,"&gt;="&amp;(A951-설정!$B$6)),1)))</f>
        <v/>
      </c>
      <c r="J951" s="18" t="str">
        <f aca="false">IF(H951="","",COUNTIFS($B$2:$B$1001,B951,$A$2:$A$1001,"&lt;"&amp;A951,$A$2:$A$1001,"&gt;="&amp;(A951-설정!$B$6),$H$2:$H$1001,"&gt;=0"))</f>
        <v/>
      </c>
      <c r="K951" s="21" t="str">
        <f aca="false">IF(I951="","",H951/I951-1)</f>
        <v/>
      </c>
      <c r="L951" s="19" t="str">
        <f aca="false">IF(H951="","",IF(J951&lt;설정!$B$7,"baseline 수집 중",IF(K951&lt;=-설정!$B$8,"저하","정상")))</f>
        <v/>
      </c>
      <c r="M951" s="20"/>
    </row>
    <row r="952" customFormat="false" ht="15" hidden="false" customHeight="false" outlineLevel="0" collapsed="false">
      <c r="A952" s="16"/>
      <c r="B952" s="17"/>
      <c r="C952" s="17"/>
      <c r="D952" s="17"/>
      <c r="E952" s="17"/>
      <c r="F952" s="17"/>
      <c r="G952" s="18" t="str">
        <f aca="false">IF(COUNT(D952:F952)=0,"",MAX(D952:F952))</f>
        <v/>
      </c>
      <c r="H952" s="18" t="str">
        <f aca="false">IF(COUNT(D952:F952)=0,"",ROUND(AVERAGE(D952:F952),1))</f>
        <v/>
      </c>
      <c r="I952" s="18" t="str">
        <f aca="false">IF(H952="","",IF(J952&lt;설정!$B$7,"",ROUND(AVERAGEIFS($H$2:$H$1001,$B$2:$B$1001,B952,$A$2:$A$1001,"&lt;"&amp;A952,$A$2:$A$1001,"&gt;="&amp;(A952-설정!$B$6)),1)))</f>
        <v/>
      </c>
      <c r="J952" s="18" t="str">
        <f aca="false">IF(H952="","",COUNTIFS($B$2:$B$1001,B952,$A$2:$A$1001,"&lt;"&amp;A952,$A$2:$A$1001,"&gt;="&amp;(A952-설정!$B$6),$H$2:$H$1001,"&gt;=0"))</f>
        <v/>
      </c>
      <c r="K952" s="21" t="str">
        <f aca="false">IF(I952="","",H952/I952-1)</f>
        <v/>
      </c>
      <c r="L952" s="19" t="str">
        <f aca="false">IF(H952="","",IF(J952&lt;설정!$B$7,"baseline 수집 중",IF(K952&lt;=-설정!$B$8,"저하","정상")))</f>
        <v/>
      </c>
      <c r="M952" s="20"/>
    </row>
    <row r="953" customFormat="false" ht="15" hidden="false" customHeight="false" outlineLevel="0" collapsed="false">
      <c r="A953" s="16"/>
      <c r="B953" s="17"/>
      <c r="C953" s="17"/>
      <c r="D953" s="17"/>
      <c r="E953" s="17"/>
      <c r="F953" s="17"/>
      <c r="G953" s="18" t="str">
        <f aca="false">IF(COUNT(D953:F953)=0,"",MAX(D953:F953))</f>
        <v/>
      </c>
      <c r="H953" s="18" t="str">
        <f aca="false">IF(COUNT(D953:F953)=0,"",ROUND(AVERAGE(D953:F953),1))</f>
        <v/>
      </c>
      <c r="I953" s="18" t="str">
        <f aca="false">IF(H953="","",IF(J953&lt;설정!$B$7,"",ROUND(AVERAGEIFS($H$2:$H$1001,$B$2:$B$1001,B953,$A$2:$A$1001,"&lt;"&amp;A953,$A$2:$A$1001,"&gt;="&amp;(A953-설정!$B$6)),1)))</f>
        <v/>
      </c>
      <c r="J953" s="18" t="str">
        <f aca="false">IF(H953="","",COUNTIFS($B$2:$B$1001,B953,$A$2:$A$1001,"&lt;"&amp;A953,$A$2:$A$1001,"&gt;="&amp;(A953-설정!$B$6),$H$2:$H$1001,"&gt;=0"))</f>
        <v/>
      </c>
      <c r="K953" s="21" t="str">
        <f aca="false">IF(I953="","",H953/I953-1)</f>
        <v/>
      </c>
      <c r="L953" s="19" t="str">
        <f aca="false">IF(H953="","",IF(J953&lt;설정!$B$7,"baseline 수집 중",IF(K953&lt;=-설정!$B$8,"저하","정상")))</f>
        <v/>
      </c>
      <c r="M953" s="20"/>
    </row>
    <row r="954" customFormat="false" ht="15" hidden="false" customHeight="false" outlineLevel="0" collapsed="false">
      <c r="A954" s="16"/>
      <c r="B954" s="17"/>
      <c r="C954" s="17"/>
      <c r="D954" s="17"/>
      <c r="E954" s="17"/>
      <c r="F954" s="17"/>
      <c r="G954" s="18" t="str">
        <f aca="false">IF(COUNT(D954:F954)=0,"",MAX(D954:F954))</f>
        <v/>
      </c>
      <c r="H954" s="18" t="str">
        <f aca="false">IF(COUNT(D954:F954)=0,"",ROUND(AVERAGE(D954:F954),1))</f>
        <v/>
      </c>
      <c r="I954" s="18" t="str">
        <f aca="false">IF(H954="","",IF(J954&lt;설정!$B$7,"",ROUND(AVERAGEIFS($H$2:$H$1001,$B$2:$B$1001,B954,$A$2:$A$1001,"&lt;"&amp;A954,$A$2:$A$1001,"&gt;="&amp;(A954-설정!$B$6)),1)))</f>
        <v/>
      </c>
      <c r="J954" s="18" t="str">
        <f aca="false">IF(H954="","",COUNTIFS($B$2:$B$1001,B954,$A$2:$A$1001,"&lt;"&amp;A954,$A$2:$A$1001,"&gt;="&amp;(A954-설정!$B$6),$H$2:$H$1001,"&gt;=0"))</f>
        <v/>
      </c>
      <c r="K954" s="21" t="str">
        <f aca="false">IF(I954="","",H954/I954-1)</f>
        <v/>
      </c>
      <c r="L954" s="19" t="str">
        <f aca="false">IF(H954="","",IF(J954&lt;설정!$B$7,"baseline 수집 중",IF(K954&lt;=-설정!$B$8,"저하","정상")))</f>
        <v/>
      </c>
      <c r="M954" s="20"/>
    </row>
    <row r="955" customFormat="false" ht="15" hidden="false" customHeight="false" outlineLevel="0" collapsed="false">
      <c r="A955" s="16"/>
      <c r="B955" s="17"/>
      <c r="C955" s="17"/>
      <c r="D955" s="17"/>
      <c r="E955" s="17"/>
      <c r="F955" s="17"/>
      <c r="G955" s="18" t="str">
        <f aca="false">IF(COUNT(D955:F955)=0,"",MAX(D955:F955))</f>
        <v/>
      </c>
      <c r="H955" s="18" t="str">
        <f aca="false">IF(COUNT(D955:F955)=0,"",ROUND(AVERAGE(D955:F955),1))</f>
        <v/>
      </c>
      <c r="I955" s="18" t="str">
        <f aca="false">IF(H955="","",IF(J955&lt;설정!$B$7,"",ROUND(AVERAGEIFS($H$2:$H$1001,$B$2:$B$1001,B955,$A$2:$A$1001,"&lt;"&amp;A955,$A$2:$A$1001,"&gt;="&amp;(A955-설정!$B$6)),1)))</f>
        <v/>
      </c>
      <c r="J955" s="18" t="str">
        <f aca="false">IF(H955="","",COUNTIFS($B$2:$B$1001,B955,$A$2:$A$1001,"&lt;"&amp;A955,$A$2:$A$1001,"&gt;="&amp;(A955-설정!$B$6),$H$2:$H$1001,"&gt;=0"))</f>
        <v/>
      </c>
      <c r="K955" s="21" t="str">
        <f aca="false">IF(I955="","",H955/I955-1)</f>
        <v/>
      </c>
      <c r="L955" s="19" t="str">
        <f aca="false">IF(H955="","",IF(J955&lt;설정!$B$7,"baseline 수집 중",IF(K955&lt;=-설정!$B$8,"저하","정상")))</f>
        <v/>
      </c>
      <c r="M955" s="20"/>
    </row>
    <row r="956" customFormat="false" ht="15" hidden="false" customHeight="false" outlineLevel="0" collapsed="false">
      <c r="A956" s="16"/>
      <c r="B956" s="17"/>
      <c r="C956" s="17"/>
      <c r="D956" s="17"/>
      <c r="E956" s="17"/>
      <c r="F956" s="17"/>
      <c r="G956" s="18" t="str">
        <f aca="false">IF(COUNT(D956:F956)=0,"",MAX(D956:F956))</f>
        <v/>
      </c>
      <c r="H956" s="18" t="str">
        <f aca="false">IF(COUNT(D956:F956)=0,"",ROUND(AVERAGE(D956:F956),1))</f>
        <v/>
      </c>
      <c r="I956" s="18" t="str">
        <f aca="false">IF(H956="","",IF(J956&lt;설정!$B$7,"",ROUND(AVERAGEIFS($H$2:$H$1001,$B$2:$B$1001,B956,$A$2:$A$1001,"&lt;"&amp;A956,$A$2:$A$1001,"&gt;="&amp;(A956-설정!$B$6)),1)))</f>
        <v/>
      </c>
      <c r="J956" s="18" t="str">
        <f aca="false">IF(H956="","",COUNTIFS($B$2:$B$1001,B956,$A$2:$A$1001,"&lt;"&amp;A956,$A$2:$A$1001,"&gt;="&amp;(A956-설정!$B$6),$H$2:$H$1001,"&gt;=0"))</f>
        <v/>
      </c>
      <c r="K956" s="21" t="str">
        <f aca="false">IF(I956="","",H956/I956-1)</f>
        <v/>
      </c>
      <c r="L956" s="19" t="str">
        <f aca="false">IF(H956="","",IF(J956&lt;설정!$B$7,"baseline 수집 중",IF(K956&lt;=-설정!$B$8,"저하","정상")))</f>
        <v/>
      </c>
      <c r="M956" s="20"/>
    </row>
    <row r="957" customFormat="false" ht="15" hidden="false" customHeight="false" outlineLevel="0" collapsed="false">
      <c r="A957" s="16"/>
      <c r="B957" s="17"/>
      <c r="C957" s="17"/>
      <c r="D957" s="17"/>
      <c r="E957" s="17"/>
      <c r="F957" s="17"/>
      <c r="G957" s="18" t="str">
        <f aca="false">IF(COUNT(D957:F957)=0,"",MAX(D957:F957))</f>
        <v/>
      </c>
      <c r="H957" s="18" t="str">
        <f aca="false">IF(COUNT(D957:F957)=0,"",ROUND(AVERAGE(D957:F957),1))</f>
        <v/>
      </c>
      <c r="I957" s="18" t="str">
        <f aca="false">IF(H957="","",IF(J957&lt;설정!$B$7,"",ROUND(AVERAGEIFS($H$2:$H$1001,$B$2:$B$1001,B957,$A$2:$A$1001,"&lt;"&amp;A957,$A$2:$A$1001,"&gt;="&amp;(A957-설정!$B$6)),1)))</f>
        <v/>
      </c>
      <c r="J957" s="18" t="str">
        <f aca="false">IF(H957="","",COUNTIFS($B$2:$B$1001,B957,$A$2:$A$1001,"&lt;"&amp;A957,$A$2:$A$1001,"&gt;="&amp;(A957-설정!$B$6),$H$2:$H$1001,"&gt;=0"))</f>
        <v/>
      </c>
      <c r="K957" s="21" t="str">
        <f aca="false">IF(I957="","",H957/I957-1)</f>
        <v/>
      </c>
      <c r="L957" s="19" t="str">
        <f aca="false">IF(H957="","",IF(J957&lt;설정!$B$7,"baseline 수집 중",IF(K957&lt;=-설정!$B$8,"저하","정상")))</f>
        <v/>
      </c>
      <c r="M957" s="20"/>
    </row>
    <row r="958" customFormat="false" ht="15" hidden="false" customHeight="false" outlineLevel="0" collapsed="false">
      <c r="A958" s="16"/>
      <c r="B958" s="17"/>
      <c r="C958" s="17"/>
      <c r="D958" s="17"/>
      <c r="E958" s="17"/>
      <c r="F958" s="17"/>
      <c r="G958" s="18" t="str">
        <f aca="false">IF(COUNT(D958:F958)=0,"",MAX(D958:F958))</f>
        <v/>
      </c>
      <c r="H958" s="18" t="str">
        <f aca="false">IF(COUNT(D958:F958)=0,"",ROUND(AVERAGE(D958:F958),1))</f>
        <v/>
      </c>
      <c r="I958" s="18" t="str">
        <f aca="false">IF(H958="","",IF(J958&lt;설정!$B$7,"",ROUND(AVERAGEIFS($H$2:$H$1001,$B$2:$B$1001,B958,$A$2:$A$1001,"&lt;"&amp;A958,$A$2:$A$1001,"&gt;="&amp;(A958-설정!$B$6)),1)))</f>
        <v/>
      </c>
      <c r="J958" s="18" t="str">
        <f aca="false">IF(H958="","",COUNTIFS($B$2:$B$1001,B958,$A$2:$A$1001,"&lt;"&amp;A958,$A$2:$A$1001,"&gt;="&amp;(A958-설정!$B$6),$H$2:$H$1001,"&gt;=0"))</f>
        <v/>
      </c>
      <c r="K958" s="21" t="str">
        <f aca="false">IF(I958="","",H958/I958-1)</f>
        <v/>
      </c>
      <c r="L958" s="19" t="str">
        <f aca="false">IF(H958="","",IF(J958&lt;설정!$B$7,"baseline 수집 중",IF(K958&lt;=-설정!$B$8,"저하","정상")))</f>
        <v/>
      </c>
      <c r="M958" s="20"/>
    </row>
    <row r="959" customFormat="false" ht="15" hidden="false" customHeight="false" outlineLevel="0" collapsed="false">
      <c r="A959" s="16"/>
      <c r="B959" s="17"/>
      <c r="C959" s="17"/>
      <c r="D959" s="17"/>
      <c r="E959" s="17"/>
      <c r="F959" s="17"/>
      <c r="G959" s="18" t="str">
        <f aca="false">IF(COUNT(D959:F959)=0,"",MAX(D959:F959))</f>
        <v/>
      </c>
      <c r="H959" s="18" t="str">
        <f aca="false">IF(COUNT(D959:F959)=0,"",ROUND(AVERAGE(D959:F959),1))</f>
        <v/>
      </c>
      <c r="I959" s="18" t="str">
        <f aca="false">IF(H959="","",IF(J959&lt;설정!$B$7,"",ROUND(AVERAGEIFS($H$2:$H$1001,$B$2:$B$1001,B959,$A$2:$A$1001,"&lt;"&amp;A959,$A$2:$A$1001,"&gt;="&amp;(A959-설정!$B$6)),1)))</f>
        <v/>
      </c>
      <c r="J959" s="18" t="str">
        <f aca="false">IF(H959="","",COUNTIFS($B$2:$B$1001,B959,$A$2:$A$1001,"&lt;"&amp;A959,$A$2:$A$1001,"&gt;="&amp;(A959-설정!$B$6),$H$2:$H$1001,"&gt;=0"))</f>
        <v/>
      </c>
      <c r="K959" s="21" t="str">
        <f aca="false">IF(I959="","",H959/I959-1)</f>
        <v/>
      </c>
      <c r="L959" s="19" t="str">
        <f aca="false">IF(H959="","",IF(J959&lt;설정!$B$7,"baseline 수집 중",IF(K959&lt;=-설정!$B$8,"저하","정상")))</f>
        <v/>
      </c>
      <c r="M959" s="20"/>
    </row>
    <row r="960" customFormat="false" ht="15" hidden="false" customHeight="false" outlineLevel="0" collapsed="false">
      <c r="A960" s="16"/>
      <c r="B960" s="17"/>
      <c r="C960" s="17"/>
      <c r="D960" s="17"/>
      <c r="E960" s="17"/>
      <c r="F960" s="17"/>
      <c r="G960" s="18" t="str">
        <f aca="false">IF(COUNT(D960:F960)=0,"",MAX(D960:F960))</f>
        <v/>
      </c>
      <c r="H960" s="18" t="str">
        <f aca="false">IF(COUNT(D960:F960)=0,"",ROUND(AVERAGE(D960:F960),1))</f>
        <v/>
      </c>
      <c r="I960" s="18" t="str">
        <f aca="false">IF(H960="","",IF(J960&lt;설정!$B$7,"",ROUND(AVERAGEIFS($H$2:$H$1001,$B$2:$B$1001,B960,$A$2:$A$1001,"&lt;"&amp;A960,$A$2:$A$1001,"&gt;="&amp;(A960-설정!$B$6)),1)))</f>
        <v/>
      </c>
      <c r="J960" s="18" t="str">
        <f aca="false">IF(H960="","",COUNTIFS($B$2:$B$1001,B960,$A$2:$A$1001,"&lt;"&amp;A960,$A$2:$A$1001,"&gt;="&amp;(A960-설정!$B$6),$H$2:$H$1001,"&gt;=0"))</f>
        <v/>
      </c>
      <c r="K960" s="21" t="str">
        <f aca="false">IF(I960="","",H960/I960-1)</f>
        <v/>
      </c>
      <c r="L960" s="19" t="str">
        <f aca="false">IF(H960="","",IF(J960&lt;설정!$B$7,"baseline 수집 중",IF(K960&lt;=-설정!$B$8,"저하","정상")))</f>
        <v/>
      </c>
      <c r="M960" s="20"/>
    </row>
    <row r="961" customFormat="false" ht="15" hidden="false" customHeight="false" outlineLevel="0" collapsed="false">
      <c r="A961" s="16"/>
      <c r="B961" s="17"/>
      <c r="C961" s="17"/>
      <c r="D961" s="17"/>
      <c r="E961" s="17"/>
      <c r="F961" s="17"/>
      <c r="G961" s="18" t="str">
        <f aca="false">IF(COUNT(D961:F961)=0,"",MAX(D961:F961))</f>
        <v/>
      </c>
      <c r="H961" s="18" t="str">
        <f aca="false">IF(COUNT(D961:F961)=0,"",ROUND(AVERAGE(D961:F961),1))</f>
        <v/>
      </c>
      <c r="I961" s="18" t="str">
        <f aca="false">IF(H961="","",IF(J961&lt;설정!$B$7,"",ROUND(AVERAGEIFS($H$2:$H$1001,$B$2:$B$1001,B961,$A$2:$A$1001,"&lt;"&amp;A961,$A$2:$A$1001,"&gt;="&amp;(A961-설정!$B$6)),1)))</f>
        <v/>
      </c>
      <c r="J961" s="18" t="str">
        <f aca="false">IF(H961="","",COUNTIFS($B$2:$B$1001,B961,$A$2:$A$1001,"&lt;"&amp;A961,$A$2:$A$1001,"&gt;="&amp;(A961-설정!$B$6),$H$2:$H$1001,"&gt;=0"))</f>
        <v/>
      </c>
      <c r="K961" s="21" t="str">
        <f aca="false">IF(I961="","",H961/I961-1)</f>
        <v/>
      </c>
      <c r="L961" s="19" t="str">
        <f aca="false">IF(H961="","",IF(J961&lt;설정!$B$7,"baseline 수집 중",IF(K961&lt;=-설정!$B$8,"저하","정상")))</f>
        <v/>
      </c>
      <c r="M961" s="20"/>
    </row>
    <row r="962" customFormat="false" ht="15" hidden="false" customHeight="false" outlineLevel="0" collapsed="false">
      <c r="A962" s="16"/>
      <c r="B962" s="17"/>
      <c r="C962" s="17"/>
      <c r="D962" s="17"/>
      <c r="E962" s="17"/>
      <c r="F962" s="17"/>
      <c r="G962" s="18" t="str">
        <f aca="false">IF(COUNT(D962:F962)=0,"",MAX(D962:F962))</f>
        <v/>
      </c>
      <c r="H962" s="18" t="str">
        <f aca="false">IF(COUNT(D962:F962)=0,"",ROUND(AVERAGE(D962:F962),1))</f>
        <v/>
      </c>
      <c r="I962" s="18" t="str">
        <f aca="false">IF(H962="","",IF(J962&lt;설정!$B$7,"",ROUND(AVERAGEIFS($H$2:$H$1001,$B$2:$B$1001,B962,$A$2:$A$1001,"&lt;"&amp;A962,$A$2:$A$1001,"&gt;="&amp;(A962-설정!$B$6)),1)))</f>
        <v/>
      </c>
      <c r="J962" s="18" t="str">
        <f aca="false">IF(H962="","",COUNTIFS($B$2:$B$1001,B962,$A$2:$A$1001,"&lt;"&amp;A962,$A$2:$A$1001,"&gt;="&amp;(A962-설정!$B$6),$H$2:$H$1001,"&gt;=0"))</f>
        <v/>
      </c>
      <c r="K962" s="21" t="str">
        <f aca="false">IF(I962="","",H962/I962-1)</f>
        <v/>
      </c>
      <c r="L962" s="19" t="str">
        <f aca="false">IF(H962="","",IF(J962&lt;설정!$B$7,"baseline 수집 중",IF(K962&lt;=-설정!$B$8,"저하","정상")))</f>
        <v/>
      </c>
      <c r="M962" s="20"/>
    </row>
    <row r="963" customFormat="false" ht="15" hidden="false" customHeight="false" outlineLevel="0" collapsed="false">
      <c r="A963" s="16"/>
      <c r="B963" s="17"/>
      <c r="C963" s="17"/>
      <c r="D963" s="17"/>
      <c r="E963" s="17"/>
      <c r="F963" s="17"/>
      <c r="G963" s="18" t="str">
        <f aca="false">IF(COUNT(D963:F963)=0,"",MAX(D963:F963))</f>
        <v/>
      </c>
      <c r="H963" s="18" t="str">
        <f aca="false">IF(COUNT(D963:F963)=0,"",ROUND(AVERAGE(D963:F963),1))</f>
        <v/>
      </c>
      <c r="I963" s="18" t="str">
        <f aca="false">IF(H963="","",IF(J963&lt;설정!$B$7,"",ROUND(AVERAGEIFS($H$2:$H$1001,$B$2:$B$1001,B963,$A$2:$A$1001,"&lt;"&amp;A963,$A$2:$A$1001,"&gt;="&amp;(A963-설정!$B$6)),1)))</f>
        <v/>
      </c>
      <c r="J963" s="18" t="str">
        <f aca="false">IF(H963="","",COUNTIFS($B$2:$B$1001,B963,$A$2:$A$1001,"&lt;"&amp;A963,$A$2:$A$1001,"&gt;="&amp;(A963-설정!$B$6),$H$2:$H$1001,"&gt;=0"))</f>
        <v/>
      </c>
      <c r="K963" s="21" t="str">
        <f aca="false">IF(I963="","",H963/I963-1)</f>
        <v/>
      </c>
      <c r="L963" s="19" t="str">
        <f aca="false">IF(H963="","",IF(J963&lt;설정!$B$7,"baseline 수집 중",IF(K963&lt;=-설정!$B$8,"저하","정상")))</f>
        <v/>
      </c>
      <c r="M963" s="20"/>
    </row>
    <row r="964" customFormat="false" ht="15" hidden="false" customHeight="false" outlineLevel="0" collapsed="false">
      <c r="A964" s="16"/>
      <c r="B964" s="17"/>
      <c r="C964" s="17"/>
      <c r="D964" s="17"/>
      <c r="E964" s="17"/>
      <c r="F964" s="17"/>
      <c r="G964" s="18" t="str">
        <f aca="false">IF(COUNT(D964:F964)=0,"",MAX(D964:F964))</f>
        <v/>
      </c>
      <c r="H964" s="18" t="str">
        <f aca="false">IF(COUNT(D964:F964)=0,"",ROUND(AVERAGE(D964:F964),1))</f>
        <v/>
      </c>
      <c r="I964" s="18" t="str">
        <f aca="false">IF(H964="","",IF(J964&lt;설정!$B$7,"",ROUND(AVERAGEIFS($H$2:$H$1001,$B$2:$B$1001,B964,$A$2:$A$1001,"&lt;"&amp;A964,$A$2:$A$1001,"&gt;="&amp;(A964-설정!$B$6)),1)))</f>
        <v/>
      </c>
      <c r="J964" s="18" t="str">
        <f aca="false">IF(H964="","",COUNTIFS($B$2:$B$1001,B964,$A$2:$A$1001,"&lt;"&amp;A964,$A$2:$A$1001,"&gt;="&amp;(A964-설정!$B$6),$H$2:$H$1001,"&gt;=0"))</f>
        <v/>
      </c>
      <c r="K964" s="21" t="str">
        <f aca="false">IF(I964="","",H964/I964-1)</f>
        <v/>
      </c>
      <c r="L964" s="19" t="str">
        <f aca="false">IF(H964="","",IF(J964&lt;설정!$B$7,"baseline 수집 중",IF(K964&lt;=-설정!$B$8,"저하","정상")))</f>
        <v/>
      </c>
      <c r="M964" s="20"/>
    </row>
    <row r="965" customFormat="false" ht="15" hidden="false" customHeight="false" outlineLevel="0" collapsed="false">
      <c r="A965" s="16"/>
      <c r="B965" s="17"/>
      <c r="C965" s="17"/>
      <c r="D965" s="17"/>
      <c r="E965" s="17"/>
      <c r="F965" s="17"/>
      <c r="G965" s="18" t="str">
        <f aca="false">IF(COUNT(D965:F965)=0,"",MAX(D965:F965))</f>
        <v/>
      </c>
      <c r="H965" s="18" t="str">
        <f aca="false">IF(COUNT(D965:F965)=0,"",ROUND(AVERAGE(D965:F965),1))</f>
        <v/>
      </c>
      <c r="I965" s="18" t="str">
        <f aca="false">IF(H965="","",IF(J965&lt;설정!$B$7,"",ROUND(AVERAGEIFS($H$2:$H$1001,$B$2:$B$1001,B965,$A$2:$A$1001,"&lt;"&amp;A965,$A$2:$A$1001,"&gt;="&amp;(A965-설정!$B$6)),1)))</f>
        <v/>
      </c>
      <c r="J965" s="18" t="str">
        <f aca="false">IF(H965="","",COUNTIFS($B$2:$B$1001,B965,$A$2:$A$1001,"&lt;"&amp;A965,$A$2:$A$1001,"&gt;="&amp;(A965-설정!$B$6),$H$2:$H$1001,"&gt;=0"))</f>
        <v/>
      </c>
      <c r="K965" s="21" t="str">
        <f aca="false">IF(I965="","",H965/I965-1)</f>
        <v/>
      </c>
      <c r="L965" s="19" t="str">
        <f aca="false">IF(H965="","",IF(J965&lt;설정!$B$7,"baseline 수집 중",IF(K965&lt;=-설정!$B$8,"저하","정상")))</f>
        <v/>
      </c>
      <c r="M965" s="20"/>
    </row>
    <row r="966" customFormat="false" ht="15" hidden="false" customHeight="false" outlineLevel="0" collapsed="false">
      <c r="A966" s="16"/>
      <c r="B966" s="17"/>
      <c r="C966" s="17"/>
      <c r="D966" s="17"/>
      <c r="E966" s="17"/>
      <c r="F966" s="17"/>
      <c r="G966" s="18" t="str">
        <f aca="false">IF(COUNT(D966:F966)=0,"",MAX(D966:F966))</f>
        <v/>
      </c>
      <c r="H966" s="18" t="str">
        <f aca="false">IF(COUNT(D966:F966)=0,"",ROUND(AVERAGE(D966:F966),1))</f>
        <v/>
      </c>
      <c r="I966" s="18" t="str">
        <f aca="false">IF(H966="","",IF(J966&lt;설정!$B$7,"",ROUND(AVERAGEIFS($H$2:$H$1001,$B$2:$B$1001,B966,$A$2:$A$1001,"&lt;"&amp;A966,$A$2:$A$1001,"&gt;="&amp;(A966-설정!$B$6)),1)))</f>
        <v/>
      </c>
      <c r="J966" s="18" t="str">
        <f aca="false">IF(H966="","",COUNTIFS($B$2:$B$1001,B966,$A$2:$A$1001,"&lt;"&amp;A966,$A$2:$A$1001,"&gt;="&amp;(A966-설정!$B$6),$H$2:$H$1001,"&gt;=0"))</f>
        <v/>
      </c>
      <c r="K966" s="21" t="str">
        <f aca="false">IF(I966="","",H966/I966-1)</f>
        <v/>
      </c>
      <c r="L966" s="19" t="str">
        <f aca="false">IF(H966="","",IF(J966&lt;설정!$B$7,"baseline 수집 중",IF(K966&lt;=-설정!$B$8,"저하","정상")))</f>
        <v/>
      </c>
      <c r="M966" s="20"/>
    </row>
    <row r="967" customFormat="false" ht="15" hidden="false" customHeight="false" outlineLevel="0" collapsed="false">
      <c r="A967" s="16"/>
      <c r="B967" s="17"/>
      <c r="C967" s="17"/>
      <c r="D967" s="17"/>
      <c r="E967" s="17"/>
      <c r="F967" s="17"/>
      <c r="G967" s="18" t="str">
        <f aca="false">IF(COUNT(D967:F967)=0,"",MAX(D967:F967))</f>
        <v/>
      </c>
      <c r="H967" s="18" t="str">
        <f aca="false">IF(COUNT(D967:F967)=0,"",ROUND(AVERAGE(D967:F967),1))</f>
        <v/>
      </c>
      <c r="I967" s="18" t="str">
        <f aca="false">IF(H967="","",IF(J967&lt;설정!$B$7,"",ROUND(AVERAGEIFS($H$2:$H$1001,$B$2:$B$1001,B967,$A$2:$A$1001,"&lt;"&amp;A967,$A$2:$A$1001,"&gt;="&amp;(A967-설정!$B$6)),1)))</f>
        <v/>
      </c>
      <c r="J967" s="18" t="str">
        <f aca="false">IF(H967="","",COUNTIFS($B$2:$B$1001,B967,$A$2:$A$1001,"&lt;"&amp;A967,$A$2:$A$1001,"&gt;="&amp;(A967-설정!$B$6),$H$2:$H$1001,"&gt;=0"))</f>
        <v/>
      </c>
      <c r="K967" s="21" t="str">
        <f aca="false">IF(I967="","",H967/I967-1)</f>
        <v/>
      </c>
      <c r="L967" s="19" t="str">
        <f aca="false">IF(H967="","",IF(J967&lt;설정!$B$7,"baseline 수집 중",IF(K967&lt;=-설정!$B$8,"저하","정상")))</f>
        <v/>
      </c>
      <c r="M967" s="20"/>
    </row>
    <row r="968" customFormat="false" ht="15" hidden="false" customHeight="false" outlineLevel="0" collapsed="false">
      <c r="A968" s="16"/>
      <c r="B968" s="17"/>
      <c r="C968" s="17"/>
      <c r="D968" s="17"/>
      <c r="E968" s="17"/>
      <c r="F968" s="17"/>
      <c r="G968" s="18" t="str">
        <f aca="false">IF(COUNT(D968:F968)=0,"",MAX(D968:F968))</f>
        <v/>
      </c>
      <c r="H968" s="18" t="str">
        <f aca="false">IF(COUNT(D968:F968)=0,"",ROUND(AVERAGE(D968:F968),1))</f>
        <v/>
      </c>
      <c r="I968" s="18" t="str">
        <f aca="false">IF(H968="","",IF(J968&lt;설정!$B$7,"",ROUND(AVERAGEIFS($H$2:$H$1001,$B$2:$B$1001,B968,$A$2:$A$1001,"&lt;"&amp;A968,$A$2:$A$1001,"&gt;="&amp;(A968-설정!$B$6)),1)))</f>
        <v/>
      </c>
      <c r="J968" s="18" t="str">
        <f aca="false">IF(H968="","",COUNTIFS($B$2:$B$1001,B968,$A$2:$A$1001,"&lt;"&amp;A968,$A$2:$A$1001,"&gt;="&amp;(A968-설정!$B$6),$H$2:$H$1001,"&gt;=0"))</f>
        <v/>
      </c>
      <c r="K968" s="21" t="str">
        <f aca="false">IF(I968="","",H968/I968-1)</f>
        <v/>
      </c>
      <c r="L968" s="19" t="str">
        <f aca="false">IF(H968="","",IF(J968&lt;설정!$B$7,"baseline 수집 중",IF(K968&lt;=-설정!$B$8,"저하","정상")))</f>
        <v/>
      </c>
      <c r="M968" s="20"/>
    </row>
    <row r="969" customFormat="false" ht="15" hidden="false" customHeight="false" outlineLevel="0" collapsed="false">
      <c r="A969" s="16"/>
      <c r="B969" s="17"/>
      <c r="C969" s="17"/>
      <c r="D969" s="17"/>
      <c r="E969" s="17"/>
      <c r="F969" s="17"/>
      <c r="G969" s="18" t="str">
        <f aca="false">IF(COUNT(D969:F969)=0,"",MAX(D969:F969))</f>
        <v/>
      </c>
      <c r="H969" s="18" t="str">
        <f aca="false">IF(COUNT(D969:F969)=0,"",ROUND(AVERAGE(D969:F969),1))</f>
        <v/>
      </c>
      <c r="I969" s="18" t="str">
        <f aca="false">IF(H969="","",IF(J969&lt;설정!$B$7,"",ROUND(AVERAGEIFS($H$2:$H$1001,$B$2:$B$1001,B969,$A$2:$A$1001,"&lt;"&amp;A969,$A$2:$A$1001,"&gt;="&amp;(A969-설정!$B$6)),1)))</f>
        <v/>
      </c>
      <c r="J969" s="18" t="str">
        <f aca="false">IF(H969="","",COUNTIFS($B$2:$B$1001,B969,$A$2:$A$1001,"&lt;"&amp;A969,$A$2:$A$1001,"&gt;="&amp;(A969-설정!$B$6),$H$2:$H$1001,"&gt;=0"))</f>
        <v/>
      </c>
      <c r="K969" s="21" t="str">
        <f aca="false">IF(I969="","",H969/I969-1)</f>
        <v/>
      </c>
      <c r="L969" s="19" t="str">
        <f aca="false">IF(H969="","",IF(J969&lt;설정!$B$7,"baseline 수집 중",IF(K969&lt;=-설정!$B$8,"저하","정상")))</f>
        <v/>
      </c>
      <c r="M969" s="20"/>
    </row>
    <row r="970" customFormat="false" ht="15" hidden="false" customHeight="false" outlineLevel="0" collapsed="false">
      <c r="A970" s="16"/>
      <c r="B970" s="17"/>
      <c r="C970" s="17"/>
      <c r="D970" s="17"/>
      <c r="E970" s="17"/>
      <c r="F970" s="17"/>
      <c r="G970" s="18" t="str">
        <f aca="false">IF(COUNT(D970:F970)=0,"",MAX(D970:F970))</f>
        <v/>
      </c>
      <c r="H970" s="18" t="str">
        <f aca="false">IF(COUNT(D970:F970)=0,"",ROUND(AVERAGE(D970:F970),1))</f>
        <v/>
      </c>
      <c r="I970" s="18" t="str">
        <f aca="false">IF(H970="","",IF(J970&lt;설정!$B$7,"",ROUND(AVERAGEIFS($H$2:$H$1001,$B$2:$B$1001,B970,$A$2:$A$1001,"&lt;"&amp;A970,$A$2:$A$1001,"&gt;="&amp;(A970-설정!$B$6)),1)))</f>
        <v/>
      </c>
      <c r="J970" s="18" t="str">
        <f aca="false">IF(H970="","",COUNTIFS($B$2:$B$1001,B970,$A$2:$A$1001,"&lt;"&amp;A970,$A$2:$A$1001,"&gt;="&amp;(A970-설정!$B$6),$H$2:$H$1001,"&gt;=0"))</f>
        <v/>
      </c>
      <c r="K970" s="21" t="str">
        <f aca="false">IF(I970="","",H970/I970-1)</f>
        <v/>
      </c>
      <c r="L970" s="19" t="str">
        <f aca="false">IF(H970="","",IF(J970&lt;설정!$B$7,"baseline 수집 중",IF(K970&lt;=-설정!$B$8,"저하","정상")))</f>
        <v/>
      </c>
      <c r="M970" s="20"/>
    </row>
    <row r="971" customFormat="false" ht="15" hidden="false" customHeight="false" outlineLevel="0" collapsed="false">
      <c r="A971" s="16"/>
      <c r="B971" s="17"/>
      <c r="C971" s="17"/>
      <c r="D971" s="17"/>
      <c r="E971" s="17"/>
      <c r="F971" s="17"/>
      <c r="G971" s="18" t="str">
        <f aca="false">IF(COUNT(D971:F971)=0,"",MAX(D971:F971))</f>
        <v/>
      </c>
      <c r="H971" s="18" t="str">
        <f aca="false">IF(COUNT(D971:F971)=0,"",ROUND(AVERAGE(D971:F971),1))</f>
        <v/>
      </c>
      <c r="I971" s="18" t="str">
        <f aca="false">IF(H971="","",IF(J971&lt;설정!$B$7,"",ROUND(AVERAGEIFS($H$2:$H$1001,$B$2:$B$1001,B971,$A$2:$A$1001,"&lt;"&amp;A971,$A$2:$A$1001,"&gt;="&amp;(A971-설정!$B$6)),1)))</f>
        <v/>
      </c>
      <c r="J971" s="18" t="str">
        <f aca="false">IF(H971="","",COUNTIFS($B$2:$B$1001,B971,$A$2:$A$1001,"&lt;"&amp;A971,$A$2:$A$1001,"&gt;="&amp;(A971-설정!$B$6),$H$2:$H$1001,"&gt;=0"))</f>
        <v/>
      </c>
      <c r="K971" s="21" t="str">
        <f aca="false">IF(I971="","",H971/I971-1)</f>
        <v/>
      </c>
      <c r="L971" s="19" t="str">
        <f aca="false">IF(H971="","",IF(J971&lt;설정!$B$7,"baseline 수집 중",IF(K971&lt;=-설정!$B$8,"저하","정상")))</f>
        <v/>
      </c>
      <c r="M971" s="20"/>
    </row>
    <row r="972" customFormat="false" ht="15" hidden="false" customHeight="false" outlineLevel="0" collapsed="false">
      <c r="A972" s="16"/>
      <c r="B972" s="17"/>
      <c r="C972" s="17"/>
      <c r="D972" s="17"/>
      <c r="E972" s="17"/>
      <c r="F972" s="17"/>
      <c r="G972" s="18" t="str">
        <f aca="false">IF(COUNT(D972:F972)=0,"",MAX(D972:F972))</f>
        <v/>
      </c>
      <c r="H972" s="18" t="str">
        <f aca="false">IF(COUNT(D972:F972)=0,"",ROUND(AVERAGE(D972:F972),1))</f>
        <v/>
      </c>
      <c r="I972" s="18" t="str">
        <f aca="false">IF(H972="","",IF(J972&lt;설정!$B$7,"",ROUND(AVERAGEIFS($H$2:$H$1001,$B$2:$B$1001,B972,$A$2:$A$1001,"&lt;"&amp;A972,$A$2:$A$1001,"&gt;="&amp;(A972-설정!$B$6)),1)))</f>
        <v/>
      </c>
      <c r="J972" s="18" t="str">
        <f aca="false">IF(H972="","",COUNTIFS($B$2:$B$1001,B972,$A$2:$A$1001,"&lt;"&amp;A972,$A$2:$A$1001,"&gt;="&amp;(A972-설정!$B$6),$H$2:$H$1001,"&gt;=0"))</f>
        <v/>
      </c>
      <c r="K972" s="21" t="str">
        <f aca="false">IF(I972="","",H972/I972-1)</f>
        <v/>
      </c>
      <c r="L972" s="19" t="str">
        <f aca="false">IF(H972="","",IF(J972&lt;설정!$B$7,"baseline 수집 중",IF(K972&lt;=-설정!$B$8,"저하","정상")))</f>
        <v/>
      </c>
      <c r="M972" s="20"/>
    </row>
    <row r="973" customFormat="false" ht="15" hidden="false" customHeight="false" outlineLevel="0" collapsed="false">
      <c r="A973" s="16"/>
      <c r="B973" s="17"/>
      <c r="C973" s="17"/>
      <c r="D973" s="17"/>
      <c r="E973" s="17"/>
      <c r="F973" s="17"/>
      <c r="G973" s="18" t="str">
        <f aca="false">IF(COUNT(D973:F973)=0,"",MAX(D973:F973))</f>
        <v/>
      </c>
      <c r="H973" s="18" t="str">
        <f aca="false">IF(COUNT(D973:F973)=0,"",ROUND(AVERAGE(D973:F973),1))</f>
        <v/>
      </c>
      <c r="I973" s="18" t="str">
        <f aca="false">IF(H973="","",IF(J973&lt;설정!$B$7,"",ROUND(AVERAGEIFS($H$2:$H$1001,$B$2:$B$1001,B973,$A$2:$A$1001,"&lt;"&amp;A973,$A$2:$A$1001,"&gt;="&amp;(A973-설정!$B$6)),1)))</f>
        <v/>
      </c>
      <c r="J973" s="18" t="str">
        <f aca="false">IF(H973="","",COUNTIFS($B$2:$B$1001,B973,$A$2:$A$1001,"&lt;"&amp;A973,$A$2:$A$1001,"&gt;="&amp;(A973-설정!$B$6),$H$2:$H$1001,"&gt;=0"))</f>
        <v/>
      </c>
      <c r="K973" s="21" t="str">
        <f aca="false">IF(I973="","",H973/I973-1)</f>
        <v/>
      </c>
      <c r="L973" s="19" t="str">
        <f aca="false">IF(H973="","",IF(J973&lt;설정!$B$7,"baseline 수집 중",IF(K973&lt;=-설정!$B$8,"저하","정상")))</f>
        <v/>
      </c>
      <c r="M973" s="20"/>
    </row>
    <row r="974" customFormat="false" ht="15" hidden="false" customHeight="false" outlineLevel="0" collapsed="false">
      <c r="A974" s="16"/>
      <c r="B974" s="17"/>
      <c r="C974" s="17"/>
      <c r="D974" s="17"/>
      <c r="E974" s="17"/>
      <c r="F974" s="17"/>
      <c r="G974" s="18" t="str">
        <f aca="false">IF(COUNT(D974:F974)=0,"",MAX(D974:F974))</f>
        <v/>
      </c>
      <c r="H974" s="18" t="str">
        <f aca="false">IF(COUNT(D974:F974)=0,"",ROUND(AVERAGE(D974:F974),1))</f>
        <v/>
      </c>
      <c r="I974" s="18" t="str">
        <f aca="false">IF(H974="","",IF(J974&lt;설정!$B$7,"",ROUND(AVERAGEIFS($H$2:$H$1001,$B$2:$B$1001,B974,$A$2:$A$1001,"&lt;"&amp;A974,$A$2:$A$1001,"&gt;="&amp;(A974-설정!$B$6)),1)))</f>
        <v/>
      </c>
      <c r="J974" s="18" t="str">
        <f aca="false">IF(H974="","",COUNTIFS($B$2:$B$1001,B974,$A$2:$A$1001,"&lt;"&amp;A974,$A$2:$A$1001,"&gt;="&amp;(A974-설정!$B$6),$H$2:$H$1001,"&gt;=0"))</f>
        <v/>
      </c>
      <c r="K974" s="21" t="str">
        <f aca="false">IF(I974="","",H974/I974-1)</f>
        <v/>
      </c>
      <c r="L974" s="19" t="str">
        <f aca="false">IF(H974="","",IF(J974&lt;설정!$B$7,"baseline 수집 중",IF(K974&lt;=-설정!$B$8,"저하","정상")))</f>
        <v/>
      </c>
      <c r="M974" s="20"/>
    </row>
    <row r="975" customFormat="false" ht="15" hidden="false" customHeight="false" outlineLevel="0" collapsed="false">
      <c r="A975" s="16"/>
      <c r="B975" s="17"/>
      <c r="C975" s="17"/>
      <c r="D975" s="17"/>
      <c r="E975" s="17"/>
      <c r="F975" s="17"/>
      <c r="G975" s="18" t="str">
        <f aca="false">IF(COUNT(D975:F975)=0,"",MAX(D975:F975))</f>
        <v/>
      </c>
      <c r="H975" s="18" t="str">
        <f aca="false">IF(COUNT(D975:F975)=0,"",ROUND(AVERAGE(D975:F975),1))</f>
        <v/>
      </c>
      <c r="I975" s="18" t="str">
        <f aca="false">IF(H975="","",IF(J975&lt;설정!$B$7,"",ROUND(AVERAGEIFS($H$2:$H$1001,$B$2:$B$1001,B975,$A$2:$A$1001,"&lt;"&amp;A975,$A$2:$A$1001,"&gt;="&amp;(A975-설정!$B$6)),1)))</f>
        <v/>
      </c>
      <c r="J975" s="18" t="str">
        <f aca="false">IF(H975="","",COUNTIFS($B$2:$B$1001,B975,$A$2:$A$1001,"&lt;"&amp;A975,$A$2:$A$1001,"&gt;="&amp;(A975-설정!$B$6),$H$2:$H$1001,"&gt;=0"))</f>
        <v/>
      </c>
      <c r="K975" s="21" t="str">
        <f aca="false">IF(I975="","",H975/I975-1)</f>
        <v/>
      </c>
      <c r="L975" s="19" t="str">
        <f aca="false">IF(H975="","",IF(J975&lt;설정!$B$7,"baseline 수집 중",IF(K975&lt;=-설정!$B$8,"저하","정상")))</f>
        <v/>
      </c>
      <c r="M975" s="20"/>
    </row>
    <row r="976" customFormat="false" ht="15" hidden="false" customHeight="false" outlineLevel="0" collapsed="false">
      <c r="A976" s="16"/>
      <c r="B976" s="17"/>
      <c r="C976" s="17"/>
      <c r="D976" s="17"/>
      <c r="E976" s="17"/>
      <c r="F976" s="17"/>
      <c r="G976" s="18" t="str">
        <f aca="false">IF(COUNT(D976:F976)=0,"",MAX(D976:F976))</f>
        <v/>
      </c>
      <c r="H976" s="18" t="str">
        <f aca="false">IF(COUNT(D976:F976)=0,"",ROUND(AVERAGE(D976:F976),1))</f>
        <v/>
      </c>
      <c r="I976" s="18" t="str">
        <f aca="false">IF(H976="","",IF(J976&lt;설정!$B$7,"",ROUND(AVERAGEIFS($H$2:$H$1001,$B$2:$B$1001,B976,$A$2:$A$1001,"&lt;"&amp;A976,$A$2:$A$1001,"&gt;="&amp;(A976-설정!$B$6)),1)))</f>
        <v/>
      </c>
      <c r="J976" s="18" t="str">
        <f aca="false">IF(H976="","",COUNTIFS($B$2:$B$1001,B976,$A$2:$A$1001,"&lt;"&amp;A976,$A$2:$A$1001,"&gt;="&amp;(A976-설정!$B$6),$H$2:$H$1001,"&gt;=0"))</f>
        <v/>
      </c>
      <c r="K976" s="21" t="str">
        <f aca="false">IF(I976="","",H976/I976-1)</f>
        <v/>
      </c>
      <c r="L976" s="19" t="str">
        <f aca="false">IF(H976="","",IF(J976&lt;설정!$B$7,"baseline 수집 중",IF(K976&lt;=-설정!$B$8,"저하","정상")))</f>
        <v/>
      </c>
      <c r="M976" s="20"/>
    </row>
    <row r="977" customFormat="false" ht="15" hidden="false" customHeight="false" outlineLevel="0" collapsed="false">
      <c r="A977" s="16"/>
      <c r="B977" s="17"/>
      <c r="C977" s="17"/>
      <c r="D977" s="17"/>
      <c r="E977" s="17"/>
      <c r="F977" s="17"/>
      <c r="G977" s="18" t="str">
        <f aca="false">IF(COUNT(D977:F977)=0,"",MAX(D977:F977))</f>
        <v/>
      </c>
      <c r="H977" s="18" t="str">
        <f aca="false">IF(COUNT(D977:F977)=0,"",ROUND(AVERAGE(D977:F977),1))</f>
        <v/>
      </c>
      <c r="I977" s="18" t="str">
        <f aca="false">IF(H977="","",IF(J977&lt;설정!$B$7,"",ROUND(AVERAGEIFS($H$2:$H$1001,$B$2:$B$1001,B977,$A$2:$A$1001,"&lt;"&amp;A977,$A$2:$A$1001,"&gt;="&amp;(A977-설정!$B$6)),1)))</f>
        <v/>
      </c>
      <c r="J977" s="18" t="str">
        <f aca="false">IF(H977="","",COUNTIFS($B$2:$B$1001,B977,$A$2:$A$1001,"&lt;"&amp;A977,$A$2:$A$1001,"&gt;="&amp;(A977-설정!$B$6),$H$2:$H$1001,"&gt;=0"))</f>
        <v/>
      </c>
      <c r="K977" s="21" t="str">
        <f aca="false">IF(I977="","",H977/I977-1)</f>
        <v/>
      </c>
      <c r="L977" s="19" t="str">
        <f aca="false">IF(H977="","",IF(J977&lt;설정!$B$7,"baseline 수집 중",IF(K977&lt;=-설정!$B$8,"저하","정상")))</f>
        <v/>
      </c>
      <c r="M977" s="20"/>
    </row>
    <row r="978" customFormat="false" ht="15" hidden="false" customHeight="false" outlineLevel="0" collapsed="false">
      <c r="A978" s="16"/>
      <c r="B978" s="17"/>
      <c r="C978" s="17"/>
      <c r="D978" s="17"/>
      <c r="E978" s="17"/>
      <c r="F978" s="17"/>
      <c r="G978" s="18" t="str">
        <f aca="false">IF(COUNT(D978:F978)=0,"",MAX(D978:F978))</f>
        <v/>
      </c>
      <c r="H978" s="18" t="str">
        <f aca="false">IF(COUNT(D978:F978)=0,"",ROUND(AVERAGE(D978:F978),1))</f>
        <v/>
      </c>
      <c r="I978" s="18" t="str">
        <f aca="false">IF(H978="","",IF(J978&lt;설정!$B$7,"",ROUND(AVERAGEIFS($H$2:$H$1001,$B$2:$B$1001,B978,$A$2:$A$1001,"&lt;"&amp;A978,$A$2:$A$1001,"&gt;="&amp;(A978-설정!$B$6)),1)))</f>
        <v/>
      </c>
      <c r="J978" s="18" t="str">
        <f aca="false">IF(H978="","",COUNTIFS($B$2:$B$1001,B978,$A$2:$A$1001,"&lt;"&amp;A978,$A$2:$A$1001,"&gt;="&amp;(A978-설정!$B$6),$H$2:$H$1001,"&gt;=0"))</f>
        <v/>
      </c>
      <c r="K978" s="21" t="str">
        <f aca="false">IF(I978="","",H978/I978-1)</f>
        <v/>
      </c>
      <c r="L978" s="19" t="str">
        <f aca="false">IF(H978="","",IF(J978&lt;설정!$B$7,"baseline 수집 중",IF(K978&lt;=-설정!$B$8,"저하","정상")))</f>
        <v/>
      </c>
      <c r="M978" s="20"/>
    </row>
    <row r="979" customFormat="false" ht="15" hidden="false" customHeight="false" outlineLevel="0" collapsed="false">
      <c r="A979" s="16"/>
      <c r="B979" s="17"/>
      <c r="C979" s="17"/>
      <c r="D979" s="17"/>
      <c r="E979" s="17"/>
      <c r="F979" s="17"/>
      <c r="G979" s="18" t="str">
        <f aca="false">IF(COUNT(D979:F979)=0,"",MAX(D979:F979))</f>
        <v/>
      </c>
      <c r="H979" s="18" t="str">
        <f aca="false">IF(COUNT(D979:F979)=0,"",ROUND(AVERAGE(D979:F979),1))</f>
        <v/>
      </c>
      <c r="I979" s="18" t="str">
        <f aca="false">IF(H979="","",IF(J979&lt;설정!$B$7,"",ROUND(AVERAGEIFS($H$2:$H$1001,$B$2:$B$1001,B979,$A$2:$A$1001,"&lt;"&amp;A979,$A$2:$A$1001,"&gt;="&amp;(A979-설정!$B$6)),1)))</f>
        <v/>
      </c>
      <c r="J979" s="18" t="str">
        <f aca="false">IF(H979="","",COUNTIFS($B$2:$B$1001,B979,$A$2:$A$1001,"&lt;"&amp;A979,$A$2:$A$1001,"&gt;="&amp;(A979-설정!$B$6),$H$2:$H$1001,"&gt;=0"))</f>
        <v/>
      </c>
      <c r="K979" s="21" t="str">
        <f aca="false">IF(I979="","",H979/I979-1)</f>
        <v/>
      </c>
      <c r="L979" s="19" t="str">
        <f aca="false">IF(H979="","",IF(J979&lt;설정!$B$7,"baseline 수집 중",IF(K979&lt;=-설정!$B$8,"저하","정상")))</f>
        <v/>
      </c>
      <c r="M979" s="20"/>
    </row>
    <row r="980" customFormat="false" ht="15" hidden="false" customHeight="false" outlineLevel="0" collapsed="false">
      <c r="A980" s="16"/>
      <c r="B980" s="17"/>
      <c r="C980" s="17"/>
      <c r="D980" s="17"/>
      <c r="E980" s="17"/>
      <c r="F980" s="17"/>
      <c r="G980" s="18" t="str">
        <f aca="false">IF(COUNT(D980:F980)=0,"",MAX(D980:F980))</f>
        <v/>
      </c>
      <c r="H980" s="18" t="str">
        <f aca="false">IF(COUNT(D980:F980)=0,"",ROUND(AVERAGE(D980:F980),1))</f>
        <v/>
      </c>
      <c r="I980" s="18" t="str">
        <f aca="false">IF(H980="","",IF(J980&lt;설정!$B$7,"",ROUND(AVERAGEIFS($H$2:$H$1001,$B$2:$B$1001,B980,$A$2:$A$1001,"&lt;"&amp;A980,$A$2:$A$1001,"&gt;="&amp;(A980-설정!$B$6)),1)))</f>
        <v/>
      </c>
      <c r="J980" s="18" t="str">
        <f aca="false">IF(H980="","",COUNTIFS($B$2:$B$1001,B980,$A$2:$A$1001,"&lt;"&amp;A980,$A$2:$A$1001,"&gt;="&amp;(A980-설정!$B$6),$H$2:$H$1001,"&gt;=0"))</f>
        <v/>
      </c>
      <c r="K980" s="21" t="str">
        <f aca="false">IF(I980="","",H980/I980-1)</f>
        <v/>
      </c>
      <c r="L980" s="19" t="str">
        <f aca="false">IF(H980="","",IF(J980&lt;설정!$B$7,"baseline 수집 중",IF(K980&lt;=-설정!$B$8,"저하","정상")))</f>
        <v/>
      </c>
      <c r="M980" s="20"/>
    </row>
    <row r="981" customFormat="false" ht="15" hidden="false" customHeight="false" outlineLevel="0" collapsed="false">
      <c r="A981" s="16"/>
      <c r="B981" s="17"/>
      <c r="C981" s="17"/>
      <c r="D981" s="17"/>
      <c r="E981" s="17"/>
      <c r="F981" s="17"/>
      <c r="G981" s="18" t="str">
        <f aca="false">IF(COUNT(D981:F981)=0,"",MAX(D981:F981))</f>
        <v/>
      </c>
      <c r="H981" s="18" t="str">
        <f aca="false">IF(COUNT(D981:F981)=0,"",ROUND(AVERAGE(D981:F981),1))</f>
        <v/>
      </c>
      <c r="I981" s="18" t="str">
        <f aca="false">IF(H981="","",IF(J981&lt;설정!$B$7,"",ROUND(AVERAGEIFS($H$2:$H$1001,$B$2:$B$1001,B981,$A$2:$A$1001,"&lt;"&amp;A981,$A$2:$A$1001,"&gt;="&amp;(A981-설정!$B$6)),1)))</f>
        <v/>
      </c>
      <c r="J981" s="18" t="str">
        <f aca="false">IF(H981="","",COUNTIFS($B$2:$B$1001,B981,$A$2:$A$1001,"&lt;"&amp;A981,$A$2:$A$1001,"&gt;="&amp;(A981-설정!$B$6),$H$2:$H$1001,"&gt;=0"))</f>
        <v/>
      </c>
      <c r="K981" s="21" t="str">
        <f aca="false">IF(I981="","",H981/I981-1)</f>
        <v/>
      </c>
      <c r="L981" s="19" t="str">
        <f aca="false">IF(H981="","",IF(J981&lt;설정!$B$7,"baseline 수집 중",IF(K981&lt;=-설정!$B$8,"저하","정상")))</f>
        <v/>
      </c>
      <c r="M981" s="20"/>
    </row>
    <row r="982" customFormat="false" ht="15" hidden="false" customHeight="false" outlineLevel="0" collapsed="false">
      <c r="A982" s="16"/>
      <c r="B982" s="17"/>
      <c r="C982" s="17"/>
      <c r="D982" s="17"/>
      <c r="E982" s="17"/>
      <c r="F982" s="17"/>
      <c r="G982" s="18" t="str">
        <f aca="false">IF(COUNT(D982:F982)=0,"",MAX(D982:F982))</f>
        <v/>
      </c>
      <c r="H982" s="18" t="str">
        <f aca="false">IF(COUNT(D982:F982)=0,"",ROUND(AVERAGE(D982:F982),1))</f>
        <v/>
      </c>
      <c r="I982" s="18" t="str">
        <f aca="false">IF(H982="","",IF(J982&lt;설정!$B$7,"",ROUND(AVERAGEIFS($H$2:$H$1001,$B$2:$B$1001,B982,$A$2:$A$1001,"&lt;"&amp;A982,$A$2:$A$1001,"&gt;="&amp;(A982-설정!$B$6)),1)))</f>
        <v/>
      </c>
      <c r="J982" s="18" t="str">
        <f aca="false">IF(H982="","",COUNTIFS($B$2:$B$1001,B982,$A$2:$A$1001,"&lt;"&amp;A982,$A$2:$A$1001,"&gt;="&amp;(A982-설정!$B$6),$H$2:$H$1001,"&gt;=0"))</f>
        <v/>
      </c>
      <c r="K982" s="21" t="str">
        <f aca="false">IF(I982="","",H982/I982-1)</f>
        <v/>
      </c>
      <c r="L982" s="19" t="str">
        <f aca="false">IF(H982="","",IF(J982&lt;설정!$B$7,"baseline 수집 중",IF(K982&lt;=-설정!$B$8,"저하","정상")))</f>
        <v/>
      </c>
      <c r="M982" s="20"/>
    </row>
    <row r="983" customFormat="false" ht="15" hidden="false" customHeight="false" outlineLevel="0" collapsed="false">
      <c r="A983" s="16"/>
      <c r="B983" s="17"/>
      <c r="C983" s="17"/>
      <c r="D983" s="17"/>
      <c r="E983" s="17"/>
      <c r="F983" s="17"/>
      <c r="G983" s="18" t="str">
        <f aca="false">IF(COUNT(D983:F983)=0,"",MAX(D983:F983))</f>
        <v/>
      </c>
      <c r="H983" s="18" t="str">
        <f aca="false">IF(COUNT(D983:F983)=0,"",ROUND(AVERAGE(D983:F983),1))</f>
        <v/>
      </c>
      <c r="I983" s="18" t="str">
        <f aca="false">IF(H983="","",IF(J983&lt;설정!$B$7,"",ROUND(AVERAGEIFS($H$2:$H$1001,$B$2:$B$1001,B983,$A$2:$A$1001,"&lt;"&amp;A983,$A$2:$A$1001,"&gt;="&amp;(A983-설정!$B$6)),1)))</f>
        <v/>
      </c>
      <c r="J983" s="18" t="str">
        <f aca="false">IF(H983="","",COUNTIFS($B$2:$B$1001,B983,$A$2:$A$1001,"&lt;"&amp;A983,$A$2:$A$1001,"&gt;="&amp;(A983-설정!$B$6),$H$2:$H$1001,"&gt;=0"))</f>
        <v/>
      </c>
      <c r="K983" s="21" t="str">
        <f aca="false">IF(I983="","",H983/I983-1)</f>
        <v/>
      </c>
      <c r="L983" s="19" t="str">
        <f aca="false">IF(H983="","",IF(J983&lt;설정!$B$7,"baseline 수집 중",IF(K983&lt;=-설정!$B$8,"저하","정상")))</f>
        <v/>
      </c>
      <c r="M983" s="20"/>
    </row>
    <row r="984" customFormat="false" ht="15" hidden="false" customHeight="false" outlineLevel="0" collapsed="false">
      <c r="A984" s="16"/>
      <c r="B984" s="17"/>
      <c r="C984" s="17"/>
      <c r="D984" s="17"/>
      <c r="E984" s="17"/>
      <c r="F984" s="17"/>
      <c r="G984" s="18" t="str">
        <f aca="false">IF(COUNT(D984:F984)=0,"",MAX(D984:F984))</f>
        <v/>
      </c>
      <c r="H984" s="18" t="str">
        <f aca="false">IF(COUNT(D984:F984)=0,"",ROUND(AVERAGE(D984:F984),1))</f>
        <v/>
      </c>
      <c r="I984" s="18" t="str">
        <f aca="false">IF(H984="","",IF(J984&lt;설정!$B$7,"",ROUND(AVERAGEIFS($H$2:$H$1001,$B$2:$B$1001,B984,$A$2:$A$1001,"&lt;"&amp;A984,$A$2:$A$1001,"&gt;="&amp;(A984-설정!$B$6)),1)))</f>
        <v/>
      </c>
      <c r="J984" s="18" t="str">
        <f aca="false">IF(H984="","",COUNTIFS($B$2:$B$1001,B984,$A$2:$A$1001,"&lt;"&amp;A984,$A$2:$A$1001,"&gt;="&amp;(A984-설정!$B$6),$H$2:$H$1001,"&gt;=0"))</f>
        <v/>
      </c>
      <c r="K984" s="21" t="str">
        <f aca="false">IF(I984="","",H984/I984-1)</f>
        <v/>
      </c>
      <c r="L984" s="19" t="str">
        <f aca="false">IF(H984="","",IF(J984&lt;설정!$B$7,"baseline 수집 중",IF(K984&lt;=-설정!$B$8,"저하","정상")))</f>
        <v/>
      </c>
      <c r="M984" s="20"/>
    </row>
    <row r="985" customFormat="false" ht="15" hidden="false" customHeight="false" outlineLevel="0" collapsed="false">
      <c r="A985" s="16"/>
      <c r="B985" s="17"/>
      <c r="C985" s="17"/>
      <c r="D985" s="17"/>
      <c r="E985" s="17"/>
      <c r="F985" s="17"/>
      <c r="G985" s="18" t="str">
        <f aca="false">IF(COUNT(D985:F985)=0,"",MAX(D985:F985))</f>
        <v/>
      </c>
      <c r="H985" s="18" t="str">
        <f aca="false">IF(COUNT(D985:F985)=0,"",ROUND(AVERAGE(D985:F985),1))</f>
        <v/>
      </c>
      <c r="I985" s="18" t="str">
        <f aca="false">IF(H985="","",IF(J985&lt;설정!$B$7,"",ROUND(AVERAGEIFS($H$2:$H$1001,$B$2:$B$1001,B985,$A$2:$A$1001,"&lt;"&amp;A985,$A$2:$A$1001,"&gt;="&amp;(A985-설정!$B$6)),1)))</f>
        <v/>
      </c>
      <c r="J985" s="18" t="str">
        <f aca="false">IF(H985="","",COUNTIFS($B$2:$B$1001,B985,$A$2:$A$1001,"&lt;"&amp;A985,$A$2:$A$1001,"&gt;="&amp;(A985-설정!$B$6),$H$2:$H$1001,"&gt;=0"))</f>
        <v/>
      </c>
      <c r="K985" s="21" t="str">
        <f aca="false">IF(I985="","",H985/I985-1)</f>
        <v/>
      </c>
      <c r="L985" s="19" t="str">
        <f aca="false">IF(H985="","",IF(J985&lt;설정!$B$7,"baseline 수집 중",IF(K985&lt;=-설정!$B$8,"저하","정상")))</f>
        <v/>
      </c>
      <c r="M985" s="20"/>
    </row>
    <row r="986" customFormat="false" ht="15" hidden="false" customHeight="false" outlineLevel="0" collapsed="false">
      <c r="A986" s="16"/>
      <c r="B986" s="17"/>
      <c r="C986" s="17"/>
      <c r="D986" s="17"/>
      <c r="E986" s="17"/>
      <c r="F986" s="17"/>
      <c r="G986" s="18" t="str">
        <f aca="false">IF(COUNT(D986:F986)=0,"",MAX(D986:F986))</f>
        <v/>
      </c>
      <c r="H986" s="18" t="str">
        <f aca="false">IF(COUNT(D986:F986)=0,"",ROUND(AVERAGE(D986:F986),1))</f>
        <v/>
      </c>
      <c r="I986" s="18" t="str">
        <f aca="false">IF(H986="","",IF(J986&lt;설정!$B$7,"",ROUND(AVERAGEIFS($H$2:$H$1001,$B$2:$B$1001,B986,$A$2:$A$1001,"&lt;"&amp;A986,$A$2:$A$1001,"&gt;="&amp;(A986-설정!$B$6)),1)))</f>
        <v/>
      </c>
      <c r="J986" s="18" t="str">
        <f aca="false">IF(H986="","",COUNTIFS($B$2:$B$1001,B986,$A$2:$A$1001,"&lt;"&amp;A986,$A$2:$A$1001,"&gt;="&amp;(A986-설정!$B$6),$H$2:$H$1001,"&gt;=0"))</f>
        <v/>
      </c>
      <c r="K986" s="21" t="str">
        <f aca="false">IF(I986="","",H986/I986-1)</f>
        <v/>
      </c>
      <c r="L986" s="19" t="str">
        <f aca="false">IF(H986="","",IF(J986&lt;설정!$B$7,"baseline 수집 중",IF(K986&lt;=-설정!$B$8,"저하","정상")))</f>
        <v/>
      </c>
      <c r="M986" s="20"/>
    </row>
    <row r="987" customFormat="false" ht="15" hidden="false" customHeight="false" outlineLevel="0" collapsed="false">
      <c r="A987" s="16"/>
      <c r="B987" s="17"/>
      <c r="C987" s="17"/>
      <c r="D987" s="17"/>
      <c r="E987" s="17"/>
      <c r="F987" s="17"/>
      <c r="G987" s="18" t="str">
        <f aca="false">IF(COUNT(D987:F987)=0,"",MAX(D987:F987))</f>
        <v/>
      </c>
      <c r="H987" s="18" t="str">
        <f aca="false">IF(COUNT(D987:F987)=0,"",ROUND(AVERAGE(D987:F987),1))</f>
        <v/>
      </c>
      <c r="I987" s="18" t="str">
        <f aca="false">IF(H987="","",IF(J987&lt;설정!$B$7,"",ROUND(AVERAGEIFS($H$2:$H$1001,$B$2:$B$1001,B987,$A$2:$A$1001,"&lt;"&amp;A987,$A$2:$A$1001,"&gt;="&amp;(A987-설정!$B$6)),1)))</f>
        <v/>
      </c>
      <c r="J987" s="18" t="str">
        <f aca="false">IF(H987="","",COUNTIFS($B$2:$B$1001,B987,$A$2:$A$1001,"&lt;"&amp;A987,$A$2:$A$1001,"&gt;="&amp;(A987-설정!$B$6),$H$2:$H$1001,"&gt;=0"))</f>
        <v/>
      </c>
      <c r="K987" s="21" t="str">
        <f aca="false">IF(I987="","",H987/I987-1)</f>
        <v/>
      </c>
      <c r="L987" s="19" t="str">
        <f aca="false">IF(H987="","",IF(J987&lt;설정!$B$7,"baseline 수집 중",IF(K987&lt;=-설정!$B$8,"저하","정상")))</f>
        <v/>
      </c>
      <c r="M987" s="20"/>
    </row>
    <row r="988" customFormat="false" ht="15" hidden="false" customHeight="false" outlineLevel="0" collapsed="false">
      <c r="A988" s="16"/>
      <c r="B988" s="17"/>
      <c r="C988" s="17"/>
      <c r="D988" s="17"/>
      <c r="E988" s="17"/>
      <c r="F988" s="17"/>
      <c r="G988" s="18" t="str">
        <f aca="false">IF(COUNT(D988:F988)=0,"",MAX(D988:F988))</f>
        <v/>
      </c>
      <c r="H988" s="18" t="str">
        <f aca="false">IF(COUNT(D988:F988)=0,"",ROUND(AVERAGE(D988:F988),1))</f>
        <v/>
      </c>
      <c r="I988" s="18" t="str">
        <f aca="false">IF(H988="","",IF(J988&lt;설정!$B$7,"",ROUND(AVERAGEIFS($H$2:$H$1001,$B$2:$B$1001,B988,$A$2:$A$1001,"&lt;"&amp;A988,$A$2:$A$1001,"&gt;="&amp;(A988-설정!$B$6)),1)))</f>
        <v/>
      </c>
      <c r="J988" s="18" t="str">
        <f aca="false">IF(H988="","",COUNTIFS($B$2:$B$1001,B988,$A$2:$A$1001,"&lt;"&amp;A988,$A$2:$A$1001,"&gt;="&amp;(A988-설정!$B$6),$H$2:$H$1001,"&gt;=0"))</f>
        <v/>
      </c>
      <c r="K988" s="21" t="str">
        <f aca="false">IF(I988="","",H988/I988-1)</f>
        <v/>
      </c>
      <c r="L988" s="19" t="str">
        <f aca="false">IF(H988="","",IF(J988&lt;설정!$B$7,"baseline 수집 중",IF(K988&lt;=-설정!$B$8,"저하","정상")))</f>
        <v/>
      </c>
      <c r="M988" s="20"/>
    </row>
    <row r="989" customFormat="false" ht="15" hidden="false" customHeight="false" outlineLevel="0" collapsed="false">
      <c r="A989" s="16"/>
      <c r="B989" s="17"/>
      <c r="C989" s="17"/>
      <c r="D989" s="17"/>
      <c r="E989" s="17"/>
      <c r="F989" s="17"/>
      <c r="G989" s="18" t="str">
        <f aca="false">IF(COUNT(D989:F989)=0,"",MAX(D989:F989))</f>
        <v/>
      </c>
      <c r="H989" s="18" t="str">
        <f aca="false">IF(COUNT(D989:F989)=0,"",ROUND(AVERAGE(D989:F989),1))</f>
        <v/>
      </c>
      <c r="I989" s="18" t="str">
        <f aca="false">IF(H989="","",IF(J989&lt;설정!$B$7,"",ROUND(AVERAGEIFS($H$2:$H$1001,$B$2:$B$1001,B989,$A$2:$A$1001,"&lt;"&amp;A989,$A$2:$A$1001,"&gt;="&amp;(A989-설정!$B$6)),1)))</f>
        <v/>
      </c>
      <c r="J989" s="18" t="str">
        <f aca="false">IF(H989="","",COUNTIFS($B$2:$B$1001,B989,$A$2:$A$1001,"&lt;"&amp;A989,$A$2:$A$1001,"&gt;="&amp;(A989-설정!$B$6),$H$2:$H$1001,"&gt;=0"))</f>
        <v/>
      </c>
      <c r="K989" s="21" t="str">
        <f aca="false">IF(I989="","",H989/I989-1)</f>
        <v/>
      </c>
      <c r="L989" s="19" t="str">
        <f aca="false">IF(H989="","",IF(J989&lt;설정!$B$7,"baseline 수집 중",IF(K989&lt;=-설정!$B$8,"저하","정상")))</f>
        <v/>
      </c>
      <c r="M989" s="20"/>
    </row>
    <row r="990" customFormat="false" ht="15" hidden="false" customHeight="false" outlineLevel="0" collapsed="false">
      <c r="A990" s="16"/>
      <c r="B990" s="17"/>
      <c r="C990" s="17"/>
      <c r="D990" s="17"/>
      <c r="E990" s="17"/>
      <c r="F990" s="17"/>
      <c r="G990" s="18" t="str">
        <f aca="false">IF(COUNT(D990:F990)=0,"",MAX(D990:F990))</f>
        <v/>
      </c>
      <c r="H990" s="18" t="str">
        <f aca="false">IF(COUNT(D990:F990)=0,"",ROUND(AVERAGE(D990:F990),1))</f>
        <v/>
      </c>
      <c r="I990" s="18" t="str">
        <f aca="false">IF(H990="","",IF(J990&lt;설정!$B$7,"",ROUND(AVERAGEIFS($H$2:$H$1001,$B$2:$B$1001,B990,$A$2:$A$1001,"&lt;"&amp;A990,$A$2:$A$1001,"&gt;="&amp;(A990-설정!$B$6)),1)))</f>
        <v/>
      </c>
      <c r="J990" s="18" t="str">
        <f aca="false">IF(H990="","",COUNTIFS($B$2:$B$1001,B990,$A$2:$A$1001,"&lt;"&amp;A990,$A$2:$A$1001,"&gt;="&amp;(A990-설정!$B$6),$H$2:$H$1001,"&gt;=0"))</f>
        <v/>
      </c>
      <c r="K990" s="21" t="str">
        <f aca="false">IF(I990="","",H990/I990-1)</f>
        <v/>
      </c>
      <c r="L990" s="19" t="str">
        <f aca="false">IF(H990="","",IF(J990&lt;설정!$B$7,"baseline 수집 중",IF(K990&lt;=-설정!$B$8,"저하","정상")))</f>
        <v/>
      </c>
      <c r="M990" s="20"/>
    </row>
    <row r="991" customFormat="false" ht="15" hidden="false" customHeight="false" outlineLevel="0" collapsed="false">
      <c r="A991" s="16"/>
      <c r="B991" s="17"/>
      <c r="C991" s="17"/>
      <c r="D991" s="17"/>
      <c r="E991" s="17"/>
      <c r="F991" s="17"/>
      <c r="G991" s="18" t="str">
        <f aca="false">IF(COUNT(D991:F991)=0,"",MAX(D991:F991))</f>
        <v/>
      </c>
      <c r="H991" s="18" t="str">
        <f aca="false">IF(COUNT(D991:F991)=0,"",ROUND(AVERAGE(D991:F991),1))</f>
        <v/>
      </c>
      <c r="I991" s="18" t="str">
        <f aca="false">IF(H991="","",IF(J991&lt;설정!$B$7,"",ROUND(AVERAGEIFS($H$2:$H$1001,$B$2:$B$1001,B991,$A$2:$A$1001,"&lt;"&amp;A991,$A$2:$A$1001,"&gt;="&amp;(A991-설정!$B$6)),1)))</f>
        <v/>
      </c>
      <c r="J991" s="18" t="str">
        <f aca="false">IF(H991="","",COUNTIFS($B$2:$B$1001,B991,$A$2:$A$1001,"&lt;"&amp;A991,$A$2:$A$1001,"&gt;="&amp;(A991-설정!$B$6),$H$2:$H$1001,"&gt;=0"))</f>
        <v/>
      </c>
      <c r="K991" s="21" t="str">
        <f aca="false">IF(I991="","",H991/I991-1)</f>
        <v/>
      </c>
      <c r="L991" s="19" t="str">
        <f aca="false">IF(H991="","",IF(J991&lt;설정!$B$7,"baseline 수집 중",IF(K991&lt;=-설정!$B$8,"저하","정상")))</f>
        <v/>
      </c>
      <c r="M991" s="20"/>
    </row>
    <row r="992" customFormat="false" ht="15" hidden="false" customHeight="false" outlineLevel="0" collapsed="false">
      <c r="A992" s="16"/>
      <c r="B992" s="17"/>
      <c r="C992" s="17"/>
      <c r="D992" s="17"/>
      <c r="E992" s="17"/>
      <c r="F992" s="17"/>
      <c r="G992" s="18" t="str">
        <f aca="false">IF(COUNT(D992:F992)=0,"",MAX(D992:F992))</f>
        <v/>
      </c>
      <c r="H992" s="18" t="str">
        <f aca="false">IF(COUNT(D992:F992)=0,"",ROUND(AVERAGE(D992:F992),1))</f>
        <v/>
      </c>
      <c r="I992" s="18" t="str">
        <f aca="false">IF(H992="","",IF(J992&lt;설정!$B$7,"",ROUND(AVERAGEIFS($H$2:$H$1001,$B$2:$B$1001,B992,$A$2:$A$1001,"&lt;"&amp;A992,$A$2:$A$1001,"&gt;="&amp;(A992-설정!$B$6)),1)))</f>
        <v/>
      </c>
      <c r="J992" s="18" t="str">
        <f aca="false">IF(H992="","",COUNTIFS($B$2:$B$1001,B992,$A$2:$A$1001,"&lt;"&amp;A992,$A$2:$A$1001,"&gt;="&amp;(A992-설정!$B$6),$H$2:$H$1001,"&gt;=0"))</f>
        <v/>
      </c>
      <c r="K992" s="21" t="str">
        <f aca="false">IF(I992="","",H992/I992-1)</f>
        <v/>
      </c>
      <c r="L992" s="19" t="str">
        <f aca="false">IF(H992="","",IF(J992&lt;설정!$B$7,"baseline 수집 중",IF(K992&lt;=-설정!$B$8,"저하","정상")))</f>
        <v/>
      </c>
      <c r="M992" s="20"/>
    </row>
    <row r="993" customFormat="false" ht="15" hidden="false" customHeight="false" outlineLevel="0" collapsed="false">
      <c r="A993" s="16"/>
      <c r="B993" s="17"/>
      <c r="C993" s="17"/>
      <c r="D993" s="17"/>
      <c r="E993" s="17"/>
      <c r="F993" s="17"/>
      <c r="G993" s="18" t="str">
        <f aca="false">IF(COUNT(D993:F993)=0,"",MAX(D993:F993))</f>
        <v/>
      </c>
      <c r="H993" s="18" t="str">
        <f aca="false">IF(COUNT(D993:F993)=0,"",ROUND(AVERAGE(D993:F993),1))</f>
        <v/>
      </c>
      <c r="I993" s="18" t="str">
        <f aca="false">IF(H993="","",IF(J993&lt;설정!$B$7,"",ROUND(AVERAGEIFS($H$2:$H$1001,$B$2:$B$1001,B993,$A$2:$A$1001,"&lt;"&amp;A993,$A$2:$A$1001,"&gt;="&amp;(A993-설정!$B$6)),1)))</f>
        <v/>
      </c>
      <c r="J993" s="18" t="str">
        <f aca="false">IF(H993="","",COUNTIFS($B$2:$B$1001,B993,$A$2:$A$1001,"&lt;"&amp;A993,$A$2:$A$1001,"&gt;="&amp;(A993-설정!$B$6),$H$2:$H$1001,"&gt;=0"))</f>
        <v/>
      </c>
      <c r="K993" s="21" t="str">
        <f aca="false">IF(I993="","",H993/I993-1)</f>
        <v/>
      </c>
      <c r="L993" s="19" t="str">
        <f aca="false">IF(H993="","",IF(J993&lt;설정!$B$7,"baseline 수집 중",IF(K993&lt;=-설정!$B$8,"저하","정상")))</f>
        <v/>
      </c>
      <c r="M993" s="20"/>
    </row>
    <row r="994" customFormat="false" ht="15" hidden="false" customHeight="false" outlineLevel="0" collapsed="false">
      <c r="A994" s="16"/>
      <c r="B994" s="17"/>
      <c r="C994" s="17"/>
      <c r="D994" s="17"/>
      <c r="E994" s="17"/>
      <c r="F994" s="17"/>
      <c r="G994" s="18" t="str">
        <f aca="false">IF(COUNT(D994:F994)=0,"",MAX(D994:F994))</f>
        <v/>
      </c>
      <c r="H994" s="18" t="str">
        <f aca="false">IF(COUNT(D994:F994)=0,"",ROUND(AVERAGE(D994:F994),1))</f>
        <v/>
      </c>
      <c r="I994" s="18" t="str">
        <f aca="false">IF(H994="","",IF(J994&lt;설정!$B$7,"",ROUND(AVERAGEIFS($H$2:$H$1001,$B$2:$B$1001,B994,$A$2:$A$1001,"&lt;"&amp;A994,$A$2:$A$1001,"&gt;="&amp;(A994-설정!$B$6)),1)))</f>
        <v/>
      </c>
      <c r="J994" s="18" t="str">
        <f aca="false">IF(H994="","",COUNTIFS($B$2:$B$1001,B994,$A$2:$A$1001,"&lt;"&amp;A994,$A$2:$A$1001,"&gt;="&amp;(A994-설정!$B$6),$H$2:$H$1001,"&gt;=0"))</f>
        <v/>
      </c>
      <c r="K994" s="21" t="str">
        <f aca="false">IF(I994="","",H994/I994-1)</f>
        <v/>
      </c>
      <c r="L994" s="19" t="str">
        <f aca="false">IF(H994="","",IF(J994&lt;설정!$B$7,"baseline 수집 중",IF(K994&lt;=-설정!$B$8,"저하","정상")))</f>
        <v/>
      </c>
      <c r="M994" s="20"/>
    </row>
    <row r="995" customFormat="false" ht="15" hidden="false" customHeight="false" outlineLevel="0" collapsed="false">
      <c r="A995" s="16"/>
      <c r="B995" s="17"/>
      <c r="C995" s="17"/>
      <c r="D995" s="17"/>
      <c r="E995" s="17"/>
      <c r="F995" s="17"/>
      <c r="G995" s="18" t="str">
        <f aca="false">IF(COUNT(D995:F995)=0,"",MAX(D995:F995))</f>
        <v/>
      </c>
      <c r="H995" s="18" t="str">
        <f aca="false">IF(COUNT(D995:F995)=0,"",ROUND(AVERAGE(D995:F995),1))</f>
        <v/>
      </c>
      <c r="I995" s="18" t="str">
        <f aca="false">IF(H995="","",IF(J995&lt;설정!$B$7,"",ROUND(AVERAGEIFS($H$2:$H$1001,$B$2:$B$1001,B995,$A$2:$A$1001,"&lt;"&amp;A995,$A$2:$A$1001,"&gt;="&amp;(A995-설정!$B$6)),1)))</f>
        <v/>
      </c>
      <c r="J995" s="18" t="str">
        <f aca="false">IF(H995="","",COUNTIFS($B$2:$B$1001,B995,$A$2:$A$1001,"&lt;"&amp;A995,$A$2:$A$1001,"&gt;="&amp;(A995-설정!$B$6),$H$2:$H$1001,"&gt;=0"))</f>
        <v/>
      </c>
      <c r="K995" s="21" t="str">
        <f aca="false">IF(I995="","",H995/I995-1)</f>
        <v/>
      </c>
      <c r="L995" s="19" t="str">
        <f aca="false">IF(H995="","",IF(J995&lt;설정!$B$7,"baseline 수집 중",IF(K995&lt;=-설정!$B$8,"저하","정상")))</f>
        <v/>
      </c>
      <c r="M995" s="20"/>
    </row>
    <row r="996" customFormat="false" ht="15" hidden="false" customHeight="false" outlineLevel="0" collapsed="false">
      <c r="A996" s="16"/>
      <c r="B996" s="17"/>
      <c r="C996" s="17"/>
      <c r="D996" s="17"/>
      <c r="E996" s="17"/>
      <c r="F996" s="17"/>
      <c r="G996" s="18" t="str">
        <f aca="false">IF(COUNT(D996:F996)=0,"",MAX(D996:F996))</f>
        <v/>
      </c>
      <c r="H996" s="18" t="str">
        <f aca="false">IF(COUNT(D996:F996)=0,"",ROUND(AVERAGE(D996:F996),1))</f>
        <v/>
      </c>
      <c r="I996" s="18" t="str">
        <f aca="false">IF(H996="","",IF(J996&lt;설정!$B$7,"",ROUND(AVERAGEIFS($H$2:$H$1001,$B$2:$B$1001,B996,$A$2:$A$1001,"&lt;"&amp;A996,$A$2:$A$1001,"&gt;="&amp;(A996-설정!$B$6)),1)))</f>
        <v/>
      </c>
      <c r="J996" s="18" t="str">
        <f aca="false">IF(H996="","",COUNTIFS($B$2:$B$1001,B996,$A$2:$A$1001,"&lt;"&amp;A996,$A$2:$A$1001,"&gt;="&amp;(A996-설정!$B$6),$H$2:$H$1001,"&gt;=0"))</f>
        <v/>
      </c>
      <c r="K996" s="21" t="str">
        <f aca="false">IF(I996="","",H996/I996-1)</f>
        <v/>
      </c>
      <c r="L996" s="19" t="str">
        <f aca="false">IF(H996="","",IF(J996&lt;설정!$B$7,"baseline 수집 중",IF(K996&lt;=-설정!$B$8,"저하","정상")))</f>
        <v/>
      </c>
      <c r="M996" s="20"/>
    </row>
    <row r="997" customFormat="false" ht="15" hidden="false" customHeight="false" outlineLevel="0" collapsed="false">
      <c r="A997" s="16"/>
      <c r="B997" s="17"/>
      <c r="C997" s="17"/>
      <c r="D997" s="17"/>
      <c r="E997" s="17"/>
      <c r="F997" s="17"/>
      <c r="G997" s="18" t="str">
        <f aca="false">IF(COUNT(D997:F997)=0,"",MAX(D997:F997))</f>
        <v/>
      </c>
      <c r="H997" s="18" t="str">
        <f aca="false">IF(COUNT(D997:F997)=0,"",ROUND(AVERAGE(D997:F997),1))</f>
        <v/>
      </c>
      <c r="I997" s="18" t="str">
        <f aca="false">IF(H997="","",IF(J997&lt;설정!$B$7,"",ROUND(AVERAGEIFS($H$2:$H$1001,$B$2:$B$1001,B997,$A$2:$A$1001,"&lt;"&amp;A997,$A$2:$A$1001,"&gt;="&amp;(A997-설정!$B$6)),1)))</f>
        <v/>
      </c>
      <c r="J997" s="18" t="str">
        <f aca="false">IF(H997="","",COUNTIFS($B$2:$B$1001,B997,$A$2:$A$1001,"&lt;"&amp;A997,$A$2:$A$1001,"&gt;="&amp;(A997-설정!$B$6),$H$2:$H$1001,"&gt;=0"))</f>
        <v/>
      </c>
      <c r="K997" s="21" t="str">
        <f aca="false">IF(I997="","",H997/I997-1)</f>
        <v/>
      </c>
      <c r="L997" s="19" t="str">
        <f aca="false">IF(H997="","",IF(J997&lt;설정!$B$7,"baseline 수집 중",IF(K997&lt;=-설정!$B$8,"저하","정상")))</f>
        <v/>
      </c>
      <c r="M997" s="20"/>
    </row>
    <row r="998" customFormat="false" ht="15" hidden="false" customHeight="false" outlineLevel="0" collapsed="false">
      <c r="A998" s="16"/>
      <c r="B998" s="17"/>
      <c r="C998" s="17"/>
      <c r="D998" s="17"/>
      <c r="E998" s="17"/>
      <c r="F998" s="17"/>
      <c r="G998" s="18" t="str">
        <f aca="false">IF(COUNT(D998:F998)=0,"",MAX(D998:F998))</f>
        <v/>
      </c>
      <c r="H998" s="18" t="str">
        <f aca="false">IF(COUNT(D998:F998)=0,"",ROUND(AVERAGE(D998:F998),1))</f>
        <v/>
      </c>
      <c r="I998" s="18" t="str">
        <f aca="false">IF(H998="","",IF(J998&lt;설정!$B$7,"",ROUND(AVERAGEIFS($H$2:$H$1001,$B$2:$B$1001,B998,$A$2:$A$1001,"&lt;"&amp;A998,$A$2:$A$1001,"&gt;="&amp;(A998-설정!$B$6)),1)))</f>
        <v/>
      </c>
      <c r="J998" s="18" t="str">
        <f aca="false">IF(H998="","",COUNTIFS($B$2:$B$1001,B998,$A$2:$A$1001,"&lt;"&amp;A998,$A$2:$A$1001,"&gt;="&amp;(A998-설정!$B$6),$H$2:$H$1001,"&gt;=0"))</f>
        <v/>
      </c>
      <c r="K998" s="21" t="str">
        <f aca="false">IF(I998="","",H998/I998-1)</f>
        <v/>
      </c>
      <c r="L998" s="19" t="str">
        <f aca="false">IF(H998="","",IF(J998&lt;설정!$B$7,"baseline 수집 중",IF(K998&lt;=-설정!$B$8,"저하","정상")))</f>
        <v/>
      </c>
      <c r="M998" s="20"/>
    </row>
    <row r="999" customFormat="false" ht="15" hidden="false" customHeight="false" outlineLevel="0" collapsed="false">
      <c r="A999" s="16"/>
      <c r="B999" s="17"/>
      <c r="C999" s="17"/>
      <c r="D999" s="17"/>
      <c r="E999" s="17"/>
      <c r="F999" s="17"/>
      <c r="G999" s="18" t="str">
        <f aca="false">IF(COUNT(D999:F999)=0,"",MAX(D999:F999))</f>
        <v/>
      </c>
      <c r="H999" s="18" t="str">
        <f aca="false">IF(COUNT(D999:F999)=0,"",ROUND(AVERAGE(D999:F999),1))</f>
        <v/>
      </c>
      <c r="I999" s="18" t="str">
        <f aca="false">IF(H999="","",IF(J999&lt;설정!$B$7,"",ROUND(AVERAGEIFS($H$2:$H$1001,$B$2:$B$1001,B999,$A$2:$A$1001,"&lt;"&amp;A999,$A$2:$A$1001,"&gt;="&amp;(A999-설정!$B$6)),1)))</f>
        <v/>
      </c>
      <c r="J999" s="18" t="str">
        <f aca="false">IF(H999="","",COUNTIFS($B$2:$B$1001,B999,$A$2:$A$1001,"&lt;"&amp;A999,$A$2:$A$1001,"&gt;="&amp;(A999-설정!$B$6),$H$2:$H$1001,"&gt;=0"))</f>
        <v/>
      </c>
      <c r="K999" s="21" t="str">
        <f aca="false">IF(I999="","",H999/I999-1)</f>
        <v/>
      </c>
      <c r="L999" s="19" t="str">
        <f aca="false">IF(H999="","",IF(J999&lt;설정!$B$7,"baseline 수집 중",IF(K999&lt;=-설정!$B$8,"저하","정상")))</f>
        <v/>
      </c>
      <c r="M999" s="20"/>
    </row>
    <row r="1000" customFormat="false" ht="15" hidden="false" customHeight="false" outlineLevel="0" collapsed="false">
      <c r="A1000" s="16"/>
      <c r="B1000" s="17"/>
      <c r="C1000" s="17"/>
      <c r="D1000" s="17"/>
      <c r="E1000" s="17"/>
      <c r="F1000" s="17"/>
      <c r="G1000" s="18" t="str">
        <f aca="false">IF(COUNT(D1000:F1000)=0,"",MAX(D1000:F1000))</f>
        <v/>
      </c>
      <c r="H1000" s="18" t="str">
        <f aca="false">IF(COUNT(D1000:F1000)=0,"",ROUND(AVERAGE(D1000:F1000),1))</f>
        <v/>
      </c>
      <c r="I1000" s="18" t="str">
        <f aca="false">IF(H1000="","",IF(J1000&lt;설정!$B$7,"",ROUND(AVERAGEIFS($H$2:$H$1001,$B$2:$B$1001,B1000,$A$2:$A$1001,"&lt;"&amp;A1000,$A$2:$A$1001,"&gt;="&amp;(A1000-설정!$B$6)),1)))</f>
        <v/>
      </c>
      <c r="J1000" s="18" t="str">
        <f aca="false">IF(H1000="","",COUNTIFS($B$2:$B$1001,B1000,$A$2:$A$1001,"&lt;"&amp;A1000,$A$2:$A$1001,"&gt;="&amp;(A1000-설정!$B$6),$H$2:$H$1001,"&gt;=0"))</f>
        <v/>
      </c>
      <c r="K1000" s="21" t="str">
        <f aca="false">IF(I1000="","",H1000/I1000-1)</f>
        <v/>
      </c>
      <c r="L1000" s="19" t="str">
        <f aca="false">IF(H1000="","",IF(J1000&lt;설정!$B$7,"baseline 수집 중",IF(K1000&lt;=-설정!$B$8,"저하","정상")))</f>
        <v/>
      </c>
      <c r="M1000" s="20"/>
    </row>
    <row r="1001" customFormat="false" ht="15" hidden="false" customHeight="false" outlineLevel="0" collapsed="false">
      <c r="A1001" s="16"/>
      <c r="B1001" s="17"/>
      <c r="C1001" s="17"/>
      <c r="D1001" s="17"/>
      <c r="E1001" s="17"/>
      <c r="F1001" s="17"/>
      <c r="G1001" s="18" t="str">
        <f aca="false">IF(COUNT(D1001:F1001)=0,"",MAX(D1001:F1001))</f>
        <v/>
      </c>
      <c r="H1001" s="18" t="str">
        <f aca="false">IF(COUNT(D1001:F1001)=0,"",ROUND(AVERAGE(D1001:F1001),1))</f>
        <v/>
      </c>
      <c r="I1001" s="18" t="str">
        <f aca="false">IF(H1001="","",IF(J1001&lt;설정!$B$7,"",ROUND(AVERAGEIFS($H$2:$H$1001,$B$2:$B$1001,B1001,$A$2:$A$1001,"&lt;"&amp;A1001,$A$2:$A$1001,"&gt;="&amp;(A1001-설정!$B$6)),1)))</f>
        <v/>
      </c>
      <c r="J1001" s="18" t="str">
        <f aca="false">IF(H1001="","",COUNTIFS($B$2:$B$1001,B1001,$A$2:$A$1001,"&lt;"&amp;A1001,$A$2:$A$1001,"&gt;="&amp;(A1001-설정!$B$6),$H$2:$H$1001,"&gt;=0"))</f>
        <v/>
      </c>
      <c r="K1001" s="21" t="str">
        <f aca="false">IF(I1001="","",H1001/I1001-1)</f>
        <v/>
      </c>
      <c r="L1001" s="19" t="str">
        <f aca="false">IF(H1001="","",IF(J1001&lt;설정!$B$7,"baseline 수집 중",IF(K1001&lt;=-설정!$B$8,"저하","정상")))</f>
        <v/>
      </c>
      <c r="M1001" s="20"/>
    </row>
  </sheetData>
  <conditionalFormatting sqref="L2:L1001">
    <cfRule type="expression" priority="2" aboveAverage="0" equalAverage="0" bottom="0" percent="0" rank="0" text="" dxfId="0">
      <formula>$L2="저하"</formula>
    </cfRule>
  </conditionalFormatting>
  <dataValidations count="3">
    <dataValidation allowBlank="false" error="5–100 cm 사이로 입력하세요." errorStyle="stop" operator="between" showDropDown="false" showErrorMessage="true" showInputMessage="false" sqref="D2:F1001" type="decimal">
      <formula1>5</formula1>
      <formula2>100</formula2>
    </dataValidation>
    <dataValidation allowBlank="false" errorStyle="stop" operator="between" showDropDown="false" showErrorMessage="false" showInputMessage="false" sqref="B2:B1001" type="list">
      <formula1>선수!$A$2:$A$41</formula1>
      <formula2>0</formula2>
    </dataValidation>
    <dataValidation allowBlank="false" errorStyle="stop" operator="between" showDropDown="false" showErrorMessage="false" showInputMessage="false" sqref="C2:C1001" type="list">
      <formula1>"MD-5,MD-4,MD-3,MD-2,MD-1,MD,MD+1,MD+2,MD+3,OFF"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2" t="s">
        <v>29</v>
      </c>
      <c r="B1" s="22" t="s">
        <v>65</v>
      </c>
      <c r="C1" s="22" t="s">
        <v>66</v>
      </c>
      <c r="D1" s="22" t="s">
        <v>53</v>
      </c>
    </row>
    <row r="2" customFormat="false" ht="15" hidden="false" customHeight="false" outlineLevel="0" collapsed="false">
      <c r="A2" s="17" t="s">
        <v>55</v>
      </c>
      <c r="B2" s="17" t="s">
        <v>67</v>
      </c>
      <c r="C2" s="17" t="s">
        <v>68</v>
      </c>
      <c r="D2" s="20" t="s">
        <v>57</v>
      </c>
    </row>
    <row r="3" customFormat="false" ht="15" hidden="false" customHeight="false" outlineLevel="0" collapsed="false">
      <c r="A3" s="17"/>
      <c r="B3" s="17"/>
      <c r="C3" s="17"/>
      <c r="D3" s="17"/>
    </row>
    <row r="4" customFormat="false" ht="15" hidden="false" customHeight="false" outlineLevel="0" collapsed="false">
      <c r="A4" s="17"/>
      <c r="B4" s="17"/>
      <c r="C4" s="17"/>
      <c r="D4" s="17"/>
    </row>
    <row r="5" customFormat="false" ht="15" hidden="false" customHeight="false" outlineLevel="0" collapsed="false">
      <c r="A5" s="17"/>
      <c r="B5" s="17"/>
      <c r="C5" s="17"/>
      <c r="D5" s="17"/>
    </row>
    <row r="6" customFormat="false" ht="15" hidden="false" customHeight="false" outlineLevel="0" collapsed="false">
      <c r="A6" s="17"/>
      <c r="B6" s="17"/>
      <c r="C6" s="17"/>
      <c r="D6" s="17"/>
    </row>
    <row r="7" customFormat="false" ht="15" hidden="false" customHeight="false" outlineLevel="0" collapsed="false">
      <c r="A7" s="17"/>
      <c r="B7" s="17"/>
      <c r="C7" s="17"/>
      <c r="D7" s="17"/>
    </row>
    <row r="8" customFormat="false" ht="15" hidden="false" customHeight="false" outlineLevel="0" collapsed="false">
      <c r="A8" s="17"/>
      <c r="B8" s="17"/>
      <c r="C8" s="17"/>
      <c r="D8" s="17"/>
    </row>
    <row r="9" customFormat="false" ht="15" hidden="false" customHeight="false" outlineLevel="0" collapsed="false">
      <c r="A9" s="17"/>
      <c r="B9" s="17"/>
      <c r="C9" s="17"/>
      <c r="D9" s="17"/>
    </row>
    <row r="10" customFormat="false" ht="15" hidden="false" customHeight="false" outlineLevel="0" collapsed="false">
      <c r="A10" s="17"/>
      <c r="B10" s="17"/>
      <c r="C10" s="17"/>
      <c r="D10" s="17"/>
    </row>
    <row r="11" customFormat="false" ht="15" hidden="false" customHeight="false" outlineLevel="0" collapsed="false">
      <c r="A11" s="17"/>
      <c r="B11" s="17"/>
      <c r="C11" s="17"/>
      <c r="D11" s="17"/>
    </row>
    <row r="12" customFormat="false" ht="15" hidden="false" customHeight="false" outlineLevel="0" collapsed="false">
      <c r="A12" s="17"/>
      <c r="B12" s="17"/>
      <c r="C12" s="17"/>
      <c r="D12" s="17"/>
    </row>
    <row r="13" customFormat="false" ht="15" hidden="false" customHeight="false" outlineLevel="0" collapsed="false">
      <c r="A13" s="17"/>
      <c r="B13" s="17"/>
      <c r="C13" s="17"/>
      <c r="D13" s="17"/>
    </row>
    <row r="14" customFormat="false" ht="15" hidden="false" customHeight="false" outlineLevel="0" collapsed="false">
      <c r="A14" s="17"/>
      <c r="B14" s="17"/>
      <c r="C14" s="17"/>
      <c r="D14" s="17"/>
    </row>
    <row r="15" customFormat="false" ht="15" hidden="false" customHeight="false" outlineLevel="0" collapsed="false">
      <c r="A15" s="17"/>
      <c r="B15" s="17"/>
      <c r="C15" s="17"/>
      <c r="D15" s="17"/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5" hidden="false" customHeight="false" outlineLevel="0" collapsed="false">
      <c r="A18" s="17"/>
      <c r="B18" s="17"/>
      <c r="C18" s="17"/>
      <c r="D18" s="17"/>
    </row>
    <row r="19" customFormat="false" ht="15" hidden="false" customHeight="false" outlineLevel="0" collapsed="false">
      <c r="A19" s="17"/>
      <c r="B19" s="17"/>
      <c r="C19" s="17"/>
      <c r="D19" s="17"/>
    </row>
    <row r="20" customFormat="false" ht="15" hidden="false" customHeight="false" outlineLevel="0" collapsed="false">
      <c r="A20" s="17"/>
      <c r="B20" s="17"/>
      <c r="C20" s="17"/>
      <c r="D20" s="17"/>
    </row>
    <row r="21" customFormat="false" ht="15" hidden="false" customHeight="false" outlineLevel="0" collapsed="false">
      <c r="A21" s="17"/>
      <c r="B21" s="17"/>
      <c r="C21" s="17"/>
      <c r="D21" s="17"/>
    </row>
    <row r="22" customFormat="false" ht="15" hidden="false" customHeight="false" outlineLevel="0" collapsed="false">
      <c r="A22" s="17"/>
      <c r="B22" s="17"/>
      <c r="C22" s="17"/>
      <c r="D22" s="17"/>
    </row>
    <row r="23" customFormat="false" ht="15" hidden="false" customHeight="false" outlineLevel="0" collapsed="false">
      <c r="A23" s="17"/>
      <c r="B23" s="17"/>
      <c r="C23" s="17"/>
      <c r="D23" s="17"/>
    </row>
    <row r="24" customFormat="false" ht="15" hidden="false" customHeight="false" outlineLevel="0" collapsed="false">
      <c r="A24" s="17"/>
      <c r="B24" s="17"/>
      <c r="C24" s="17"/>
      <c r="D24" s="17"/>
    </row>
    <row r="25" customFormat="false" ht="15" hidden="false" customHeight="false" outlineLevel="0" collapsed="false">
      <c r="A25" s="17"/>
      <c r="B25" s="17"/>
      <c r="C25" s="17"/>
      <c r="D25" s="17"/>
    </row>
    <row r="26" customFormat="false" ht="15" hidden="false" customHeight="false" outlineLevel="0" collapsed="false">
      <c r="A26" s="17"/>
      <c r="B26" s="17"/>
      <c r="C26" s="17"/>
      <c r="D26" s="17"/>
    </row>
    <row r="27" customFormat="false" ht="15" hidden="false" customHeight="false" outlineLevel="0" collapsed="false">
      <c r="A27" s="17"/>
      <c r="B27" s="17"/>
      <c r="C27" s="17"/>
      <c r="D27" s="17"/>
    </row>
    <row r="28" customFormat="false" ht="15" hidden="false" customHeight="false" outlineLevel="0" collapsed="false">
      <c r="A28" s="17"/>
      <c r="B28" s="17"/>
      <c r="C28" s="17"/>
      <c r="D28" s="17"/>
    </row>
    <row r="29" customFormat="false" ht="15" hidden="false" customHeight="false" outlineLevel="0" collapsed="false">
      <c r="A29" s="17"/>
      <c r="B29" s="17"/>
      <c r="C29" s="17"/>
      <c r="D29" s="17"/>
    </row>
    <row r="30" customFormat="false" ht="15" hidden="false" customHeight="false" outlineLevel="0" collapsed="false">
      <c r="A30" s="17"/>
      <c r="B30" s="17"/>
      <c r="C30" s="17"/>
      <c r="D30" s="17"/>
    </row>
    <row r="31" customFormat="false" ht="15" hidden="false" customHeight="false" outlineLevel="0" collapsed="false">
      <c r="A31" s="17"/>
      <c r="B31" s="17"/>
      <c r="C31" s="17"/>
      <c r="D31" s="17"/>
    </row>
    <row r="32" customFormat="false" ht="15" hidden="false" customHeight="false" outlineLevel="0" collapsed="false">
      <c r="A32" s="17"/>
      <c r="B32" s="17"/>
      <c r="C32" s="17"/>
      <c r="D32" s="17"/>
    </row>
    <row r="33" customFormat="false" ht="15" hidden="false" customHeight="false" outlineLevel="0" collapsed="false">
      <c r="A33" s="17"/>
      <c r="B33" s="17"/>
      <c r="C33" s="17"/>
      <c r="D33" s="17"/>
    </row>
    <row r="34" customFormat="false" ht="15" hidden="false" customHeight="false" outlineLevel="0" collapsed="false">
      <c r="A34" s="17"/>
      <c r="B34" s="17"/>
      <c r="C34" s="17"/>
      <c r="D34" s="17"/>
    </row>
    <row r="35" customFormat="false" ht="15" hidden="false" customHeight="false" outlineLevel="0" collapsed="false">
      <c r="A35" s="17"/>
      <c r="B35" s="17"/>
      <c r="C35" s="17"/>
      <c r="D35" s="17"/>
    </row>
    <row r="36" customFormat="false" ht="15" hidden="false" customHeight="false" outlineLevel="0" collapsed="false">
      <c r="A36" s="17"/>
      <c r="B36" s="17"/>
      <c r="C36" s="17"/>
      <c r="D36" s="17"/>
    </row>
    <row r="37" customFormat="false" ht="15" hidden="false" customHeight="false" outlineLevel="0" collapsed="false">
      <c r="A37" s="17"/>
      <c r="B37" s="17"/>
      <c r="C37" s="17"/>
      <c r="D37" s="17"/>
    </row>
    <row r="38" customFormat="false" ht="15" hidden="false" customHeight="false" outlineLevel="0" collapsed="false">
      <c r="A38" s="17"/>
      <c r="B38" s="17"/>
      <c r="C38" s="17"/>
      <c r="D38" s="17"/>
    </row>
    <row r="39" customFormat="false" ht="15" hidden="false" customHeight="false" outlineLevel="0" collapsed="false">
      <c r="A39" s="17"/>
      <c r="B39" s="17"/>
      <c r="C39" s="17"/>
      <c r="D39" s="17"/>
    </row>
    <row r="40" customFormat="false" ht="15" hidden="false" customHeight="false" outlineLevel="0" collapsed="false">
      <c r="A40" s="17"/>
      <c r="B40" s="17"/>
      <c r="C40" s="17"/>
      <c r="D40" s="17"/>
    </row>
    <row r="41" customFormat="false" ht="15" hidden="false" customHeight="false" outlineLevel="0" collapsed="false">
      <c r="A41" s="17"/>
      <c r="B41" s="17"/>
      <c r="C41" s="17"/>
      <c r="D4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3" t="s">
        <v>69</v>
      </c>
      <c r="B1" s="23" t="s">
        <v>70</v>
      </c>
      <c r="C1" s="23" t="s">
        <v>71</v>
      </c>
    </row>
    <row r="2" customFormat="false" ht="15" hidden="false" customHeight="false" outlineLevel="0" collapsed="false">
      <c r="A2" s="24" t="s">
        <v>72</v>
      </c>
      <c r="B2" s="25" t="n">
        <v>28</v>
      </c>
      <c r="C2" s="26" t="s">
        <v>73</v>
      </c>
    </row>
    <row r="3" customFormat="false" ht="15" hidden="false" customHeight="false" outlineLevel="0" collapsed="false">
      <c r="A3" s="24" t="s">
        <v>74</v>
      </c>
      <c r="B3" s="25" t="n">
        <v>5</v>
      </c>
      <c r="C3" s="26" t="s">
        <v>75</v>
      </c>
    </row>
    <row r="4" customFormat="false" ht="15" hidden="false" customHeight="false" outlineLevel="0" collapsed="false">
      <c r="A4" s="24" t="s">
        <v>76</v>
      </c>
      <c r="B4" s="25" t="n">
        <v>-1</v>
      </c>
      <c r="C4" s="26" t="s">
        <v>77</v>
      </c>
    </row>
    <row r="5" customFormat="false" ht="15" hidden="false" customHeight="false" outlineLevel="0" collapsed="false">
      <c r="A5" s="26" t="s">
        <v>78</v>
      </c>
      <c r="B5" s="25" t="n">
        <v>2</v>
      </c>
      <c r="C5" s="26" t="s">
        <v>79</v>
      </c>
    </row>
    <row r="6" customFormat="false" ht="15" hidden="false" customHeight="false" outlineLevel="0" collapsed="false">
      <c r="A6" s="24" t="s">
        <v>80</v>
      </c>
      <c r="B6" s="25" t="n">
        <v>56</v>
      </c>
      <c r="C6" s="26" t="s">
        <v>81</v>
      </c>
    </row>
    <row r="7" customFormat="false" ht="15" hidden="false" customHeight="false" outlineLevel="0" collapsed="false">
      <c r="A7" s="24" t="s">
        <v>82</v>
      </c>
      <c r="B7" s="25" t="n">
        <v>3</v>
      </c>
      <c r="C7" s="26" t="s">
        <v>83</v>
      </c>
    </row>
    <row r="8" customFormat="false" ht="26.85" hidden="false" customHeight="false" outlineLevel="0" collapsed="false">
      <c r="A8" s="24" t="s">
        <v>84</v>
      </c>
      <c r="B8" s="27" t="n">
        <v>0.05</v>
      </c>
      <c r="C8" s="24" t="s">
        <v>85</v>
      </c>
    </row>
    <row r="9" customFormat="false" ht="15" hidden="false" customHeight="false" outlineLevel="0" collapsed="false">
      <c r="A9" s="24" t="s">
        <v>86</v>
      </c>
      <c r="B9" s="25" t="n">
        <v>7</v>
      </c>
      <c r="C9" s="26" t="s">
        <v>87</v>
      </c>
    </row>
    <row r="10" customFormat="false" ht="15" hidden="false" customHeight="false" outlineLevel="0" collapsed="false">
      <c r="A10" s="26" t="s">
        <v>88</v>
      </c>
      <c r="B10" s="25" t="n">
        <v>2</v>
      </c>
      <c r="C10" s="2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2026-09-23T16:01:29Z</dcterms:created>
  <dc:creator>openpyxl</dc:creator>
  <dc:description/>
  <dc:language>en-US</dc:language>
  <cp:lastModifiedBy/>
  <dcterms:modified xsi:type="dcterms:W3CDTF">2026-09-23T16:01:29Z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